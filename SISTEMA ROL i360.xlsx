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Perfiles" sheetId="2" r:id="rId6"/>
    <sheet state="visible" name="Intercambios" sheetId="3" r:id="rId7"/>
    <sheet state="visible" name="TiposActividad" sheetId="4" r:id="rId8"/>
    <sheet state="visible" name="VacacionesProgramado" sheetId="5" r:id="rId9"/>
    <sheet state="visible" name="VacacionesPeriodos" sheetId="6" r:id="rId10"/>
    <sheet state="visible" name="Vacaciones" sheetId="7" r:id="rId11"/>
    <sheet state="visible" name="VacacionesDias" sheetId="8" r:id="rId12"/>
    <sheet state="visible" name="VacacionesBloques" sheetId="9" r:id="rId13"/>
    <sheet state="visible" name="SolicitudesVacaciones" sheetId="10" r:id="rId14"/>
    <sheet state="visible" name="Roles" sheetId="11" r:id="rId15"/>
    <sheet state="visible" name="Fuentes" sheetId="12" r:id="rId16"/>
    <sheet state="visible" name="Respuestas" sheetId="13" r:id="rId17"/>
    <sheet state="visible" name="Usuarios" sheetId="14" r:id="rId18"/>
    <sheet state="visible" name="Permisos" sheetId="15" r:id="rId19"/>
    <sheet state="visible" name="Solicitudes" sheetId="16" r:id="rId20"/>
    <sheet state="visible" name="Vigencias" sheetId="17" r:id="rId21"/>
    <sheet state="visible" name="Registro" sheetId="18" r:id="rId22"/>
    <sheet state="visible" name="Ultimo_Acceso" sheetId="19" r:id="rId23"/>
  </sheets>
  <definedNames>
    <definedName hidden="1" localSheetId="13" name="_xlnm._FilterDatabase">Usuarios!$A$1:$J$60</definedName>
    <definedName hidden="1" localSheetId="17" name="_xlnm._FilterDatabase">Registro!$A$1:$H$328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Ya no se usa desde el 2026-10-12: estos datos se copiaron a VacacionesPeriodos y VacacionesProgramado. Edita esas hojas. Puedes borrar esta columna cuando confirmes que todo está bien.</t>
      </text>
    </comment>
    <comment authorId="0" ref="G1">
      <text>
        <t xml:space="preserve">Ya no se usa desde el 2026-10-12: estos datos se copiaron a VacacionesPeriodos y VacacionesProgramado. Edita esas hojas. Puedes borrar esta columna cuando confirmes que todo está bien.</t>
      </text>
    </comment>
    <comment authorId="0" ref="H1">
      <text>
        <t xml:space="preserve">Ya no se usa desde el 2026-10-12: estos datos se copiaron a VacacionesPeriodos y VacacionesProgramado. Edita esas hojas. Puedes borrar esta columna cuando confirmes que todo está bien.</t>
      </text>
    </comment>
    <comment authorId="0" ref="I1">
      <text>
        <t xml:space="preserve">Ya no se usa desde el 2026-10-12: estos datos se copiaron a VacacionesPeriodos y VacacionesProgramado. Edita esas hojas. Puedes borrar esta columna cuando confirmes que todo está bien.</t>
      </text>
    </comment>
  </commentList>
</comments>
</file>

<file path=xl/sharedStrings.xml><?xml version="1.0" encoding="utf-8"?>
<sst xmlns="http://schemas.openxmlformats.org/spreadsheetml/2006/main" count="3552" uniqueCount="599">
  <si>
    <t>Base de usuarios del Rol de Instructores LP</t>
  </si>
  <si>
    <t>Usuarios</t>
  </si>
  <si>
    <t>Una fila por persona. Para agregar a alguien, escribe una fila nueva debajo de la última. Las celdas amarillas de la columna Correo corporativo están por completar.</t>
  </si>
  <si>
    <t>Rol</t>
  </si>
  <si>
    <t>Instructor o Administrador. Se elige de la lista.</t>
  </si>
  <si>
    <t>Activo</t>
  </si>
  <si>
    <t>SI o NO. Para dar de baja a alguien, cambia a NO en lugar de borrar la fila, así se conserva su historial.</t>
  </si>
  <si>
    <t>Registro</t>
  </si>
  <si>
    <t>Lo llena la aplicación en cada ingreso, salida o intento fallido. No hace falta editarla a mano.</t>
  </si>
  <si>
    <t>Ultimo_Acceso</t>
  </si>
  <si>
    <t>Se calcula sola desde Usuarios y Registro. No escribir aquí.</t>
  </si>
  <si>
    <t>Permisos</t>
  </si>
  <si>
    <t>Qué vistas ve cada rol. SI muestra la vista y NO la oculta.</t>
  </si>
  <si>
    <t>Ejemplo de fila en Usuarios</t>
  </si>
  <si>
    <t>BP 1234567 | Nombre Apellido | APELLIDO APELLIDO NOMBRE | nombre.apellido@latam.com | Instructor | A319/A320/A321/B767 | JSB | INS | SI</t>
  </si>
  <si>
    <t>Ejemplo de fila en Registro</t>
  </si>
  <si>
    <t>27/09/2026 08:15:00 | 1234567 | Nombre Apellido | nombre.apellido@latam.com | Instructor | Ingreso | OK | Chrome en Windows</t>
  </si>
  <si>
    <t>Fuentes</t>
  </si>
  <si>
    <t>Un Google Sheet por mes (hoja ROL INS). Se agregan desde la app (Actualizar rol › Conectar Google Sheet) o escribiendo Mes (aaaa-mm) y el enlace. Activo = NO pausa la lectura.</t>
  </si>
  <si>
    <t>Solicitudes</t>
  </si>
  <si>
    <t>Pedidos de jefatura e instructores: BP, Nombre, Desde, Hasta, Tipo y Estado (asignado / no se asignó).</t>
  </si>
  <si>
    <t>Vigencias</t>
  </si>
  <si>
    <t>Experiencia reciente por BP (hoja BG INS). Escribe VENCIDO en la columna programada para generar una alerta.</t>
  </si>
  <si>
    <t>Acceso a la app</t>
  </si>
  <si>
    <t>Usuario = BP o correo corporativo. La primera vez, coordinación genera un código temporal (Usuarios y accesos) y la persona crea su contraseña. Las contraseñas no se guardan en este archivo.</t>
  </si>
  <si>
    <t>Vacaciones</t>
  </si>
  <si>
    <t>Una fila por instructor: fechas DGAC (inicio de su periodo), derecho 2025-26 y 2026-27 y "Programado por mes 2026" (mes:días, p. ej. 11:15; 12:7) para días sin fecha exacta.</t>
  </si>
  <si>
    <t>VacacionesDias / VacacionesBloques</t>
  </si>
  <si>
    <t>Días de vacaciones con fecha (uno por fila) y bloques programados (desde-hasta). Las solicitudes aprobadas en la app se suman solas.</t>
  </si>
  <si>
    <t>SolicitudesVacaciones</t>
  </si>
  <si>
    <t>Lo llena la app cuando un instructor pide días. Coordinación aprueba o rechaza en la pestaña Vacaciones.</t>
  </si>
  <si>
    <t>VacacionesPeriodos</t>
  </si>
  <si>
    <t>Una fila por instructor y periodo DGAC: BP, Periodo (p. ej. 2027-28), Derecho y Tomados (referencia). Para un periodo nuevo agrega una fila; si falta, la app estima +1 día por renovación (máximo 45).</t>
  </si>
  <si>
    <t>VacacionesProgramado</t>
  </si>
  <si>
    <t>Días programados por mes sin fecha exacta: BP, Mes (aaaa-mm) y Días. Solo cuentan los meses de CONFIG.vacSinFecha.</t>
  </si>
  <si>
    <t>Intercambios</t>
  </si>
  <si>
    <t>Lo llena la app: propuestas de intercambio de actividades entre instructores, respuesta del receptor y decisión de coordinación. Al aprobar, la app intercambia las celdas en el Google Sheet del mes.</t>
  </si>
  <si>
    <t>TiposActividad</t>
  </si>
  <si>
    <t>Catálogo de colores: Tipo, Palabras clave (separadas por ;), Color fondo y Color texto (#rrggbb). Se edita desde la app en Tipos y colores. El orden importa: lo más específico arriba.</t>
  </si>
  <si>
    <t>Perfiles</t>
  </si>
  <si>
    <t>Perfiles de acceso de coordinación: por sección, Sin acceso, Ver o Gestionar. Se asignan en la columna Perfil de Usuarios (vacío = Coordinación completa). Se editan desde la app en Usuarios y accesos. La hoja Permisos aplica solo a instructores.</t>
  </si>
  <si>
    <t>Perfil</t>
  </si>
  <si>
    <t>Descripción</t>
  </si>
  <si>
    <t>Indicadores</t>
  </si>
  <si>
    <t>Seguimiento del mes</t>
  </si>
  <si>
    <t>Rol completo</t>
  </si>
  <si>
    <t>Equipo por día</t>
  </si>
  <si>
    <t>Por instructor</t>
  </si>
  <si>
    <t>Actualizar rol</t>
  </si>
  <si>
    <t>Tipos y colores</t>
  </si>
  <si>
    <t>Usuarios y accesos</t>
  </si>
  <si>
    <t>Coordinación completa</t>
  </si>
  <si>
    <t>Ve y gestiona todo el panel de coordinación.</t>
  </si>
  <si>
    <t>Gestionar</t>
  </si>
  <si>
    <t>Solo lectura</t>
  </si>
  <si>
    <t>Ve el panel completo sin poder aprobar, editar ni cambiar accesos.</t>
  </si>
  <si>
    <t>Ver</t>
  </si>
  <si>
    <t>Sin acceso</t>
  </si>
  <si>
    <t>ID</t>
  </si>
  <si>
    <t>Mes</t>
  </si>
  <si>
    <t>Días</t>
  </si>
  <si>
    <t>Solicitante BP</t>
  </si>
  <si>
    <t>Solicitante</t>
  </si>
  <si>
    <t>Receptor BP</t>
  </si>
  <si>
    <t>Receptor</t>
  </si>
  <si>
    <t>Actividades solicitante</t>
  </si>
  <si>
    <t>Actividades receptor</t>
  </si>
  <si>
    <t>Estado</t>
  </si>
  <si>
    <t>Comentario solicitante</t>
  </si>
  <si>
    <t>Comentario receptor</t>
  </si>
  <si>
    <t>Comentario supervisor</t>
  </si>
  <si>
    <t>Creado</t>
  </si>
  <si>
    <t>Respondido receptor</t>
  </si>
  <si>
    <t>Decidido</t>
  </si>
  <si>
    <t>Supervisor</t>
  </si>
  <si>
    <t>Aplicación</t>
  </si>
  <si>
    <t>Visto solicitante</t>
  </si>
  <si>
    <t>Visto receptor</t>
  </si>
  <si>
    <t>Revisado coordinación</t>
  </si>
  <si>
    <t>Revisor</t>
  </si>
  <si>
    <t>Comentario revisor</t>
  </si>
  <si>
    <t>Hilo correo</t>
  </si>
  <si>
    <t>imvfw4d116dhj</t>
  </si>
  <si>
    <t>2026-10</t>
  </si>
  <si>
    <t>21</t>
  </si>
  <si>
    <t>3217561</t>
  </si>
  <si>
    <t>Claudia Flores</t>
  </si>
  <si>
    <t>2823133</t>
  </si>
  <si>
    <t>Cesar Campos</t>
  </si>
  <si>
    <t>["HB6\nCurso B767\n(08:30-17:30hrs)"]</t>
  </si>
  <si>
    <t>["RESERVA IET"]</t>
  </si>
  <si>
    <t>Aprobado</t>
  </si>
  <si>
    <t>Acepto el cambio. Muchas gracias.</t>
  </si>
  <si>
    <t>Virginia Sullca</t>
  </si>
  <si>
    <t>Aplicado en el Google Sheet y sincronizado · 2026-10-20</t>
  </si>
  <si>
    <t>pendiente</t>
  </si>
  <si>
    <t>en_supervisor</t>
  </si>
  <si>
    <t>{"thread":"1a15683530d90c78","ultimo":"&lt;CAOYCRE-No45S-o8SsuOSUtR3h9paq-EHRcqxgZ+NrdMORQLjcA@mail.gmail.com&gt;","refs":"&lt;CAOYCRE95wJ27hNa8yb5AcuX+zxRrztpf+nHr0b7aig02pMA6Nw@mail.gmail.com&gt; &lt;CAOYCRE9+TjnBVr5oZvgJZJDT4gjErR5VsYyKyOCp1s_o8KeN=g@mail.gmail.com&gt; &lt;CAOYCRE84LtL6AYzpBYE_3DwGx=f3hBeJe-NvR7XPFjzOpRH1Sg@mail.gmail.com&gt; &lt;CAOYCRE-No45S-o8SsuOSUtR3h9paq-EHRcqxgZ+NrdMORQLjcA@mail.gmail.com&gt;","dest":["claudia.floresf@latam.com","cesar.campos@latam.com","antonella.cotrina@latam.com","virginia.sullca@latam.com","jorge.bodero@latam.com"]}</t>
  </si>
  <si>
    <t>Orden</t>
  </si>
  <si>
    <t>Tipo</t>
  </si>
  <si>
    <t>Palabras clave</t>
  </si>
  <si>
    <t>Color fondo</t>
  </si>
  <si>
    <t>Color texto</t>
  </si>
  <si>
    <t>Notas</t>
  </si>
  <si>
    <t>Do</t>
  </si>
  <si>
    <t>DO</t>
  </si>
  <si>
    <t>#ffffff</t>
  </si>
  <si>
    <t>#000000</t>
  </si>
  <si>
    <t>NO</t>
  </si>
  <si>
    <t>VACACIONES</t>
  </si>
  <si>
    <t>#ffffcc</t>
  </si>
  <si>
    <t>Lck b767</t>
  </si>
  <si>
    <t>LCK B767; BLANCO; HABILITACIÓN *</t>
  </si>
  <si>
    <t>#ffc000</t>
  </si>
  <si>
    <t>SI</t>
  </si>
  <si>
    <t>Adm</t>
  </si>
  <si>
    <t>ADM; RESERVA IET; RESERVA IET TARDE</t>
  </si>
  <si>
    <t>#d9d9d9</t>
  </si>
  <si>
    <t>Lck a320f</t>
  </si>
  <si>
    <t>LCK A320F; REENTRENAMIENTO A320F; REENTRENAMIENTO A320F*</t>
  </si>
  <si>
    <t>#f7caac</t>
  </si>
  <si>
    <t>Inicial g10</t>
  </si>
  <si>
    <t>INICIAL G10</t>
  </si>
  <si>
    <t>#a64d79</t>
  </si>
  <si>
    <t>Taller voluntario de seguridad</t>
  </si>
  <si>
    <t>TALLER VOLUNTARIO DE SEGURIDAD; REUNIÓN INSTRUCTORES; DESAYUNO</t>
  </si>
  <si>
    <t>#ffff00</t>
  </si>
  <si>
    <t>Ho file tarde</t>
  </si>
  <si>
    <t>HO FILE TARDE; VUELO IDA LIM SCL; COBUS SCL A321XLR</t>
  </si>
  <si>
    <t>#999999</t>
  </si>
  <si>
    <t>Inicial g11</t>
  </si>
  <si>
    <t>INICIAL G11</t>
  </si>
  <si>
    <t>#00ff00</t>
  </si>
  <si>
    <t>Curso 50%</t>
  </si>
  <si>
    <t>CURSO 50%; IOSA</t>
  </si>
  <si>
    <t>#ff9900</t>
  </si>
  <si>
    <t>Rti: práctica</t>
  </si>
  <si>
    <t>RTI: PRÁCTICA; RTI: VIRTUAL</t>
  </si>
  <si>
    <t>#cce0f4</t>
  </si>
  <si>
    <t>Fds</t>
  </si>
  <si>
    <t>FDS</t>
  </si>
  <si>
    <t>#0000ff</t>
  </si>
  <si>
    <t>Feriado</t>
  </si>
  <si>
    <t>FERIADO; BLOQUEO IET</t>
  </si>
  <si>
    <t>Inicial g12</t>
  </si>
  <si>
    <t>INICIAL G12</t>
  </si>
  <si>
    <t>#00ffff</t>
  </si>
  <si>
    <t>Curso b787</t>
  </si>
  <si>
    <t>CURSO B787</t>
  </si>
  <si>
    <t>#4a86e8</t>
  </si>
  <si>
    <t>Lck b787</t>
  </si>
  <si>
    <t>LCK B787; LCK B787 ALUMNO (CST); REENTRENAMIENTO</t>
  </si>
  <si>
    <t>#e88888</t>
  </si>
  <si>
    <t>Reva de servicio</t>
  </si>
  <si>
    <t>REVA DE SERVICIO; GRADUACIÓN G9</t>
  </si>
  <si>
    <t>#2f5496</t>
  </si>
  <si>
    <t>Chequeo bianual instructor b767</t>
  </si>
  <si>
    <t>CHEQUEO BIANUAL INSTRUCTOR B767</t>
  </si>
  <si>
    <t>#a2c4c9</t>
  </si>
  <si>
    <t>CURSO 50%</t>
  </si>
  <si>
    <t>#674ea7</t>
  </si>
  <si>
    <t>Hb6</t>
  </si>
  <si>
    <t>HB6</t>
  </si>
  <si>
    <t>#a8d08d</t>
  </si>
  <si>
    <t>Chequeo dgac instructor b787 - poi</t>
  </si>
  <si>
    <t>CHEQUEO DGAC INSTRUCTOR B787 - POI; CHEQUEO INS LATAM</t>
  </si>
  <si>
    <t>#d9ead3</t>
  </si>
  <si>
    <t>Ditching presencial b787 + hands on</t>
  </si>
  <si>
    <t>DITCHING PRESENCIAL B787 + HANDS ON; SITUACIONES DE EMERGENCIA B767; DITCHING PRESENCIAL B767 + HANDS ON</t>
  </si>
  <si>
    <t>#ff4b4f</t>
  </si>
  <si>
    <t>Back up jb</t>
  </si>
  <si>
    <t>BACK UP JB</t>
  </si>
  <si>
    <t>#b45f06</t>
  </si>
  <si>
    <t>#a4c2f4</t>
  </si>
  <si>
    <t>Chequeo renovación ide a320</t>
  </si>
  <si>
    <t>CHEQUEO RENOVACIÓN IDE A320; HANDS ON B767</t>
  </si>
  <si>
    <t>#ffe599</t>
  </si>
  <si>
    <t>Cump</t>
  </si>
  <si>
    <t>CUMP</t>
  </si>
  <si>
    <t>#ffc0cb</t>
  </si>
  <si>
    <t>Lp</t>
  </si>
  <si>
    <t>LP</t>
  </si>
  <si>
    <t>#ff00ff</t>
  </si>
  <si>
    <t>Chequeo dgac b767</t>
  </si>
  <si>
    <t>CHEQUEO DGAC B767</t>
  </si>
  <si>
    <t>#e69138</t>
  </si>
  <si>
    <t>BP</t>
  </si>
  <si>
    <t>29530</t>
  </si>
  <si>
    <t>2026-05</t>
  </si>
  <si>
    <t>2026-06</t>
  </si>
  <si>
    <t>2026-12</t>
  </si>
  <si>
    <t>71348</t>
  </si>
  <si>
    <t>2026-02</t>
  </si>
  <si>
    <t>967092</t>
  </si>
  <si>
    <t>2026-01</t>
  </si>
  <si>
    <t>2026-08</t>
  </si>
  <si>
    <t>1271571</t>
  </si>
  <si>
    <t>2026-03</t>
  </si>
  <si>
    <t>2369624</t>
  </si>
  <si>
    <t>2026-04</t>
  </si>
  <si>
    <t>2026-09</t>
  </si>
  <si>
    <t>2369641</t>
  </si>
  <si>
    <t>2026-11</t>
  </si>
  <si>
    <t>2396710</t>
  </si>
  <si>
    <t>2415373</t>
  </si>
  <si>
    <t>2440915</t>
  </si>
  <si>
    <t>2604360</t>
  </si>
  <si>
    <t>2713993</t>
  </si>
  <si>
    <t>2026-07</t>
  </si>
  <si>
    <t>2843319</t>
  </si>
  <si>
    <t>3134911</t>
  </si>
  <si>
    <t>3189967</t>
  </si>
  <si>
    <t>3750335</t>
  </si>
  <si>
    <t>3779550</t>
  </si>
  <si>
    <t>3796947</t>
  </si>
  <si>
    <t>3841387</t>
  </si>
  <si>
    <t>3852423</t>
  </si>
  <si>
    <t>Periodo</t>
  </si>
  <si>
    <t>Derecho</t>
  </si>
  <si>
    <t>Tomados (referencia)</t>
  </si>
  <si>
    <t>2025-26</t>
  </si>
  <si>
    <t>2026-27</t>
  </si>
  <si>
    <t>Nombre</t>
  </si>
  <si>
    <t>Fecha DGAC original</t>
  </si>
  <si>
    <t>Fecha DGAC 2025</t>
  </si>
  <si>
    <t>Fecha DGAC 2026</t>
  </si>
  <si>
    <t>Derecho 2025-26</t>
  </si>
  <si>
    <t>Derecho 2026-27</t>
  </si>
  <si>
    <t>Tomados 2025-26</t>
  </si>
  <si>
    <t>Programado por mes 2026</t>
  </si>
  <si>
    <t>GUERRA SUAREZ JAZMIN</t>
  </si>
  <si>
    <t>5:8; 6:7; 10:15; 12:11</t>
  </si>
  <si>
    <t>MOZ MONTES KARLA LISSETTE</t>
  </si>
  <si>
    <t>2:7</t>
  </si>
  <si>
    <t>DAVILA BELLO MARIA ERIKA</t>
  </si>
  <si>
    <t>1:15; 2:7; 8:24</t>
  </si>
  <si>
    <t>RONDON BARRUTIA CHRISTIAN ERIC</t>
  </si>
  <si>
    <t>2:6; 3:1; 5:7; 8:7</t>
  </si>
  <si>
    <t>NAJAR CRUZ PATRICIA DEL PILAR</t>
  </si>
  <si>
    <t>1:6; 4:7; 8:7; 9:7; 10:15</t>
  </si>
  <si>
    <t>TORRES POLO ELIZABETH DEL PILAR</t>
  </si>
  <si>
    <t>1:12; 6:8; 9:15; 11:7</t>
  </si>
  <si>
    <t>CORREA GARCIA JUAN SEBASTIAN</t>
  </si>
  <si>
    <t>4:18; 6:8; 11:5</t>
  </si>
  <si>
    <t>SALAS COSIO MILAGROS PATRICIA</t>
  </si>
  <si>
    <t>5:29; 10:15</t>
  </si>
  <si>
    <t>FERNANDEZ GARCIA JUDITH JULIET</t>
  </si>
  <si>
    <t>1:7; 2:14; 8:15; 10:8</t>
  </si>
  <si>
    <t>CARRASCO BENAVIDES ROSA MARIELLA</t>
  </si>
  <si>
    <t>2:10; 5:8; 9:15; 11:7</t>
  </si>
  <si>
    <t>RUIZ RIOJA FIORELLA DEL PILAR</t>
  </si>
  <si>
    <t>3:5; 5:2; 7:1; 10:29; 11:4</t>
  </si>
  <si>
    <t>CAMPOS CONCHE CESAR AUGUSTO</t>
  </si>
  <si>
    <t>6:15; 7:15; 12:11</t>
  </si>
  <si>
    <t>SANTA CRUZ HUAMAN KAREN</t>
  </si>
  <si>
    <t>1:14; 7:12; 10:16</t>
  </si>
  <si>
    <t>ZAPATA GARAYAR JAVIER RICARDO SALVADOR</t>
  </si>
  <si>
    <t>3:23; 10:23</t>
  </si>
  <si>
    <t>SEGOVIA TAPIA RAY KEVIN</t>
  </si>
  <si>
    <t>6:7; 8:16; 9:18</t>
  </si>
  <si>
    <t>FLORES FUENTES DAVILA CLAUDIA ALEXANDRA</t>
  </si>
  <si>
    <t>4:15; 9:15; 11:11</t>
  </si>
  <si>
    <t>MENDEZ RUCOBA JEFFERSON JOHONATAN</t>
  </si>
  <si>
    <t>4:20; 9:8; 11:7</t>
  </si>
  <si>
    <t>ACURIO DARGENT JENNIFERT MILAGROS</t>
  </si>
  <si>
    <t>4:8; 6:15; 11:15</t>
  </si>
  <si>
    <t>RAFAEL ANTONIO NIETO</t>
  </si>
  <si>
    <t>9:8</t>
  </si>
  <si>
    <t>CELIZ ROSSI GIANFRANCO PAOLO</t>
  </si>
  <si>
    <t>1:8; 6:7; 7:17; 8:7</t>
  </si>
  <si>
    <t>UNGARO GUTIERREZ SARA GABRIELA</t>
  </si>
  <si>
    <t>3:8; 5:8; 6:7; 8:16</t>
  </si>
  <si>
    <t>Fecha</t>
  </si>
  <si>
    <t>Desde</t>
  </si>
  <si>
    <t>Hasta</t>
  </si>
  <si>
    <t>Registrado</t>
  </si>
  <si>
    <t>Cantidad</t>
  </si>
  <si>
    <t>Enviada</t>
  </si>
  <si>
    <t>Decidida</t>
  </si>
  <si>
    <t>Decidida por</t>
  </si>
  <si>
    <t>Comentario instructor</t>
  </si>
  <si>
    <t>Comentario coordinación</t>
  </si>
  <si>
    <t>Respuesta instructor</t>
  </si>
  <si>
    <t>Motivo revisión</t>
  </si>
  <si>
    <t>Respondida</t>
  </si>
  <si>
    <t>Revisión atendida</t>
  </si>
  <si>
    <t>mes</t>
  </si>
  <si>
    <t>json</t>
  </si>
  <si>
    <t>actualizadoAt</t>
  </si>
  <si>
    <t>origen</t>
  </si>
  <si>
    <t>{"mes":"2026-01","fuente":"01 - Rol Instructores LP ENERO","hoja":"ENERO","instructores":[{"bp":"2713993","nombre":"Fiorella Ruiz","dias":["DO","HO FILE","FDS","FDS","LCK B767\n- LIM-MIA\n- LA 2694 (13:30-19:30 hrs)","Habilitación B767*\n- MIA-LIM\n- LA 2699 (23:10-05:00 hrs)","Blanco","Reentrenamiento A320F","RTI: PRÁCTICA\nA320F / B767\n(08:30-17:30 hrs)\nINS APOYO TM","FDS","FDS","LCK B787\n- LIM-SCL\n- LA 2697 (09:35-13:00 hrs)\nRecalificación B787\n- SCL-LIM\n- LA 2696 (16:00-19:45 hrs)","HO FILE","LCK B787\n- LIM-SCL\n- LA 2697 (09:35-13:00 hrs)\nHabilitación B787*\n- SCL-LIM\n- LA 2696 (16:00-19:45 hrs)","HO FILE TARDE","RTI: PRÁCTICA\nA320F / B767 / B787\n(08:30-17:30 hrs)\nINS TITULAR","FDS","FDS","LCK B767\n- LIM-MIA\n- LA 2694 (13:30-19:30 hrs)","Reentrenamiento B767\n- MIA-LIM\n- LA 2699 (23:10-05:00 hrs)","Blanco","Inicial G13\nCHEQUEO DGAC\nLA2258 - LA2259                                  \nLIM - CJA - LIM","HANDS ON B767","FDS","FDS","HO FILE","HO FILE","Inicial G13\nTALLER DÍA 1","HANDS ON B787","Chequeo DGAC B787\n- LIM-SCL\n- LA 2697 (09:35-13:00 hrs)\nHabilitación B787\n- SCL-LIM\n- LA 2696 (16:00-19:45 hrs)","FDS"],"bg":["#ffffff","#999999","#0000ff","#0000ff","#ffc000","#ffc000","#ffc000","#f7caac","#cce0f4","#0000ff","#0000ff","#e88888","#999999","#e88888","#999999","#cce0f4","#0000ff","#0000ff","#ffc000","#ffc000","#ffc000","#38761d","#ffff00","#0000ff","#0000ff","#999999","#999999","#38761d","#ffff00","#e88888","#0000ff"],"fg":["#000000","#000000","#ffffff","#ffffff","#000000","#000000","#000000","#000000","#000000","#ffffff","#ffffff","#000000","#000000","#000000","#000000","#000000","#ffffff","#ffffff","#000000","#000000","#000000","#ffffff","#000000","#ffffff","#ffffff","#000000","#000000","#ffffff","#000000","#000000","#ffffff"]},{"bp":"2396710","nombre":"Sebastian Correa","dias":["DO","Inicial G13 (Recuperatorio)","FDS","FDS","REVA ANUAL INSTRUCTORES\n ALUMNO","Habilitación B787\n- LIM-SCL\n- LA 2697 (09:35-13:00 hrs)\nReentrenamiento B787\n- SCL-LIM\n- LA 2696 (16:00-19:45 hrs)","HO FILE TARDE","HO FILE","HO FILE","FDS","FDS","Ditching Presencial B787 + HANDS ON\nTripulación de Mando\nLP\n(08:30-17:30 hrs)","Inicial G1","RTI: PRÁCTICA\nA320F / B767 / B787\n(08:30-17:30 hrs)\nINS APOYO","RTI: PRÁCTICA\nA320F / B767 / B787\n(08:30-17:30 hrs)\nINS APOYO TM","Inicial G1","FDS","FDS","LCK B787\n- LIM-SCL\n- LA 2697 (09:35-13:00 hrs)\nLCK B787\n- SCL-LIM\n- LA 2696 (16:00-19:45 hrs)","HO FILE TARDE","LCK B787\n- LIM-SCL\n- LA 2697 (09:35-13:00 hrs)\nHabilitación B787*\n- SCL-LIM\n- LA 2696 (16:00-19:45 hrs)","HO FILE TARDE","LCK A320F\nLIM-AQP-LIM\nLA 2123 (09:20-11:00 hrs)\nLA 2124 (11:35-13:10 hrs)\nLCK A320F\nLIM-CIX-LIM\nLA 2312 (14:25-15:55 hrs)\nLA 2313 (16:35-18:00 hrs)","FDS","FDS","Chequeo DGAC B787\n- LIM-SCL\n- LA 2697 (09:35-13:00 hrs)\nChequeo DGAC B787\n- SCL-LIM\n- LA 2696 (16:00-19:45 hrs)","HO FILE TARDE","Chequeo LATAM B787\n- LIM-SCL\n- LA 2697 (09:35-13:00 hrs)\nLCK B787\n- SCL-LIM\n- LA 2696 (16:00-19:45 hrs)","Inicial G2 (TARDE)","CURSO REFRESCO IDE","FDS"],"bg":["#ffffff","#38761d","#0000ff","#0000ff","#ff9900","#e88888","#999999","#999999","#999999","#0000ff","#0000ff","#ff4b4f","#fff2cc","#cce0f4","#cce0f4","#fff2cc","#0000ff","#0000ff","#e88888","#999999","#e88888","#999999","#f7caac","#0000ff","#0000ff","#e88888","#999999","#e88888","#b4a7d6","#00ffff","#0000ff"],"fg":["#000000","#ffffff","#ffffff","#ffffff","#000000","#000000","#000000","#000000","#000000","#ffffff","#ffffff","#ffffff","#000000","#000000","#000000","#000000","#ffffff","#ffffff","#000000","#000000","#000000","#000000","#000000","#ffffff","#ffffff","#000000","#000000","#000000","#ffffff","#000000","#ffffff"]},{"bp":"1271571","nombre":"Christian Rondon","dias":["DO","CAPACITACION RRVV","FDS","FDS","HO FILE","Inicial G13","LCK B787\n- LIM-SCL\n- LA 2697 (09:35-13:00 hrs)\nHABILITACIÓN B787\n- SCL-LIM\n- LA 2696 (16:00-19:45 hrs)","LEVANTAMIENTO INFORMACIÓN INSTRUCCION (TARDE)","REUNIÓN  DE  SEGURIDAD","FDS","FDS","REVA ANUAL INSTRUCTORES\n ALUMNO","Chequeo LATAM B787\n- LIM-SCL\n- LA 2697 (09:35-13:00 hrs)\nChequeo LATAM B787\n- SCL-LIM\n- LA 2696 (16:00-19:45 hrs)","HO FILE TARDE","ACT\nRRVV","RTI: PRÁCTICA\nA320F / B767 / B787\n(08:30-17:30 hrs)\nINS APOYO","FDS","FDS","Blanco Recojo","LCK B767\n- LIM-MIA\n- LA 2480 (00:15-06:15 hrs)","Chequeo LATAM B767\n- MIA-LIM\n- LA 2481 (15:55-21:40 hrs)","HO FILE TARDE","HANDS ON B787","FDS","FDS","LCK B767\n- LIM-MIA\n- LA 2694 (13:30-19:30 hrs)","Habilitación B767*\n- MIA-LIM\n- LA 2699 (23:10-05:00 hrs)","Blanco","LCK B787\n- LIM-SCL\n- LA 2697 (09:35-13:00 hrs)\nHabilitación B787*\n- SCL-LIM\n- LA 2696 (16:00-19:45 hrs)","CURSO REFRESCO IDE","FDS"],"bg":["#ffffff","#d0e0e3","#0000ff","#0000ff","#999999","#38761d","#e88888","#999999","#999999","#0000ff","#0000ff","#ff9900","#e88888","#999999","#ffff00","#cce0f4","#0000ff","#0000ff","#ffc000","#ffc000","#ffc000","#999999","#ffff00","#0000ff","#0000ff","#ffc000","#ffc000","#ffc000","#e88888","#00ffff","#0000ff"],"fg":["#000000","#000000","#ffffff","#ffffff","#000000","#ffffff","#000000","#000000","#000000","#ffffff","#ffffff","#000000","#000000","#000000","#000000","#000000","#ffffff","#ffffff","#000000","#000000","#000000","#000000","#000000","#ffffff","#ffffff","#000000","#000000","#000000","#000000","#000000","#ffffff"]},{"bp":"2843319","nombre":"Karen Santa Cruz","dias":["DO","CAPACITACION RRVV","DO","DO","Blanco Recojo","LCK B767\n- LIM-MIA\n- LA 2480 (00:15-06:15 hrs)","Acompañamiento de Servicio B767\n- MIA-LIM\n- LA 2481 (15:55-21:40 hrs)","Inicial G13 (Recuperatorio)","RTI: PRÁCTICA\nA320F / B767\n(08:30-17:30 hrs)\nINS APOYO","DO","DO","REVA ANUAL INSTRUCTORES INSTRUCTOR","AUDITORIA PROCAB","CURSO 50%","DO","VACACIONES","VACACIONES","VACACIONES","VACACIONES","VACACIONES","VACACIONES","VACACIONES","VACACIONES","VACACIONES","VACACIONES","VACACIONES","VACACIONES","VACACIONES","VACACIONES","CURSO REFRESCO IDE","HO FILE"],"bg":["#ffffff","#d0e0e3","#ffffff","#ffffff","#ffc000","#ffc000","#ffc000","#38761d","#cce0f4","#ffffff","#ffffff","#ff9900","#ffff00","#ffe599","#ffffff","#ffffcc","#ffffcc","#ffffcc","#ffffcc","#ffffcc","#ffffcc","#ffffcc","#ffffcc","#ffffcc","#ffffcc","#ffffcc","#ffffcc","#ffffcc","#ffffcc","#00ffff","#999999"],"fg":["#000000","#000000","#000000","#000000","#000000","#000000","#000000","#ffffff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Acurio","dias":["DO","DO","DO","DO","HO FILE","LCK A320F\nLIM-AQP-LIM\nLA 2123 (09:20-11:00 hrs)\nLA 2124 (11:35-13:10 hrs)","Inicial G1","Inicial G2","RTI: PRÁCTICA\nA320F / B767\n(08:30-17:30 hrs)\nINS TITULAR","DO","DO","Habilitación B787 (CST)\n- LIM-SCL\n- LA 2697 (09:35-13:00 hrs)\nHabilitación B787 (CST)\n- SCL-LIM\n- LA 2696 (16:00-19:45 hrs)","B","Reva de Servicio\n(08:30-17:30 hrs)\nDÍA 2","LCK B767\n- LIM-BOG\n- LA 2489 (13:00-16:15 hrs)\nLCK B767\n- BOG-LIM\n- LA 2488 (17:20-20:45 hrs)","HO FILE TARDE","DO","DO","HO FILE","Blanco Recojo","LCK B767\n- LIM-MIA\n- LA 2480 (00:15-06:15 hrs)","Acompañamiento de Servicio B767\n- MIA-LIM\n- LA 2695 (16:20-22:00 hrs)","HO FILE TARDE","DO","DO","HO FILE","LCK A320F  (VIGILANCIA DGAC) + HAB A320F.\nLA2306 - LA2307\nLIM - PIU - LIM","HO FILE","RTI: PRÁCTICA\nA320F / B767\n(08:30-17:30 hrs)\nINS APOYO TM","CURSO REFRESCO IDE","DO"],"bg":["#ffffff","#ffffff","#ffffff","#ffffff","#999999","#f7caac","#fff2cc","#b4a7d6","#cce0f4","#ffffff","#ffffff","#e88888","#ffffff","#2f5496","#ffc000","#999999","#ffffff","#ffffff","#999999","#ffc000","#ffc000","#ffc000","#999999","#ffffff","#ffffff","#999999","#f7caac","#999999","#cce0f4","#00ffff","#ffffff"],"fg":["#000000","#000000","#000000","#000000","#000000","#000000","#000000","#ffffff","#000000","#000000","#000000","#000000","#000000","#ffffff","#000000","#000000","#000000","#000000","#000000","#000000","#000000","#000000","#000000","#000000","#000000","#000000","#000000","#000000","#000000","#000000","#000000"]},{"bp":"29530","nombre":"Jazmin Guerra","dias":["DO","HO FILE","DO","DO","Inicial G13","Inicial G1","Habilitación B787 (CST)\n- LIM-SCL\n- LA 2697 (09:35-13:00 hrs)\nHabilitación B787 (CST)\n- SCL-LIM\n- LA 2696 (16:00-19:45 hrs)","DO","DO","DO","DO","LCK B767\n- LIM-MIA\n- LA 2694 (13:30-19:30 hrs)","Habilitación 767*\n- MIA-LIM\n- LA 2699 (23:10-05:00 hrs)","Blanco","RTI: PRÁCTICA\nA320F / B767 / B787\n(08:30-17:30 hrs)\nINS APOYO TM","HO FILE","DO","DO","ACOMPAÑAMIENTO EN VUELO","LCK A320F + HAB. A320F\nLIM-CUZ-LIM\nLA2075/LA2076","Blanco Recojo","LCK B767\n- LIM-MIA\n- LA 2480 (00:15-06:15 hrs)","Habilitación B767\n- MIA-LIM\n- LA 2481 (15:55-21:40 hrs)","DO","DO","Situaciones de Emergencia B767\nTripulación de Mando\nLP\n(08:30-17:30 hrs)","Reva de Servicio\n(08:30-17:30 hrs)\nDÍA 1","Ditching Presencial B767 + HANDS ON\nTripulación de Mando\nLP\n(08:30-17:30 hrs)","HO FILE","CURSO REFRESCO IDE","DO"],"bg":["#ffffff","#999999","#ffffff","#ffffff","#38761d","#fff2cc","#e88888","#ffffff","#ffffff","#ffffff","#ffffff","#ffc000","#ffc000","#ffc000","#cce0f4","#999999","#ffffff","#ffffff","#a2c4c9","#f7caac","#ffc000","#ffc000","#ffc000","#ffffff","#ffffff","#ff4b4f","#2f5496","#ff4b4f","#999999","#00ffff","#ffffff"],"fg":["#000000","#000000","#000000","#000000","#ffffff","#000000","#000000","#000000","#000000","#000000","#000000","#000000","#000000","#000000","#000000","#000000","#000000","#000000","#ffffff","#000000","#000000","#000000","#000000","#000000","#000000","#ffffff","#ffffff","#ffffff","#000000","#000000","#000000"]},{"bp":"3217561","nombre":"Claudia Flores","dias":["DO","DO","DO","DO","LCK A320F\nLIM-AQP-LIM\nLA 2115 (13:55-15:25 hrs)\nLA 2114 (16:00-17:35 hrs)","REVA ANUAL INSTRUCTORES\n ALUMNO","LCK A320F\r\nLIM-TCQ-LIM\r\nLA 2245 (09:00-10:50 hrs)\r\nLA 2244 (11:25-13:15 hrs)\r\nLCK A320F\r\nLIM-TPP-LIM\r\nLA 2087 (14:10-15:35 hrs)\r\nLA 2088 (16:10-17:30 hrs)","Inicial G1","Inicial G1","DO","DO","TALLER VOLUNTARIO SEG","HANDS ON B767","HO FILE","Reva de Servicio\n(08:30-17:30 hrs)\nDÍA 1","HO FILE","DO","DO","LCK A320F\r\nLIM-AQP-LIM\r\nLA 2123 (09:20-11:00 hrs)\r\nLA 2124 (11:35-13:10 hrs)\r\nLCK A320F\r\nLIM-CUZ-LIM\r\nLA 2075 (14:25-15:50 hrs)\r\nLA 2076 (16:25-18:00 hrs)","LCK ALUMNO A320F (CCM)\nLIM-PCL-LIM\nLA 2360 (14:05-15:20 hrs)\nLA 2361 (15:55-17:10 hrs)\nLIM-TRU-LIM\nLA 2139 (18:00-19:10 hrs)\nLA 2140 (19:45-21:00 hrs)","HO FILE TARDE","Inicial G13\nCHEQUEO DGAC \nLA2306 - LA2307        \nLIM - PIU - LIM","Habilitación B767\n- LIM-BOG\n- LA 2489 (13:00-16:15 hrs)\nChequeo DGAC B767\n- BOG-LIM\n- LA 2488 (17:20-20:45 hrs)","DO","DO","LCK A320F\nLIM-AQP-LIM\nLA 2115 (13:55-15:25 hrs)\nLA 2114 (16:00-17:35 hrs)","HO FILE","LCK A320F\r\nLIM-AQP-LIM\r\nLA 2123 (09:20-11:00 hrs)\r\nLA 2124 (11:35-13:10 hrs)\r\nLCK A320F\r\nLIM-PCL-LIM\r\nLA 2360 (14:05-15:20 hrs)\r\nLA 2361 (15:55-17:10 hrs)","Inicial G1","CURSO REFRESCO IDE","DO"],"bg":["#ffffff","#ffffff","#ffffff","#ffffff","#f7caac","#ff9900","#f7caac","#fff2cc","#fff2cc","#ffffff","#ffffff","#ffff00","#ffff00","#999999","#2f5496","#999999","#ffffff","#ffffff","#f7caac","#f7caac","#999999","#38761d","#ffc000","#ffffff","#ffffff","#f7caac","#999999","#f7caac","#fff2cc","#00ffff","#ffffff"],"fg":["#000000","#000000","#000000","#000000","#000000","#000000","#000000","#000000","#000000","#000000","#000000","#000000","#000000","#000000","#ffffff","#000000","#000000","#000000","#000000","#000000","#000000","#ffffff","#000000","#000000","#000000","#000000","#000000","#000000","#000000","#000000","#000000"]},{"bp":"2963161","nombre":"Luis Bacigalupo","dias":["DO","CAPACITACION RRVV","DO","DO","REVA ANUAL INSTRUCTORES\n ALUMNO","VISITA AL CAE CON COMUNICACIONES INTERNAS Y EXTERNAS","VISITA AL CAE CON COMUNICACIONES INTERNAS Y EXTERNAS","DO","DO","DO","DO","Blanco Recojo","LCK B767\n- LIM-MIA\n- LA 2480 (00:15-06:15 hrs)","Pasajero 767\n- MIA-LIM\n- LA 2699 (23:10-05:30 hrs)","Blanco","CURSO 50%","DO","DO","Inicial G1","Reva de Servicio\n(08:30-17:30 hrs)\nDÍA 1","INICIAL G13 \nCHEQUEO DGAC\nLA2023 - LA2024\n LIM - PEM - LIM","LCK B767\n- LIM-BOG\n- LA 2489 (13:00-16:15 hrs)\nLCK B767\n- BOG-LIM\n- LA 2488 (17:20-20:45 hrs)","HO FILE TARDE","DO","DO","Inicial G13\nCHEQUEO LATAM\nLA2023 - LA2024 - LA2061 - LA2062\nLIM - PEM - LIM - CUZ - LIM","Blanco Recojo","LCK B767\n- LIM-MIA\n- LA 2480 (00:15-06:15 hrs)","Habilitación B767\n- MIA-LIM\n- LA 2695 (16:20-22:00 hrs)","HO FILE TARDE","DO"],"bg":["#ffffff","#d0e0e3","#ffffff","#ffffff","#ff9900","#999999","#999999","#ffffff","#ffffff","#ffffff","#ffffff","#ffc000","#ffc000","#ffc000","#ffc000","#ffe599","#ffffff","#ffffff","#fff2cc","#2f5496","#38761d","#ffc000","#999999","#ffffff","#ffffff","#38761d","#ffc000","#ffc000","#ffc000","#999999","#ffffff"],"fg":["#000000","#000000","#000000","#000000","#000000","#000000","#000000","#000000","#000000","#000000","#000000","#000000","#000000","#000000","#000000","#000000","#000000","#000000","#000000","#ffffff","#ffffff","#000000","#000000","#000000","#000000","#ffffff","#000000","#000000","#000000","#000000","#000000"]},{"bp":"71348","nombre":"Karla Moz","dias":["LP","LP","LP","LP","LP","LP","LP","LP","LP","LP","LP","LP","LP","LP","LP","LP","LP","LP","LP","LP","LP","LP","LP","LP","LP","LP","LP","LP","LP","LP","LP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Dávila","dias":["VACACIONES","VACACIONES","VACACIONES","VACACIONES","VACACIONES","VACACIONES","VACACIONES","Reva de Servicio\n(08:30-17:30 hrs)\nDÍA 1","Reva de Servicio\n(08:30-17:30 hrs)\nDÍA 2","DO","DO","REVA ANUAL INSTRUCTORES\n ALUMNO","RTI: VIRTUAL\nA320F / B767 / B787\n(08:30-17:30 hrs)\nINS TITULAR","RTI: PRÁCTICA\nA320F / B767 / B787\n(08:30-17:30 hrs)\nINS TITULAR","RTI: PRÁCTICA\nA320F / B767 / B787\n(08:30-17:30 hrs)\nINS APOYO TM","HO FILE","DO","DO","CURSO 50%","CURSO 50%","Reva de Servicio\n(08:30-17:30 hrs)\nDÍA 2","Inicial G2","DO","VACACIONES","VACACIONES","VACACIONES","VACACIONES","VACACIONES","VACACIONES","VACACIONES","VACACIONES"],"bg":["#ffffcc","#ffffcc","#ffffcc","#ffffcc","#ffffcc","#ffffcc","#ffffcc","#2f5496","#2f5496","#ffffff","#ffffff","#ff9900","#cce0f4","#cce0f4","#cce0f4","#999999","#ffffff","#ffffff","#ffe599","#ffe599","#2f5496","#b4a7d6","#ffffff","#ffffcc","#ffffcc","#ffffcc","#ffffcc","#ffffcc","#ffffcc","#ffffcc","#ffffcc"],"fg":["#000000","#000000","#000000","#000000","#000000","#000000","#000000","#ffffff","#ffffff","#000000","#000000","#000000","#000000","#000000","#000000","#000000","#000000","#000000","#000000","#000000","#ffffff","#ffffff","#000000","#000000","#000000","#000000","#000000","#000000","#000000","#000000","#000000"]},{"bp":"2369641","nombre":"Elizabeth Torres","dias":["VACACIONES","VACACIONES","VACACIONES","VACACIONES","VACACIONES","VACACIONES","VACACIONES","VACACIONES","VACACIONES","VACACIONES","VACACIONES","VACACIONES","ENTREVISTAS","HO FILE","ACT\nRRVV","LCK A320F\nLIM-PCL-LIM\nLA2360/LA2361","DO","DO","HO FILE","Inicial G13\nCHEQUEO LATAM\nLA2125 - LA2126 - LA2308 - LA2309\t\nLIM - PIU - LIM - PIU - LIM","REVA ANUAL INSTRUCTORES\n ALUMNO","HABILITACIÓN A320F (CCM)\nLIM-TBP-LIM\nLA 2052 (14:00-16:00 hrs)\nLA 2051 (16:40-18:20 hrs)","LCK B767\n- LIM-BOG\n- LA 2489 (13:00-16:15 hrs)\nLCK B767\n- BOG-LIM\n- LA 2488 (17:20-20:45 hrs)","DO","DO","Blanco Recojo","LCK B767\n- LIM-MIA\n- LA 2480 (00:15-06:15 hrs)","Habilitación B767*\n- MIA-LIM\n- LA 2481 (15:55-21:40 hrs)","HO FILE TARDE","Reva de Servicio\n(08:30-17:30 hrs)\nDÍA 2","DO"],"bg":["#ffffcc","#ffffcc","#ffffcc","#ffffcc","#ffffcc","#ffffcc","#ffffcc","#ffffcc","#ffffcc","#ffffcc","#ffffcc","#ffffcc","#999999","#999999","#ffff00","#f7caac","#ffffff","#ffffff","#999999","#38761d","#ff9900","#f7caac","#ffc000","#ffffff","#ffffff","#ffc000","#ffc000","#ffc000","#999999","#2f5496","#ffffff"],"fg":["#000000","#000000","#000000","#000000","#000000","#000000","#000000","#000000","#000000","#000000","#000000","#000000","#000000","#000000","#000000","#000000","#000000","#000000","#000000","#ffffff","#000000","#000000","#000000","#000000","#000000","#000000","#000000","#000000","#000000","#ffffff","#000000"]},{"bp":"2369624","nombre":"Patricia del Pilar Najar","dias":["VACACIONES","VACACIONES","VACACIONES","VACACIONES","VACACIONES","VACACIONES","Reentrenamiento A320F \nAlumna","DO","Habilitación B767 (CCM)\n- LIM-MIA\n- LA 2694 (13:30-19:30 hrs)","Habilitación B767 (CCM)\n- MIA-LIM\n- LA 2699 (23:10-05:00 hrs)","Blanco","REVA ANUAL INSTRUCTORES\n ALUMNO","DO","ENTREVISTAS","ACT\nRRVV","INICIAL G13 (CHEQUEO DGAC) \n- LIM-PIU-LIM \n- LA2125 - LA2126 (08:00 - 10:15 hrs)\n\n INICIAL G13 (CHEQUEO DGAC) \n- LIM-PIU-LIM \n-LA2308 - LA2309 (13:10 - 15:25 hrs)","DO","DO","Inicial G13 \nCHEQUEO LATAM\nLA2052 - LA2051 - LA2135 - LA2136\nLIM - TBP - LIM - TRU - LIM","RESERVA IET TARDE","Reentrenamiento A320F\nLIM-AQP-LIM\n2123/2124","DO","DO","DO","DO","Inicial G1\nVISITA GUIADA","Inicial G1\nVISITA GUIADA","Blanco Recojo","LCK B767\n- LIM-MIA\n- LA 2480 (00:15-06:15 hrs)","Habilitación B767*\n- MIA-LIM\n- LA 2481 (17:55-23:40 hrs)","Blanco"],"bg":["#ffffcc","#ffffcc","#ffffcc","#ffffcc","#ffffcc","#ffffcc","#f7caac","#ffffff","#ffc000","#ffc000","#ffc000","#ff9900","#ffffff","#999999","#ffff00","#38761d","#ffffff","#ffffff","#38761d","#d9d9d9","#f7caac","#ffffff","#ffffff","#ffffff","#ffffff","#fff2cc","#fff2cc","#ffc000","#ffc000","#ffc000","#ffc000"],"fg":["#000000","#000000","#000000","#000000","#000000","#000000","#000000","#000000","#000000","#000000","#000000","#000000","#000000","#000000","#000000","#ffffff","#000000","#000000","#ffffff","#000000","#000000","#000000","#000000","#000000","#000000","#000000","#000000","#000000","#000000","#000000","#000000"]},{"bp":"3134911","nombre":"Javier Zapata","dias":["DO","Inicial G13","DO","DO","REVA ANUAL INSTRUCTORES\n ALUMNO","LCK ALUMNO A320F (CCM)\nLIM-AQP-LIM\nLA 2123 (09:20-11:00 hrs)\nLA 2124 (11:35-13:10 hrs)\nHABILITACIÓN A320F (A320F)\nLIM-AQP-LIM\nLA 2115 (13:55-15:25 hrs)\nLA 2114 (16:00-17:35 hrs)","HO FILE","DO","DO","DO","DO","Inicial G1","LCK B767\n- LIM-MIA\n- LA 2698 (08:25-14:20 hrs)","Habilitación B767\n- MIA-LIM\n- LA 2699 (23:10-05:00 hrs)","Blanco","Inicial G2","DO","DO","HO FILE","Inicial G2","Inicial G2","RTI: PRÁCTICA\nA320F / B767\n(08:30-17:30 hrs)\nINS APOYO TM","Inicial G13\nCHEQUEO DGAC\nLA2274 - LA2275\t\nLIM - CIX - LIM","DO","DO","Inicial G1","HO FILE","HO FILE","LCK B767\n- LIM-BOG\n- LA 2489 (13:00-16:15 hrs)\nLCK B767\n- BOG-LIM\n- LA 2488 (17:20-20:45 hrs)","Reentrenamiento A320F + Recalificación A320F\nLIM-PCL-LIM\n2360/2361","DO"],"bg":["#ffffff","#38761d","#ffffff","#ffffff","#ff9900","#f7caac","#999999","#ffffff","#ffffff","#ffffff","#ffffff","#fff2cc","#ffc000","#ffc000","#ffc000","#b4a7d6","#ffffff","#ffffff","#999999","#b4a7d6","#b4a7d6","#cce0f4","#38761d","#ffffff","#ffffff","#fff2cc","#999999","#999999","#ffc000","#f7caac","#ffffff"],"fg":["#000000","#ffffff","#000000","#000000","#000000","#000000","#000000","#000000","#000000","#000000","#000000","#000000","#000000","#000000","#000000","#ffffff","#000000","#000000","#000000","#ffffff","#ffffff","#000000","#ffffff","#000000","#000000","#000000","#000000","#000000","#000000","#000000","#000000"]},{"bp":"3750335","nombre":"Jefferson Mendez","dias":["DO","HO FILE","DO","DO","LCK A320F\r\nLIM-AQP-LIM\r\nLA 2123 (09:20-11:00 hrs)\r\nLA 2124 (11:35-13:10 hrs)\r\nLCK A320F\r\nLIM-TPP-LIM\r\nLA 2087 (14:10-15:35 hrs)\r\nLA 2088 (16:10-17:30 hrs)","REVA ANUAL INSTRUCTORES\nINSTRUCTOR","LCK A320F\r\nLIM-AQP-LIM\r\nLA 2123 (09:20-11:00 hrs)\r\nLA 2124 (11:35-13:10 hrs)\r\nLCK A320F\r\nLIM-PCL-LIM\r\nLA 2360 (14:05-15:20 hrs)\r\nLA 2361 (15:55-17:10 hrs)","DO","DO","DO","DO","LCK A320F\r\nLIM-TCQ-LIM\r\nLA 2245 (09:00-10:50 hrs)\r\nLA 2244 (11:25-13:15 hrs)\r\nLCK A320F\r\nLIM-TPP-LIM\r\nLA 2087 (14:10-15:35 hrs)\r\nLA 2088 (16:10-17:30 hrs)","Inicial G2","Blanco Recojo","LCK B767\n- LIM-MIA\n- LA 2480 (00:15-06:15 hrs)","Habilitación B767\n- MIA-LIM\n- LA 2481 (15:55-21:40 hrs)","DO","DO","TALLER VOLUNTARIO SEG","Reentrenamiento A320F\r\nLIM-AQP-LIM\r\nLA 2123 (09:20-11:00 hrs)\r\nLA 2124 (11:35-13:10 hrs)\r\nLCK A320F\r\nLIM-PCL-LIM\r\nLA 2360 (14:05-15:20 hrs)\r\nLA 2361 (15:55-17:10 hrs)","Inicial G1","Inicial G1\nVISITA GUIADA","Inicial G1\nVISITA GUIADA","DO","DO","LCK A320F\r\nLIM-AQP-LIM\r\nLA 2123 (09:20-11:00 hrs)\r\nLA 2124 (11:35-13:10 hrs)\r\nLCK A320F\r\nLIM-TPP-LIM\r\nLA 2087 (14:10-15:35 hrs)\r\nLA 2088 (16:10-17:30 hrs)","HO FILE","Reva de Servicio\n(08:30-17:30 hrs)\nDÍA 2","RTI: PRÁCTICA\nA320F / B767\n(08:30-17:30 hrs)\nINS TITULAR","LCK B767\n- LIM-BOG\n- LA 2489 (13:00-16:15 hrs)\nLCK B767\n- BOG-LIM\n- LA 2488 (17:20-20:45 hrs)","DO"],"bg":["#ffffff","#999999","#ffffff","#ffffff","#f7caac","#ff9900","#f7caac","#ffffff","#ffffff","#ffffff","#ffffff","#f7caac","#b4a7d6","#ffc000","#ffc000","#ffc000","#ffffff","#ffffff","#ffff00","#f7caac","#fff2cc","#fff2cc","#fff2cc","#ffffff","#ffffff","#f7caac","#999999","#2f5496","#cce0f4","#ffc000","#ffffff"],"fg":["#000000","#000000","#000000","#000000","#000000","#000000","#000000","#000000","#000000","#000000","#000000","#000000","#ffffff","#000000","#000000","#000000","#000000","#000000","#000000","#000000","#000000","#000000","#000000","#000000","#000000","#000000","#000000","#ffffff","#000000","#000000","#000000"]},{"bp":"3852423","nombre":"Gabriela Ungaro","dias":["DO","Inicial G13","DO","DO","REVA ANUAL INSTRUCTORES\n INSTRUCTOR","LCK A320F\r\nLIM-TCQ-LIM\r\nLA 2245 (09:00-10:50 hrs)\r\nLA 2244 (11:25-13:15 hrs)\r\nLCK A320F\r\nLIM-TPP-LIM\r\nLA 2087 (14:10-15:35 hrs)\r\nLA 2088 (16:10-17:30 hrs)","Reva de Servicio\n(08:30-17:30 hrs)\nDÍA 2","DO","DO","DO","DO","LCK A320F\nLIM-AQP-LIM\nLA 2123 (09:20-11:00 hrs)\nLA 2124 (11:35-13:10 hrs)\nLCK A320F\nLIM-CUZ-LIM\nLA 2075 (14:25-15:50 hrs)\nLA 2076 (16:25-18:00 hrs)","Inicial G13\nCHEQUEO LATAM\nLA2227 - LA2228 - LA2276  \nLIM - TRU - LIM - CUZ - LIM","DO","ACT\nRRVV","CHEQUEO DGAC A320F (50%)\nLIM-PIU-LIM\nLA 2306 (09:35-11:20 hrs)\nLA 2307 (11:55-13:25 hrs)","DO","DO","TALLER VOLUNTARIO SEG","Inicial G1","Inicial G13 \nCHEQUEO DGAC\nLA2238 - LA2239        \nLIM - CUZ - LIM","LCK A320F\nLIM-AQP-LIM\nLA 2123 (09:20-11:00 hrs)\nLA 2124 (11:35-13:10 hrs)\nLCK A320F\nLIM-TPP-LIM\nLA 2087 (14:10-15:35 hrs)\nLA 2088 (16:10-17:30 hrs)","Inicial G2","DO","DO","Recalificación A320F + Habilitación A320F\nLIM-CUZ-LIM\nLA 2238 (10:15-11:40 hrs)\nLA 2239 (12:15-13:45 hrs)","DESCANSO MÉDICO","DESCANSO MÉDICO","Inicial G1","LCK A320F\r\nLIM-PIU-LIM\r\nLA 2306 (09:35-11:20 hrs)\r\nLA 2307 (11:55-13:25 hrs)\r\nLCK A320F\r\nLIM-CIX-LIM\r\nLA 2312 (14:25-15:55 hrs)\r\nLA 2313 (16:35-18:00 hrs)","DO"],"bg":["#ffffff","#38761d","#ffffff","#ffffff","#ff9900","#f7caac","#2f5496","#ffffff","#ffffff","#ffffff","#ffffff","#f7caac","#38761d","#ffffff","#ffff00","#f7caac","#ffffff","#ffffff","#ffff00","#fff2cc","#38761d","#f7caac","#b4a7d6","#ffffff","#ffffff","#f7caac","#fce5cd","#fce5cd","#fff2cc","#f7caac","#ffffff"],"fg":["#000000","#ffffff","#000000","#000000","#000000","#000000","#ffffff","#000000","#000000","#000000","#000000","#000000","#ffffff","#000000","#000000","#000000","#000000","#000000","#000000","#000000","#ffffff","#000000","#ffffff","#000000","#000000","#000000","#000000","#000000","#000000","#000000","#000000"]},{"bp":"2604360","nombre":"Mariella Carrasco","dias":["DO","DO","DO","DO","Inicial G13","Reva de Servicio\n(08:30-17:30 hrs)\nDÍA 1","Reentrenamiento A320F + Habilitación A320F","HO FILE","Inicial G2","DO","DO","LCK A320F\r\nLIM-CIX-LIM\r\nLA 2274 (09:40-11:10 hrs)\r\nLA 2275 (11:45-13:05 hrs)\r\nLCK A320F\r\nLIM-AQP-LIM\r\nLA 2115 (13:55-15:25 hrs)\r\nLA 2114 (16:00-17:35 hrs)","HO FILE","Inicial G2","Inicial G13\nCHEQUEO LATAM\nLA2184 - LA2183 \nLIM - AYP - LIM","HO FILE","DO","DO","HO FILE","HO FILE","Inicial G13 \nCHEQUEO DGAC\nLA2260- LA2261        \nLIM - PEM- LIM","Inicial G13 \nCHEQUEO DGAC\nLA2081 - LA2082        \nLIM - TPP - LIM","Chequeo DGAC B767\n- LIM-BOG\n- LA 2489 (13:00-16:15 hrs)\nLCK ALUMNA B767 (CST)\n- BOG-LIM\n- LA 2488 (17:20-20:45 hrs)","DO","DO","HO FILE","LCK B767\n- LIM-MIA\n- LA 2698 (08:25-14:20 hrs)","Reentrenamiento B767\n- MIA-LIM\n- LA 2699 (23:10-05:00 hrs)","Blanco","LCK A320F\r\nLIM-AQP-LIM\r\nLA 2123 (09:20-11:00 hrs)\r\nLA 2124 (11:35-13:10 hrs)\r\nLCK A320F\r\nLIM-TPP-LIM\r\nLA 2087 (14:10-15:35 hrs)\r\nLA 2088 (16:10-17:30 hrs)","DO"],"bg":["#ffffff","#ffffff","#ffffff","#ffffff","#38761d","#2f5496","#f7caac","#999999","#b4a7d6","#ffffff","#ffffff","#f7caac","#999999","#b4a7d6","#38761d","#999999","#ffffff","#ffffff","#999999","#999999","#38761d","#38761d","#ffc000","#ffffff","#ffffff","#999999","#ffc000","#ffc000","#ffc000","#f7caac","#ffffff"],"fg":["#000000","#000000","#000000","#000000","#ffffff","#ffffff","#000000","#000000","#ffffff","#000000","#000000","#000000","#000000","#ffffff","#ffffff","#000000","#000000","#000000","#000000","#000000","#ffffff","#ffffff","#000000","#000000","#000000","#000000","#000000","#000000","#000000","#000000","#000000"]},{"bp":"2823133","nombre":"Cesar Campos","dias":["DO","CAPACITACION RRVV","DO","DO","Reentrenamiento B767\n- LIM-MIA\n- LA 2694 (13:30-19:30 hrs)","Habilitación B767*\n- MIA-LIM\n- LA 2699 (23:10-05:00 hrs)","Blanco","DO","DO","DO","DO","REVA ANUAL INSTRUCTORES\n ALUMNO","Inicial G13\nCHEQUEO LATAM\nLA2130 - LA2129 - LA2308 - LA2309\nLIM - CUZ - LIM - PIU - LIM","HO FILE","ACT\nRRVV","Reva de Servicio\n(08:30-17:30 hrs)\nDÍA 2","DO","DO","Inicial G13 \nCHEQUEO LATAM\nLA2130 - LA2129 - LA2308 - LA2309        \nLIM - CUZ - LIM - PIU - LIM","RTI: VIRTUAL\nA320F / B767\n(08:30-17:30 hrs)\nINS TITULAR","Inicial G13\nCHEQUEO LATAM\nLA2013 - LA2014 - LA2356 - LA2532\nLIM - CUZ - LIM - CUZ - LIM","RTI: PRÁCTICA\nA320F / B767\n(08:30-17:30 hrs)\nINS TITULAR","HO FILE","DO","DO","HANDS ON B767","HO FILE","Inicial G1","HO FILE","Inicial G2","DO"],"bg":["#ffffff","#d0e0e3","#ffffff","#ffffff","#ffc000","#ffc000","#ffc000","#ffffff","#ffffff","#ffffff","#ffffff","#ff9900","#38761d","#999999","#ffff00","#2f5496","#ffffff","#ffffff","#38761d","#cce0f4","#38761d","#cce0f4","#999999","#ffffff","#ffffff","#ffff00","#999999","#fff2cc","#999999","#b4a7d6","#ffffff"],"fg":["#000000","#000000","#000000","#000000","#000000","#000000","#000000","#000000","#000000","#000000","#000000","#000000","#ffffff","#000000","#000000","#ffffff","#000000","#000000","#ffffff","#000000","#ffffff","#000000","#000000","#000000","#000000","#000000","#000000","#000000","#000000","#ffffff","#000000"]},{"bp":"3189967","nombre":"Kevin Segovia","dias":["DO","HO FILE","DO","DO","HABILITACIÓN A320F (A320F)\nLIM-CJA-LIM\nLA 2291 (05:10-06:30 hrs)\nLA 2290 (07:10-08:10 hrs)\nLCK ALUMNO A320F (CCM)\nLIM-AQP-LIM\nLA 2123 (09:20-11:00 hrs)\nLA 2124 (11:35-13:10 hrs)","REVA ANUAL INSTRUCTORES\n ALUMNO","RTI: VIRTUAL\nA320F / B767\n(08:30-17:30 hrs)\nINS CRM","DO","DO","DO","DO","CURSO 50%","CHEQUEO LATAM A320F (50%)\nLIM-TCQ-LIM\nLA 2245 (09:00-10:50 hrs)\nLA 2244 (11:25-13:15 hrs)","Inicial G1","Inicial G2","ENTREVISTAS","DO","DO","Inicial G13\nCHEQUEO LATAM\nLA2125 - LA2126 - LA2312 - LA2313        \nLIM - PIU - LIM - CIX - LIM","Inicial G13 \n(Recuperatorio)","Habilitación B767 (CCM)\n- LIM-ATL\n- LA 2482 (12:15-19:35 hrs)","Habilitación B767 (CCM)\n- ATL-LIM\n- LA 2483 (22:15-05:00 hrs)","Blanco","DO","DO","CURSO 50%","Inicial G2 (VISITA GUIADA)","Inicial G2 (VISITA GUIADA)","Inicial G2 (VISITA GUIADA)","HO FILE","DO"],"bg":["#ffffff","#999999","#ffffff","#ffffff","#f7caac","#ff9900","#cce0f4","#ffffff","#ffffff","#ffffff","#ffffff","#ffe599","#f7caac","#fff2cc","#b4a7d6","#999999","#ffffff","#ffffff","#38761d","#38761d","#ffc000","#ffc000","#ffc000","#ffffff","#ffffff","#ffe599","#b4a7d6","#b4a7d6","#b4a7d6","#999999","#ffffff"],"fg":["#000000","#000000","#000000","#000000","#000000","#000000","#000000","#000000","#000000","#000000","#000000","#000000","#000000","#000000","#ffffff","#000000","#000000","#000000","#ffffff","#ffffff","#000000","#000000","#000000","#000000","#000000","#000000","#ffffff","#ffffff","#ffffff","#000000","#000000"]},{"bp":"2415373","nombre":"Milagros Salas","dias":["DO","HO FILE","DO","DO","Inicial G1","REVA ANUAL INSTRUCTORES\n ALUMNO","Inicial G2","DO","DO","DO","DO","Inicial G2","Reva de Servicio\n(08:30-17:30 hrs)\nDÍA 1","Inicial G1","DESCANSO MÉDICO","DESCANSO MÉDICO","DO","DO","Inicial G2","Inicial G13\nCHEQUEO LATAM\nLA2147 - LA2148 - LA2087 - LA2088\nLIM - JUL - LIM - TPP - LIM","REVA ANUAL INSTRUCTORES INSTRUCTOR","Reva de Servicio\n(08:30-17:30 hrs)\nDÍA 1","Reva de Servicio\n(08:30-17:30 hrs)\nDÍA 2","DO","DO","Habilitación B767 (CCM)\n- LIM-ATL\n- LA 2482 (12:15-19:35 hrs)","Habilitación B767 (CCM)\n- ATL-LIM\n- LA 2483 (22:15-05:00 hrs)","Blanco","RTI: PRÁCTICA\nA320F / B767\n(08:30-17:30 hrs)\nINS APOYO","Inicial G13\nTALLER DÍA 2","DO"],"bg":["#ffffff","#999999","#ffffff","#ffffff","#fff2cc","#ff9900","#b4a7d6","#ffffff","#ffffff","#ffffff","#ffffff","#b4a7d6","#2f5496","#fff2cc","#fce5cd","#fce5cd","#ffffff","#ffffff","#b4a7d6","#38761d","#ff9900","#2f5496","#2f5496","#ffffff","#ffffff","#ffc000","#ffc000","#ffc000","#cce0f4","#38761d","#ffffff"],"fg":["#000000","#000000","#000000","#000000","#000000","#000000","#ffffff","#000000","#000000","#000000","#000000","#ffffff","#ffffff","#000000","#000000","#000000","#000000","#000000","#ffffff","#ffffff","#000000","#ffffff","#ffffff","#000000","#000000","#000000","#000000","#000000","#000000","#ffffff","#000000"]},{"bp":"2440915","nombre":"Judith Fernandez","dias":["VACACIONES","VACACIONES","VACACIONES","VACACIONES","VACACIONES","VACACIONES","VACACIONES","DO","DO","DO","DO","REVA ANUAL INSTRUCTORES\n ALUMNO","CURSO 50%","HO FILE","Chequeo LATAM B767\n- LIM-BOG\n- LA 2489 (13:00-16:15 hrs)\nHabilitación B767*\n- BOG-LIM\n- LA 2488 (17:20-20:45 hrs)","HO FILE TARDE","DO","DO","Inicial G13\nCHEQUEO LATAM\nLA2147 - LA2148 - LA2087 - LA2088\t\nLIM - JUL - LIM - TPP - LIM","RTI: VIRTUAL\nA320F / B767\n(08:30-17:30 hrs)\nINS CRM","CURSO 50%","RTI: PRÁCTICA\nA320F / B767\n(08:30-17:30 hrs)\nINS APOYO","CURSO 50%","DO","DO","HO FILE","RTI: VIRTUAL\nA320F / B767\n(08:30-17:30 hrs)\nINS CRM","Inicial G1","RTI: PRÁCTICA\nA320F / B767\n(08:30-17:30 hrs)\nINS TITULAR","DO","DO"],"bg":["#ffffcc","#ffffcc","#ffffcc","#ffffcc","#ffffcc","#ffffcc","#ffffcc","#ffffff","#ffffff","#ffffff","#ffffff","#ff9900","#ffe599","#999999","#ffc000","#999999","#ffffff","#ffffff","#38761d","#cce0f4","#ffe599","#cce0f4","#ffe599","#ffffff","#ffffff","#999999","#cce0f4","#fff2cc","#cce0f4","#ffffff","#ffffff"],"fg":["#000000","#000000","#000000","#000000","#000000","#000000","#000000","#000000","#000000","#000000","#000000","#000000","#000000","#000000","#000000","#000000","#000000","#000000","#ffffff","#000000","#000000","#000000","#000000","#000000","#000000","#000000","#000000","#000000","#000000","#000000","#000000"]},{"bp":"3796947","nombre":"Rafael Nieto","dias":["SICK","SICK","SICK","SICK","SICK","CUMP","CUMP","SICK","SICK","SICK","SICK","SICK","SICK","SICK","SICK","SICK","SICK","SICK","SICK","SICK","SICK","SICK","SICK","SICK","SICK","SICK","SICK","SICK","SICK","SICK","SICK"],"bg":["#ffffff","#ffffff","#ffffff","#ffffff","#ffffff","#ffc0cb","#ffc0cb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Celiz","dias":["DO","CURSO 50%","DO","DO","REVA ANUAL INSTRUCTORES\n ALUMNO","Inicial G13","RTI: VIRTUAL\nA320F / B767\n(08:30-17:30 hrs)\nINS TITULAR","DO","DO","DO","DO","TALLER VOLUNTARIO SEG","RTI: VIRTUAL\nA320F / B767 / B787\n(08:30-17:30 hrs)\nINS CRM","HO FILE","DO","VACACIONES","VACACIONES","VACACIONES","VACACIONES","VACACIONES","VACACIONES","VACACIONES","VACACIONES","DO","DO","Inicial G2","RTI: VIRTUAL\nA320F / B767\n(08:30-17:30 hrs)\nINS TITULAR","HO FILE","Reva de Servicio\n(08:30-17:30 hrs)\nDÍA 1","Inicial G1","DO"],"bg":["#ffffff","#ffe599","#ffffff","#ffffff","#ff9900","#38761d","#cce0f4","#ffffff","#ffffff","#ffffff","#ffffff","#ffff00","#cce0f4","#999999","#ffffff","#ffffcc","#ffffcc","#ffffcc","#ffffcc","#ffffcc","#ffffcc","#ffffcc","#ffffcc","#ffffff","#ffffff","#b4a7d6","#cce0f4","#999999","#2f5496","#fff2cc","#ffffff"],"fg":["#000000","#000000","#000000","#000000","#000000","#ffffff","#000000","#000000","#000000","#000000","#000000","#000000","#000000","#000000","#000000","#000000","#000000","#000000","#000000","#000000","#000000","#000000","#000000","#000000","#000000","#ffffff","#000000","#000000","#ffffff","#000000","#000000"]}]}</t>
  </si>
  <si>
    <t>Google Sheet</t>
  </si>
  <si>
    <t>{"mes":"2026-02","fuente":"02 - Rol Instructores LP FEBRERO","hoja":"FEBRERO","instructores":[{"bp":"2713993","nombre":"Fiorella Ruiz","dias":["FDS","HO FILE","Inicial G3","Inicial G2","RTI: PRÁCTICA\nA320F / B767 / B787\n(08:30-17:30 hrs)\nINS APOYO","HO FILE","FDS","FDS","TALLER 2026 - CONSTRUIR","HANDS ON\nB787","Inicial G13\nTALLER DÍA 3","LCK ALUMNA B767 (CST)\n- LIM-BOG\n- LA 2489 (13:00-16:15 hrs)\nLCK B767\n- BOG-LIM\n- LA 2488 (17:20-20:45 hrs)","REUNIÓN INSTRUCTORES\nTARDE","FDS","FDS","LCK B787\n- LIM-SCL\n- LA 2697 (09:35-13:00 hrs)\nReentrenamiento B787*\n- SCL-LIM\n- LA 2696 (16:00-19:45 hrs)","Webinar Rediseño Servicio BC\nTARDE","HO FILE","HABILITACIÓN A320F (CST)\nLIM-TRU-LIM\nLA 2227 (11:40-12:55 hrs)\nLA 2228 (13:20-14:45 hrs)","Reentrenamiento B767\n- LIM-BOG\n- LA 2486 (13:00-16:15 hrs)\nLCK B767\n- BOG-LIM\n- LA 2487 (17:20-20:45 hrs)","FDS","FDS","TALLER VOLUNTARIO","RTI: VIRTUAL\nA320F / B767\n(08:30-17:30 hrs)\nINS CRM","Blanco Recojo","LCK B767\n- LIM-MIA\n- LA 2480 (00:15-06:15 hrs)","Chequeo DGAC B767\n- MIA-LIM\n- LA 2481 (15:55-21:40 hrs)","FDS"],"bg":["#0000ff","#999999","#93c47d","#a64d79","#cce0f4","#999999","#0000ff","#0000ff","#ffff00","#ffff00","#38761d","#ffc000","#ffff00","#0000ff","#0000ff","#e88888","#f4ed99","#999999","#f7caac","#ffc000","#0000ff","#0000ff","#ffff00","#cce0f4","#ffc000","#ffc000","#ffc000","#0000ff"],"fg":["#ffffff","#000000","#000000","#ffffff","#000000","#000000","#ffffff","#ffffff","#000000","#000000","#ffffff","#000000","#000000","#ffffff","#ffffff","#000000","#000000","#000000","#000000","#000000","#ffffff","#ffffff","#000000","#000000","#000000","#000000","#000000","#ffffff"]},{"bp":"2396710","nombre":"Sebastian Correa","dias":["FDS","LCK B767\n- LIM-MIA\n- LA 2694 (13:30-19:30 hrs)","Chequeo LATAM B767\n- MIA-LIM\n- LA 2699 (23:10-05:00 hrs)","Blanco","RTI: PRÁCTICA\nB767\n(08:30-17:30 hrs)\nINS TITULAR","LCK A320F\nLIM-AQP-LIM\nLA 2119 (08:40-10:10 hrs)\nLA 2118 (10:45-12:10 hrs)\nLCK A320F\nLIM-PIU-LIM\nLA 2308 (13:10-14:50 hrs)\nLA 2309 (15:25-16:55 hrs)","FDS","FDS","TALLER 2026 - CONSTRUIR","LCK A320F\nLIM-CUZ-LIM\nLA 2232 (08:35-10:05 hrs)\nLA 2233 (10:40-12:15 hrs)","Blanco Recojo","LCK B767\n- LIM-MIA\n- LA 2480 (00:15-06:15 hrs)","Chequeo LATAM B767 + Reentrenamiento B767\n- MIA-LIM\n- LA 2481 (15:55-21:40 hrs)","FDS","FDS","Recalifcación A320F + Habilitación A320F\nLIM-CUZ-LIM\nLA 2232 (08:35-10:05 hrs)\nLA 2233 (10:40-12:15 hrs)","Inicial G2 Chequeo LATAM\nLIM-LIM-CUZ-LIM\nLA2130 08:00-08:35\nLA2130 10:00-11:45\nLA2129 12:40-14:00","RTI: PRÁCTICA\nA320F / B767 / B787\n(08:30-17:30 hrs)\nAPOYO TM","LCK A320F\nLIM-AQP-LIM\nLA 2119 (08:40-10:10 hrs)\nLA 2118 (10:45-12:10 hrs)\nLCK A320F\nLIM-PIU-LIM\nLA 2308 (13:10-14:50 hrs)\nLA 2309 (15:25-16:55 hrs)","Chequeo BI Anual INST B767\n- LIM-BOG\n- LA 2486 (13:00-16:15 hrs)\nHabilitación B767\n- BOG-LIM\n- LA 2487 (17:20-20:45 hrs)","FDS","FDS","LCK B767\n- LIM-MIA\n- LA 2698 (08:25-14:20 hrs)","Recalificación B767\n- MIA-LIM\n- LA 2481 (15:55-21:40 hrs)","Inicial G3 TARDE","LCK B787\n- LIM-SCL\n- LA 2697 (09:35-13:00 hrs)\nHabilitación B787*\n- SCL-LIM\n- LA 2696 (16:00-19:45 hrs)","Webinar Rediseño Servicio BC\nTARDE","FDS"],"bg":["#0000ff","#ffc000","#ffc000","#ffc000","#cce0f4","#f7caac","#0000ff","#0000ff","#ffff00","#f7caac","#ffc000","#ffc000","#ffc000","#0000ff","#0000ff","#f7caac","#a64d79","#cce0f4","#f7caac","#ffc000","#0000ff","#0000ff","#ffc000","#ffc000","#93c47d","#e88888","#f4ed99","#0000ff"],"fg":["#ffffff","#000000","#000000","#000000","#000000","#000000","#ffffff","#ffffff","#000000","#000000","#000000","#000000","#000000","#ffffff","#ffffff","#000000","#ffffff","#000000","#000000","#000000","#ffffff","#ffffff","#000000","#000000","#000000","#000000","#000000","#ffffff"]},{"bp":"1271571","nombre":"Christian Rondon","dias":["FDS","RTI ALUMNO","RTI: VIRTUAL\nA320F / B767 / B787\n(08:30-17:30 hrs)\nINS TITULAR\n*Se habilita","RTI: PRÁCTICA\nA320F / B767 / B787\n(08:30-17:30 hrs)\nINS TITULAR\n*Se habilita","RTI: PRÁCTICA\nA320F / B767 / B787\n(08:30-17:30 hrs)\nINS TITULAR\n*Se habilita","LCK B787\n- LIM-SCL\n- LA 2697 (09:35-13:00 hrs)\nHabilitación 787*\n- SCL-LIM\n- LA 2696 (16:00-19:45 hrs)","FDS","FDS","TALLER 2026 - CONSTRUIR","RTI ALUMNO","RTI: PRÁCTICA\nA320F / B767 / B787\n(08:30-17:30 hrs)\nINS APOYO","LCK B787\n- LIM-SCL\n- LA 2697 (09:35-13:00 hrs)\nHabilitación B787*\n- SCL-LIM\n- LA 2696 (16:00-19:45 hrs)","REUNIÓN INSTRUCTORES\nTARDE","FDS","FDS","Blanco Recojo","LCK B767\n- LIM-MIA\n- LA 2480 (00:15-06:15 hrs)","Chequeo LATAM B767\n- MIA-LIM\n- LA 2481 (15:55-21:40 hrs)","HABILITACIÓN A320F (CST)\nLIM-AYP-LIM\nLA 2186 (15:20-16:20 hrs)\nLA 2185 (17:00-17:50 hrs)","Chequeo BI Anual IDE B767\n- LIM-BOG\n- LA 2486 (13:00-16:15 hrs)\nHabilitación B767\n- BOG-LIM\n- LA 2487 (17:20-20:45 hrs)","FDS","FDS","VACACIONES","VACACIONES","VACACIONES","VACACIONES","VACACIONES","VACACIONES"],"bg":["#0000ff","#ffffff","#cce0f4","#cce0f4","#cce0f4","#e88888","#0000ff","#0000ff","#ffff00","#ffffff","#cce0f4","#e88888","#ffff00","#0000ff","#0000ff","#ffc000","#ffc000","#ffc000","#f7caac","#ffc000","#0000ff","#0000ff","#ffffcc","#ffffcc","#ffffcc","#ffffcc","#ffffcc","#ffffcc"],"fg":["#ffffff","#000000","#000000","#000000","#000000","#000000","#ffffff","#ffffff","#000000","#000000","#000000","#000000","#000000","#ffffff","#ffffff","#000000","#000000","#000000","#000000","#000000","#ffffff","#ffffff","#000000","#000000","#000000","#000000","#000000","#000000"]},{"bp":"2843319","nombre":"Karen Santa Cruz","dias":["DO","Blanco Recojo","LCK B767\n- LIM-MIA\n- LA 2480 (00:15-06:15 hrs)","Chequeo LATAM B767\n- MIA-LIM\n- LA 2481 (15:55-21:40 hrs)","Recalificación A320F + Reentrenamiento A320F\nLIM-CJA-LIM\nLA2297/LA2296","Inicial G2","DO","DO","TALLER 2026 - CONSTRUIR","HO FILE","LCK A320F (VIGILANCIA DGAC)\nLIM-CUZ-LIM\nLA 2232 (08:35-10:05 hrs)\nLA 2233 (10:40-12:15 hrs)\nLCK A320F\nLIM-CIX-LIM\nLA 2312 (13:25-14:50 hrs)\nLA 2313 (15:30-16:50 hrs)","RTI: PRÁCTICA\nA320F / B767 / B787\n(08:30-17:30 hrs)\nINS APOYO","Webinar Rediseño Servicio BC (Mañana)                                                       +                                                                         Inicial G3","DO","DO","Inicial G13\nGRADUACIÓN","LCK B767\n- LIM-MIA\n- LA 2698 (08:25-14:20 hrs)","Chequeo LATAM B767\n- MIA-LIM\n- LA 2699 (23:10-05:00 hrs)","Blanco","HABILITACIÓN A320F (CST)\nLIM-CUZ-LIM\nLA 2007 (09:15-10:45 hrs)\nLA 2008 (11:30-12:55 hrs)","DO","DO","DO","DO","INICIAL G1 DGAC\nLIM-CUZ-LIM\nLA2316 08:00-09:25\nLA2317 10:00-11:40\nLIM-PIU-LIM\nLA2308 13:10-14:50\nLA2309 15:25-15:55","Reentrenamiento A320F\nLIM-PCL-LIM\nLA2360/LA2361","INICIAL G1 (CHEQUEO LATAM)\nLIM-TBP-LIM\nLA2052 10:25-12:20\nLA2051 13:00-14:40\nLIM-TRU-LIM\nLA2135 15:30-16:40\nLA2136 17:15-18:25","DO"],"bg":["#ffffff","#ffc000","#ffc000","#ffc000","#f7caac","#a64d79","#ffffff","#ffffff","#ffff00","#999999","#f7caac","#cce0f4","#93c47d","#ffffff","#ffffff","#38761d","#ffc000","#ffc000","#ffc000","#f7caac","#ffffff","#ffffff","#ffffff","#ffffff","#fff2cc","#f7caac","#fff2cc","#ffffff"],"fg":["#000000","#000000","#000000","#000000","#000000","#ffffff","#000000","#000000","#000000","#000000","#000000","#000000","#000000","#000000","#000000","#ffffff","#000000","#000000","#000000","#000000","#000000","#000000","#000000","#000000","#000000","#000000","#000000","#000000"]},{"bp":"3779550","nombre":"Jennifert Acurio","dias":["DO","HO FILE","DITCHING TM\nINS","TALLER VOLUNTARIO","CAPACITACION SOBRE CAFÉ\n(Pasajera)\n- LIM - BOG\n- LA4901  (08:50 - 12:05)","CAPACITACION SOBRE CAFÉ\n(Pasajera)\n- BOG- LIM\n- LA4910 (18:35 - 21:35)","DO","DO","TALLER 2026 - CONSTRUIR","TALLER VOLUNTARIO","HO FILE","Inicial G1 - G2\nSUSTITUTORIO \nPRÁCTICAS CALICADAS","REUNIÓN INSTRUCTORES","DO","DO","CURSO ESTANDARIZACIÓN","Blanco Recojo","LCK B767\n- LIM-MIA\n- LA 2480 (00:15-06:15 hrs)","Habilitación B767\n- MIA-LIM\n- LA 2695 (16:20-22:00 hrs)","DO","DO","DO","Inicial G2 Chequeo Latam\nLIM-CUZ-LIM\nLA2232 08:35-10:05\nLA2233 10:40-12:15\nLIM-IQT-LIM\nLA2234 13:45-15:35\nLA2235 16:10-17:55","INICIAL G1 DGAC\nLIM-CUZ-LIM\nLA2266 11:10-12:35\nLA2267 13:10-14:50","INICIAL G1 DGAC\nLIM-PIU-LIM\nLA2316 11:50-13:30\nLA2317 14:05-15:40","Inicial G13\nTALLER DE SERVICIO\nDIA 4 Y 5\n(Recuperatorio)","LCK B767\n- LIM-BOG\n- LA 2486 (13:00-16:15 hrs)\nRecalificación B767\n- BOG-LIM\n- LA 2487 (17:20-20:45 hrs)","DO"],"bg":["#ffffff","#999999","#92d050","#ffff00","#bf9000","#bf9000","#ffffff","#ffffff","#ffff00","#ffff00","#999999","#fff2cc","#ffff00","#ffffff","#ffffff","#ffff00","#ffc000","#ffc000","#ffc000","#ffffff","#ffffff","#ffffff","#a64d79","#fff2cc","#fff2cc","#38761d","#ffc000","#ffffff"],"fg":["#000000","#000000","#000000","#000000","#ffffff","#ffffff","#000000","#000000","#000000","#000000","#000000","#000000","#000000","#000000","#000000","#000000","#000000","#000000","#000000","#000000","#000000","#000000","#ffffff","#000000","#000000","#ffffff","#000000","#000000"]},{"bp":"29530","nombre":"Jazmin Guerra","dias":["DO","LCK A320F\nLIM-CUZ-LIM\nLA 2232 (08:35-10:05 hrs)\nLA 2233 (10:40-12:15 hrs)\nLCK A320F\nLIM-PIU-LIM\nLA 2308 (13:10-14:50 hrs)\nLA 2309 (15:25-16:55 hrs)","Inicial G2","Reva de Servicio\n(08:30-17:30 hrs)\nDÍA 2","DO","DO","DO","DO","TALLER 2026 - CONSTRUIR","LCK A320F\nLIM-AQP-LIM\nLA 2119 (08:40-10:10 hrs)\nLA 2118 (10:45-12:10 hrs)","HO FILE","LCK A320F\nLIM-AQP-LIM\nLA 2119 (08:40-10:10 hrs)\nLA 2118 (10:45-12:10 hrs)\nLCK A320F\nLIM-PIU-LIM\nLA 2308 (13:10-14:50 hrs)\nLA 2309 (15:25-16:55 hrs)","REUNIÓN INSTRUCTORES","DO","DO","HABILITACIÓN A320F (CCM)\nLIM-CUZ-AQP-LIM\nLA 2005 (06:00-07:25 hrs)\nLA 2328 (08:00-09:05 hrs)\nLA 2104 (09:45-11:15 hrs)","Inicial G2 Chequeo LATAM\nLIM-JUL-LIM\nLA2147 08:45-10:25\nLA2148 11:00-12:45\nLIM-AQP-LIM\nLA2115 13:45-15:15\nLA2114 15:50-17:25","Blanco Recojo","LCK B767\n- LIM-MIA\n- LA 2480 (00:15-06:15 hrs)","Chequeo DGAC B767\n- MIA-LIM\n- LA 2481 (15:55-21:40 hrs)","DO","DO","TALLER VOLUNTARIO","LCK A320F\r\nLIM-CUZ-LIM\r\nLA 2232 (08:35-10:05 hrs)\r\nLA 2233 (10:40-12:15 hrs)\r\nLCK A320F\r\nLIM-CUZ-LIM\r\nLA 2075 (13:25-14:50 hrs)\r\nLA 2076 (15:25-16:45 hrs)","Inicial G2 Chequeo Latam\nLIM-CUZ-LIM\nLA2232  08:35 - 10:05\nLA2233  10:40 - 12:15\nLIM-IQT-LIM\nLA2075 14:25-15:50\nLA2076 16:25-18:00","LCK B767\n- LIM-BOG\n- LA 2486 (13:00-16:15 hrs)\nChequeo DGAC B767\n- BOG-LIM\n- LA 2487 (23:50-03:00 hrs)","Blanco","DO"],"bg":["#ffffff","#f7caac","#a64d79","#2f5496","#ffffff","#ffffff","#ffffff","#ffffff","#ffff00","#f7caac","#999999","#f7caac","#ffff00","#ffffff","#ffffff","#f7caac","#a64d79","#ffc000","#ffc000","#ffc000","#ffffff","#ffffff","#ffff00","#f7caac","#a64d79","#ffc000","#ffc000","#ffffff"],"fg":["#000000","#000000","#ffffff","#ffffff","#000000","#000000","#000000","#000000","#000000","#000000","#000000","#000000","#000000","#000000","#000000","#000000","#ffffff","#000000","#000000","#000000","#000000","#000000","#000000","#000000","#ffffff","#000000","#000000","#000000"]},{"bp":"3217561","nombre":"Claudia Flores","dias":["DO","Inicial G2","LCK B767\n- LIM-MIA\n- LA 2698 (08:25-14:20 hrs)","Chequeo LATAM B767\n- MIA-LIM\n- LA 2699 (23:10-05:00 hrs)","Blanco","Habilitación 787 (CST)\n- LIM-SCL\n- LA 2697 (09:35-13:00 hrs)\nHabilitación 787 (CST)\n- SCL-LIM\n- LA 2696 (16:00-19:45 hrs)","DO","DO","TALLER 2026 - CONSTRUIR","DESCANSO MÉDICO","DESCANSO MÉDICO","ENTREVISTAS","REUNIÓN INSTRUCTORES","DO","DO","Inicial G2 Chequeo LATAM\nLIM-JUL-LIM\nLA2209 07:30-09:05\nLA2210 09:40-11:25\nLIM-TPP-LIM\nLA2087 14:10-15:35\nLA2088 16:10-17:30","RTI: VIRTUAL\nA320F / B767 / B787\n(08:30-17:30 hrs)\nINS CRM","Inicial G13\nTALLER DE SERVICIO\nDIA 5","HANDS ON\nB767","DO","DO","DO","DO","Inicial G2 Chequeo Latam\nLIM-CUZ-LIM\nLA2130 08:00-09:25\nLA2129 10:00-11:40\nLIM-CUZ-LIM\nLA2234 13:45 - 15:35\nLA2235 16:10 - 17:55","Reva de Servicio\n(08:30-17:30 hrs)\nDÍA 2","Inicial G2 Chequeo Latam\nLIM-CUZ-LIM\nLA2232 08:35-10:05\nLA2233 10:40-12:15\nLIM-CIX-LIM\nLA2312 13:25-14:50\nLA2313 15:25-16:45","Inicial G2 Chequeo Latam\nLIM-CUZ-LIM\nLA2238 10:15-11:40\nLA2239 12:15-13:45\nLIM-PIU-LIM\nLA2338 15:00-16:40\nLA2339 17:15-18:45","DO"],"bg":["#ffffff","#a64d79","#ffc000","#ffc000","#ffc000","#e88888","#ffffff","#ffffff","#ffff00","#fce5cd","#fce5cd","#999999","#ffff00","#ffffff","#ffffff","#a64d79","#cce0f4","#38761d","#ffff00","#ffffff","#ffffff","#ffffff","#ffffff","#a64d79","#2f5496","#a64d79","#a64d79","#ffffff"],"fg":["#000000","#ffffff","#000000","#000000","#000000","#000000","#000000","#000000","#000000","#000000","#000000","#000000","#000000","#000000","#000000","#ffffff","#000000","#ffffff","#000000","#000000","#000000","#000000","#000000","#ffffff","#ffffff","#ffffff","#ffffff","#000000"]},{"bp":"2963161","nombre":"Luis Bacigalupo","dias":["DO","AUDITORÍA NB*\nLIM-IQT-LIM\nLA 2234 (17:40-19:30 hrs)\nLA 2235 (20:05-21:50 hrs)","Reva de Servicio\n(08:30-17:30 hrs)\nDÍA 1","LCK A320F\nLIM-AQP-LIM\nLA 2119 (08:40-10:10 hrs)\nLA 2118 (10:45-12:10 hrs)\nLCK A320F\nLIM-CIX-LIM\nLA 2312 (13:25-14:50 hrs)\nLA 2313 (15:30-16:50 hrs)","HO FILE","Inicial G2","DO","DO","TALLER 2026 - CONSTRUIR","ENTREVISTAS","LCK A320F\nLIM-AQP-LIM\nLA 2119 (08:40-10:10 hrs)\nLA 2118 (10:45-12:10 hrs)\nLCK A320F\nLIM-PIU-LIM\nLA 2308 (13:10-14:50 hrs)\nLA 2309 (15:25-16:55 hrs)","Inicial G2 - G1\nSUSTITUTORIO \nPRÁCTICAS CALICADAS","REUNIÓN INSTRUCTORES","DO","DO","LCK A320F\nLIM-AQP-LIM\nLA 2119 (08:40-10:10 hrs)\nLA 2118 (10:45-12:10 hrs)","Inicial G3","RTI: PRÁCTICA\nA320F / B767 / B787\n(08:30-17:30 hrs)\nINS APOYO","HO FILE","DO","DO","DO","DO","HO FILE","Habilitación B787 (CST)\n- LIM-SCL\n- LA 2697 (09:35-13:00 hrs)\nHabilitación B787 (CST)\n- SCL-LIM\n- LA 2696 (16:00-19:45 hrs)","HO FILE","DO","DO"],"bg":["#ffffff","#ffff00","#2f5496","#f7caac","#999999","#a64d79","#ffffff","#ffffff","#ffff00","#999999","#f7caac","#a64d79","#ffff00","#ffffff","#ffffff","#f7caac","#93c47d","#cce0f4","#999999","#ffffff","#ffffff","#ffffff","#ffffff","#999999","#e88888","#999999","#ffffff","#ffffff"],"fg":["#000000","#000000","#ffffff","#000000","#000000","#ffffff","#000000","#000000","#000000","#000000","#000000","#ffffff","#000000","#000000","#000000","#000000","#000000","#000000","#000000","#000000","#000000","#000000","#000000","#000000","#000000","#000000","#000000","#000000"]},{"bp":"71348","nombre":"Karla Moz","dias":["VACACIONES","VACACIONES","VACACIONES","VACACIONES","VACACIONES","VACACIONES","VACACIONES","LP","LP","LP","LP","LP","LP","LP","LP","LP","LP","LP","LP","LP","LP","LP","LP","LP","LP","LP","LP","LP"],"bg":["#ffffcc","#ffffcc","#ffffcc","#ffffcc","#ffffcc","#ffffcc","#ffffcc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Dávila","dias":["VACACIONES","VACACIONES","VACACIONES","VACACIONES","VACACIONES","VACACIONES","VACACIONES","DO","TALLER 2026 - CONSTRUIR","RTI: VIRTUAL\nA320F / B767 / B787\n(08:30-17:30 hrs)\nINS TITULAR","RTI: PRÁCTICA\nA320F / B767 / B787\n(08:30-17:30 hrs)\nINS TITULAR","RTI: PRÁCTICA\nA320F / B767 / B787\n(08:30-17:30 hrs)\nINS APOYO TM","Habilitación B787 (CC)\n- LIM-SCL\n- LA 2697 (09:35-13:00 hrs)\nHabilitación B787 (CC)\n- SCL-LIM\n- LA 2696 (16:00-19:45 hrs)","DO","DO","INICIAL G1 (CHEQUEO LATAM)\nLIM-PIU-LIM\nLA2304 07:10-08:50\nLA2305 09:30-11:05\nLIM-AQP-LIM\nLA2055 12:30-14:00\nLA2056 14:35-16:10","RTI: VIRTUAL\nA320F / B767 / B787\n(08:30-17:30 hrs)\nINS TITULAR","RTI: PRÁCTICA\nA320F / B767 / B787\n(08:30-17:30 hrs)\nINS TITULAR","HO FILE","RTI: PRÁCTICA\nA320F / B767 / B787\n(08:30-17:30 hrs)\nINS TITULAR","DO","DO","Habilitación B767 (CCM)\n- LIM-ATL\n- LA 2482 (12:15-19:35 hrs)","Habilitación B767 (CCM)\n- ATL-LIM\n- LA 2483 (22:15-05:00 hrs)","Blanco","Reva de Servicio\n(08:30-17:30 hrs)\nDÍA 1","Reva de Servicio\n(08:30-17:30 hrs)\nDÍA 2","DO"],"bg":["#ffffcc","#ffffcc","#ffffcc","#ffffcc","#ffffcc","#ffffcc","#ffffcc","#ffffff","#ffff00","#cce0f4","#cce0f4","#cce0f4","#e88888","#ffffff","#ffffff","#fff2cc","#cce0f4","#cce0f4","#999999","#cce0f4","#ffffff","#ffffff","#ffc000","#ffc000","#ffc000","#2f5496","#2f5496","#ffffff"],"fg":["#000000","#000000","#000000","#000000","#000000","#000000","#000000","#000000","#000000","#000000","#000000","#000000","#000000","#000000","#000000","#000000","#000000","#000000","#000000","#000000","#000000","#000000","#000000","#000000","#000000","#ffffff","#ffffff","#000000"]},{"bp":"2369641","nombre":"Elizabeth Torres","dias":["DO","LCK B767\n- LIM-MIA\n- LA 2698 (08:25-14:20 hrs)","Acompañamiento de Servicio B767\n- MIA-LIM\n- LA 2481 (15:55-21:40 hrs)","HO FILE TARDE","INICIAL G1","Inicial G2","DO","DO","TALLER 2026 - CONSTRUIR","HO FILE","HABILITACIÓN A320F (CCM)\nLIM-CUZ-LIM\nLA 2130 (08:00-09:25 hrs)\nLA 2129 (10:00-11:40 hrs)\nLCK ALUMNO A320F (CCM)\nLIM-PIU-LIM\nLA 2308 (13:10-14:50 hrs)\nLA 2309 (15:25-16:55 hrs)","CURSO 50%\nReentranamiento A320F\nLIM - CIX - LIM\nLA 2312 (13:25-14:50 hrs)\nLA 2313 (15:25-16:45 hrs)","Reva de Servicio\n(08:30-17:30 hrs)\nDÍA 2","DO","DO","LCK B767\n- LIM-MIA\n- LA 2698 (08:25-14:20 hrs)","Chequeo LATAM B767 + Reentrenamiento B767\n- MIA-LIM \n- LA 2481 (15:55-21:40 hrs)","HO FILE TARDE\n(NO TOCAR)","DO","DO","DO","DO","Blanco Recojo","LCK B767\n- LIM-MIA\n- LA 2480 (00:15-06:15 hrs)","Chequeo DGAC B767\n- MIA-LIM\n- LA 2481 (15:55-21:40 hrs)","Webinar Rediseño Servicio BC\nTARDE","RTI: PRÁCTICA\nA320F / B767\n(08:30-17:30 hrs)\nINS APOYO","DO"],"bg":["#ffffff","#ffc000","#ffc000","#999999","#fff2cc","#a64d79","#ffffff","#ffffff","#ffff00","#999999","#f7caac","#ffe599","#2f5496","#ffffff","#ffffff","#ffc000","#ffc000","#999999","#ffffff","#ffffff","#ffffff","#ffffff","#ffc000","#ffc000","#ffc000","#f4ed99","#cce0f4","#ffffff"],"fg":["#000000","#000000","#000000","#000000","#000000","#ffffff","#000000","#000000","#000000","#000000","#000000","#000000","#ffffff","#000000","#000000","#000000","#000000","#000000","#000000","#000000","#000000","#000000","#000000","#000000","#000000","#000000","#000000","#000000"]},{"bp":"2369624","nombre":"Patricia del Pilar Najar","dias":["DO","DO","DO","DO","DO","DO","DO","DO","TALLER 2026 - CONSTRUIR","Inicial G3","HO FILE","Inicial G3","INICIAL G13 (DGAC) + REENT. A320F\nLA2232 - LA2233 \nLIM - CUZ - LIM\n+\nCURSO 50% (RECA 50%)\nLA2061- LA2062\nLIM - CUZ - LIM","DO","DO","LCK B767\n- LIM-MIA\n- LA 2694 (13:30-19:30 hrs)","Habilitación B767*\n- MIA-LIM\n- LA 2699 (23:10-05:00 hrs)","Blanco","INICIAL G1 (CHEQUEO LATAM)\nLIM-JUL-LIM\nLA2209 07:30-09:05\nLA2210 09:40-11:25\nLIM-AQP-LIM\nLA2055 12:30-14:00\nLA2056 14:45-16:10","RTI: PRÁCTICA\nA320F / B767 / B787\n(08:30-17:30 hrs)\nINS APOYO","DO","DO","INICIAL G1 LATAM\nLIM-TCQ-LIM\nLA2071 10:30-12:20\nLA2072 12:55-14:45","LCK B767\n- LIM-MIA\n- LA 2698 (08:25-14:20 hrs)","Chequeo DGAC B767\n- MIA-LIM\n- LA 2699 (23:10-05:00 hrs)","Blanco","TTT RRVV\nALUMNO","DO"],"bg":["#ffffff","#ffffff","#ffffff","#ffffff","#ffffff","#ffffff","#ffffff","#ffffff","#ffff00","#93c47d","#999999","#93c47d","#38761d","#ffffff","#ffffff","#ffc000","#ffc000","#ffc000","#fff2cc","#cce0f4","#ffffff","#ffffff","#fff2cc","#ffc000","#ffc000","#ffc000","#674ea7","#ffffff"],"fg":["#000000","#000000","#000000","#000000","#000000","#000000","#000000","#000000","#000000","#000000","#000000","#000000","#ffffff","#000000","#000000","#000000","#000000","#000000","#000000","#000000","#000000","#000000","#000000","#000000","#000000","#000000","#000000","#000000"]},{"bp":"3134911","nombre":"Javier Zapata","dias":["DO","HO FILE","Blanco Recojo","LCK B767\n- LIM-MIA\n- LA 2480 (00:15-06:15 hrs)","Chequeo DGAC B767\n- MIA-LIM\n- LA 2695 (16:20-22:00 hrs)","Reentrenamiento A320F  + Recalificación A320F\nLIM-CUZ-LIM\n2276/2277","DO","DO","TALLER 2026 - CONSTRUIR","LCK A320F (VIGILANCIA DGAC)\nLIM-AQP-LIM\nLA 2123 (09:25-11:00 hrs)\nLA 2124 (11:35-13:10 hrs)\nLCK A320F\nLIM-PCL-LIM\nLA 2360 (14:05-15:20 hrs)\nLA 2361 (15:55-17:10 hrs)","Reva de Servicio\n(08:30-17:30 hrs)\nDÍA 2","LCK A320F\r\nLIM-AQP-LIM\r\nLA 2123 (09:25-11:00 hrs)\r\nLA 2124 (11:35-13:10 hrs)\r\nLCK A320F\r\nLIM-TPP-LIM\r\nLA 2087 (14:10-15:35 hrs)\r\nLA 2088 (16:10-17:30 hrs)","LCK B767\n- LIM-BOG\n- LA 2489 (13:00-16:15 hrs)\nChequeo DGAC B767\n- BOG-LIM\n- LA 2488 (17:20-20:45 hrs)","DO","DO","Inicial G3","LCK A320F*\nLIM-AQP-LIM\nLA 2119 (08:40-10:10 hrs)\nLA 2118 (10:45-12:10 hrs)\nLCK A320F\nLIM-PIU-LIM\nLA 2308 (13:10-14:50 hrs)\nLA 2309 (15:25-16:55 hrs)","INICIAL G1 DGAC   \nLIM - TPP - LIM\nLA2087 (14:10 - 15:35)\nLA2088 (16:10 - 17:30)","Inicial G3","Inicial G2 (Chequeo DGAC)\nLIM-CJA-LIM\nLA2258 08:05-09:25\nLA2259 10:05-11:15","DO","DO","DO","HO FILE","DO","DO","DO","DO"],"bg":["#ffffff","#999999","#ffc000","#ffc000","#ffc000","#f7caac","#ffffff","#ffffff","#ffff00","#f7caac","#2f5496","#f7caac","#ffc000","#ffffff","#ffffff","#93c47d","#f7caac","#fff2cc","#93c47d","#a64d79","#ffffff","#ffffff","#ffffff","#999999","#ffffff","#ffffff","#ffffff","#ffffff"],"fg":["#000000","#000000","#000000","#000000","#000000","#000000","#000000","#000000","#000000","#000000","#ffffff","#000000","#000000","#000000","#000000","#000000","#000000","#000000","#000000","#ffffff","#000000","#000000","#000000","#000000","#000000","#000000","#000000","#000000"]},{"bp":"3750335","nombre":"Jefferson Mendez","dias":["DO","Inicial G3","LCK A320F\nLIM-CUZ-LIM\nLA 2232 (08:35-10:05 hrs)\nLA 2233 (10:40-12:15 hrs)\nLCK A320F\nLIM-PIU-LIM\nLA 2308 (13:10-14:50 hrs)\nLA 2309 (15:25-16:55 hrs)","Blanco Recojo","LCK B767\n- LIM-MIA\n- LA 2480 (00:15-06:15 hrs)","Chequeo DGAC B767\n- MIA-LIM\n- LA 2481 (15:55-21:40 hrs)","DO","DO","TALLER 2026 - CONSTRUIR","HABILITACIÓN A320F (CCM)\nLIM - UIO - LIM\nLA 2482 (08:50-11:05 hrs)\nLA 2483 (12:15-14:30 hrs)","Situaciones de Emergencia B767\nTripulación de Mando\nLP\n(08:30-17:30 hrs)","LCK B767\n- LIM-BOG\n- LA 2489 (13:00-16:15 hrs)\nChequeo DGAC B767\n- BOG-LIM\n- LA 2488 (17:20-20:45 hrs)","REUNIÓN INSTRUCTORES\nTARDE","DO","DO","Ditching Presencial B767 + HANDS ON\nTripulación de Mando\nLP\n(08:30-17:30 hrs)","Situaciones de Emergencia A320F\nTripulación de Mando\nLP\n(08:30-17:30 hrs)","LCK A320F\nLIM-AQP-LIM\nLA 2119 (08:40-10:10 hrs)\nLA 2118 (10:45-12:10 hrs)\nRecalificación A320F*\nLIM-PIU-LIM\nLA 2308/LA 2309","Inicial G2  Chequeo DGAC\nLIM-CUZ-LIM\nLA2075 14:25-15:50\nLA2076 16:25-18:00","DO","DO","DO","DO","LCK A320F\nLIM-AQP-LIM\nLA 2119 (08:40-10:10 hrs)\nLA 2118 (10:45-12:10 hrs)\nLCK A320F\nLIM-PIU-LIM\nLA 2308 (13:10-14:50 hrs)\nLA 2309 (15:25-16:55 hrs)","REUNIÓN EMBAJADORES","HO FILE","Inicial G3","DO"],"bg":["#ffffff","#93c47d","#f7caac","#ffc000","#ffc000","#ffc000","#ffffff","#ffffff","#ffff00","#f7caac","#ff4b4f","#ffc000","#ffff00","#ffffff","#ffffff","#ff4b4f","#ff4b4f","#f7caac","#a64d79","#ffffff","#ffffff","#ffffff","#ffffff","#f7caac","#ffff00","#999999","#93c47d","#ffffff"],"fg":["#000000","#000000","#000000","#000000","#000000","#000000","#000000","#000000","#000000","#000000","#ffffff","#000000","#000000","#000000","#000000","#ffffff","#ffffff","#000000","#ffffff","#000000","#000000","#000000","#000000","#000000","#000000","#000000","#000000","#000000"]},{"bp":"3852423","nombre":"Gabriela Ungaro","dias":["DO","Inicial G2","INICIAL G1","Inicial G2","INICIAL G1","LCK B767\n- LIM-BOG\n- LA 2489 (13:00-16:15 hrs)\nLCK B767\n- BOG-LIM\n- LA 2488 (17:20-20:45 hrs)","DO","DO","TALLER 2026 - CONSTRUIR","Blanco Recojo","LCK B767\n- LIM-MIA\n- LA 2480 (00:15-06:15 hrs)","Habilitación B767\n- MIA-LIM\n- LA 2695 (16:20-22:00 hrs)","REUNIÓN INSTRUCTORES\nTARDE","DO","DO","Inicial G13\nGRADUACIÓN","Reva de Servicio\n(08:30-17:30 hrs)\nDÍA 1","Inicial G2 Chequeo DGAC\nLIM-CUZ-LIM\nLA2232 08:35-10:05\nLA2233 10:40-12:15\nLIM-CIX-LIM\nLA2312 13:25-14:50\nLA2313 15:30-16:50","LCK B767\n- LIM-BOG\n- LA 2486 (13:00-16:15 hrs)\nChequeo DGAC B767\n- BOG-LIM\n- LA 2487 (17:20-20:45 hrs)","DO","DO","DO","DO","Blanco Recojo","LCK B767\n- LIM-MIA\n- LA 2480 (00:15-06:15 hrs)","Habilitación B767*\n- MIA-LIM\n- LA 2695 (16:20-22:00 hrs)","Recalificación A320F\nLIM-CUZ-LIM\nLA2276/LA2277","DO"],"bg":["#ffffff","#a64d79","#fff2cc","#a64d79","#fff2cc","#ffc000","#ffffff","#ffffff","#ffff00","#ffc000","#ffc000","#ffc000","#ffff00","#ffffff","#ffffff","#38761d","#2f5496","#a64d79","#ffc000","#ffffff","#ffffff","#ffffff","#ffffff","#ffc000","#ffc000","#ffc000","#f7caac","#ffffff"],"fg":["#000000","#ffffff","#000000","#ffffff","#000000","#000000","#000000","#000000","#000000","#000000","#000000","#000000","#000000","#000000","#000000","#ffffff","#ffffff","#ffffff","#000000","#000000","#000000","#000000","#000000","#000000","#000000","#000000","#000000","#000000"]},{"bp":"2604360","nombre":"Mariella Carrasco","dias":["DO","HO FILE","INICIAL G1","TALLER VOLUNTARIO","LCK B767\n- LIM-BOG\n- LA 2489 (13:00-16:15 hrs)\nChequeo DGAC B767\n- BOG-LIM\n- LA 2488 (17:20-20:45 hrs)","DO","DO","VACACIONES","VACACIONES","VACACIONES","VACACIONES","VACACIONES","VACACIONES","VACACIONES","VACACIONES","VACACIONES","VACACIONES","Ditching Presencial A320F + HANDS ON\nTripulación de Mando\nLP\n(08:30-17:30 hrs)","Reva de Servicio\n(08:30-17:30 hrs)\nDÍA 1","INICIAL G1 (CHEQUEO LATAM)\nLIM-CUZ-LIM\nLA2209 08:00-09:25\nLA2210 10:00-11:40\nLIM-AQP-LIM\nLA2055 12:30-14:00\nLA2056 14:45-16:10","DO","DO","LCK B767\n- LIM-MIA\n- LA 2694 (13:30-19:30 hrs)","Chequeo DGAC B767\n- MIA-LIM\n- LA 2699 (23:10-05:00 hrs)","Blanco","Inicial G3","Inicial G3","DO"],"bg":["#ffffff","#999999","#fff2cc","#ffff00","#ffc000","#ffffff","#ffffff","#ffffcc","#ffffcc","#ffffcc","#ffffcc","#ffffcc","#ffffcc","#ffffcc","#ffffcc","#ffffcc","#ffffcc","#ff4b4f","#2f5496","#fff2cc","#ffffff","#ffffff","#ffc000","#ffc000","#ffc000","#93c47d","#93c47d","#ffffff"],"fg":["#000000","#000000","#000000","#000000","#000000","#000000","#000000","#000000","#000000","#000000","#000000","#000000","#000000","#000000","#000000","#000000","#000000","#ffffff","#ffffff","#000000","#000000","#000000","#000000","#000000","#000000","#000000","#000000","#000000"]},{"bp":"2823133","nombre":"Cesar Campos","dias":["DO","HO FILE\n(NO TOCAR)","RTI: VIRTUAL\nA320F / B767 / B787\n(08:30-17:30 hrs)\nINS CRM","Inicial G3","Inicial G3","Inicial G3","DO","DO","TALLER 2026 - CONSTRUIR","HANDS ON\nB767","INICIAL G13 \nCHEQUEO LATAM\nLA2245 - LA2244 - LA2061 - LA2062\nLIM - TCQ - LIM - CUZ - LIM","Reva de Servicio\n(08:30-17:30 hrs)\nDÍA 1","Reentrenamiento A320F\nLIM-CUZ-LIM\nLA2007/LA2008","DO","DO","HANDS ON\nB767","HABILITACIÓN A320F (CCM)\nLIM-CUZ-PEM\nLA 2077 (09:45-11:15 hrs)\nLA 2358 (11:50-12:55 hrs)\nPEM-CUZ-LIM\nLA 2359 (13:35-14:20 hrs)\nLA 2078 (14:55-16:30 hrs)","Reva de Servicio\n(08:30-17:30 hrs)\nDÍA 2","HO FILE","INICIAL G1 (CHEQUEO LATAM)\nLIM-PEM-LIM\nLA2023 08:30-10:15\nLA2024 10:55-12:25\nLIM-CUZ-LIM\nLA2061 13:55-15:20\nLA2062 15:55-17:25","DO","DO","DO","Reva de Servicio\n(08:30-17:30 hrs)\nDÍA 1","RTI: VIRTUAL\nA320F / B767\n(08:30-17:30 hrs)\nINS CRM","DESAYUNO SAB\nMT","TTT RRVV\nINSTRUCTOR","DO"],"bg":["#ffffff","#999999","#cce0f4","#93c47d","#93c47d","#93c47d","#ffffff","#ffffff","#ffff00","#ffff00","#38761d","#2f5496","#f7caac","#ffffff","#ffffff","#ffff00","#f7caac","#2f5496","#999999","#fff2cc","#ffffff","#ffffff","#ffffff","#2f5496","#cce0f4","#ffff00","#674ea7","#ffffff"],"fg":["#000000","#000000","#000000","#000000","#000000","#000000","#000000","#000000","#000000","#000000","#ffffff","#ffffff","#000000","#000000","#000000","#000000","#000000","#ffffff","#000000","#000000","#000000","#000000","#000000","#ffffff","#000000","#000000","#000000","#000000"]},{"bp":"3189967","nombre":"Kevin Segovia","dias":["DO","INICIAL G1","Inicial G2","HO FILE","CAPACITACION SOBRE CAFÉ\n(Pasajero)\n- BOG - LIM\n- LA4901 - LA4910 (08:50 - 12:05)","CAPACITACION SOBRE CAFÉ\n(Pasajero)\n- BOG- LIM\n- LA4910 (18:35 - 21:35)","DO","DO","TALLER 2026 - CONSTRUIR","RTI: VIRTUAL\nA320F / B767 / B787\n(08:30-17:30 hrs)\nINS CRM","Inicial G3","RTI: PRÁCTICA\nA320F / B767 / B787\n(08:30-17:30 hrs)\nINS TITULAR","Inicial G13\nTALLER DE SERVICIO\nDIA 4","DO","DO","Chequeo LATAM + Reentrenamiento B767\n- LIM-MIA\n- LA 2698 (08:25-14:20 hrs)","Reentrenamiento B767\n- MIA-LIM\n- LA 2481 (15:55-21:40 hrs)","Webinar Rediseño Servicio BC\nTARDE","INICIAL G1 (CHEQUEO LATAM)\nLIM-PEM-LIM\nLA2023 08:20-10:10\nLA2024 10:50-12:25\nLIM-AQP-LIM\nLA2115 13:45-15:15\nLA2114 15:50-17:25","DO","DO","DO","DO","RTI: VIRTUAL\nA320F / B767\n(08:30-17:30 hrs)\nINS TITULAR","REUNIÓN EMBAJADORES","Inicial G3","TTT RRVV\nALUMNO","DO"],"bg":["#ffffff","#fff2cc","#a64d79","#999999","#bf9000","#bf9000","#ffffff","#ffffff","#ffff00","#cce0f4","#93c47d","#cce0f4","#38761d","#ffffff","#ffffff","#ffc000","#ffc000","#f4ed99","#fff2cc","#ffffff","#ffffff","#ffffff","#ffffff","#cce0f4","#ffff00","#93c47d","#674ea7","#ffffff"],"fg":["#000000","#000000","#ffffff","#000000","#ffffff","#ffffff","#000000","#000000","#000000","#000000","#000000","#000000","#ffffff","#000000","#000000","#000000","#000000","#000000","#000000","#000000","#000000","#000000","#000000","#000000","#000000","#000000","#000000","#000000"]},{"bp":"2415373","nombre":"Milagros Salas","dias":["DO","INICIAL G1","DITCHING TM\nTC","RTI: PRÁCTICA\nA320F / B767 / B787\n(08:30-17:30 hrs)\nINS APOYO","DO","DO","DO","DO","TALLER 2026 - CONSTRUIR","Reva de Servicio\n(08:30-17:30 hrs)\nDÍA 1","HANDS ON\nB767","HANDS ON\nB767","Curso HB6","DO","DO","Inicial G2 Chequeo LATAM\nLIM-JUL-LIM\nLA2147 08:45-10:25\nLA2148 11:00-12:45\nLIM-TPP-LIM\nLA2087 14:10-15:35\nLA2088 16:10-17:30","HO FILE","Inicial G3","Inicial G13\nTALLER DE SERVICIO\nDIA 1\n(Recuperatorio)","Inicial G13\nTALLER DE SERVICIO\nDIA 2 Y 3\n(Recuperatorio)","DO","DO","Chequeo LATAM B767\n- LIM-MIA\n- LA 2698 (08:25-14:20 hrs)","Chequeo LATAM B767\n- MIA-LIM\n- LA 2481 (15:55-21:40 hrs)","Webinar Rediseño Servicio BC\nTARDE","RTI: PRÁCTICA\nA320F / B767\n(08:30-17:30 hrs)\nINS APOYO","TTT RRVV\nALUMNO","DO"],"bg":["#ffffff","#fff2cc","#92d050","#cce0f4","#ffffff","#ffffff","#ffffff","#ffffff","#ffff00","#2f5496","#ffff00","#ffff00","#274e13","#ffffff","#ffffff","#a64d79","#999999","#93c47d","#38761d","#38761d","#ffffff","#ffffff","#ffc000","#ffc000","#f4ed99","#cce0f4","#674ea7","#ffffff"],"fg":["#000000","#000000","#000000","#000000","#000000","#000000","#000000","#000000","#000000","#ffffff","#000000","#000000","#ffffff","#000000","#000000","#ffffff","#000000","#000000","#ffffff","#ffffff","#000000","#000000","#000000","#000000","#000000","#000000","#000000","#000000"]},{"bp":"2440915","nombre":"Judith Fernandez","dias":["VACACIONES","VACACIONES","VACACIONES","VACACIONES","VACACIONES","VACACIONES","VACACIONES","VACACIONES","VACACIONES","VACACIONES","VACACIONES","VACACIONES","VACACIONES","VACACIONES","DO","Habilitación B767 (CCM)\n- LIM-ATL\n- LA 2482 (12:15-19:35 hrs)","Habilitación B767 (CCM)\n- ATL-LIM\n- LA 2483 (22:15-05:00 hrs)","Blanco","HABILITACIÓN A320F (CCM)\nLIM-CUZ-AQP-LIM\nLA 2005 (06:00-07:25 hrs)\nLA 2328 (08:00-09:05 hrs)\nLA 2104 (09:45-11:15 hrs)","DO","DO","DO","Inicial G3\nVISITA GUIADA","Inicial G3\nVISITA GUIADA","Inicial G3\nVISITA GUIADA","RTI: PRÁCTICA\nA320F / B767\n(08:30-17:30 hrs)\nINS TITULAR","TTT RRVV\nALUMNO","DO"],"bg":["#ffffcc","#ffffcc","#ffffcc","#ffffcc","#ffffcc","#ffffcc","#ffffcc","#ffffcc","#ffffcc","#ffffcc","#ffffcc","#ffffcc","#ffffcc","#ffffcc","#ffffff","#ffc000","#ffc000","#ffc000","#f7caac","#ffffff","#ffffff","#ffffff","#93c47d","#93c47d","#93c47d","#cce0f4","#674ea7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3796947","nombre":"Rafael Nieto","dias":["SICK","SICK","SICK","SICK","SICK","SICK","SICK","SICK","SICK","SICK","SICK","SICK","SICK","SICK","SICK","SICK","SICK","SICK","SICK","SICK","SICK","SICK","SICK","SICK","SICK","SICK","SICK","SICK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Celiz","dias":["DO","Chequeo LATAM B767\n- LIM-MIA\n- LA 2698 (08:25-14:20 hrs)","Chequeo LATAM B767\n- MIA-LIM\n- LA 2481 (15:55-21:40 hrs)","Reentrenamiento A320F\nLIM-CJA-LIM\nLA2297/LA2296","Reva de Servicio\n(08:30-17:30 hrs)\nDÍA 1","Reva de Servicio\n(08:30-17:30 hrs)\nDÍA 2","DO","DO","TALLER 2026 - CONSTRUIR","TALLER VOLUNTARIO","Curso HB6","Curso HB6","Curso HB6","DO","DO","Habilitación B767 (CCM)\n- LIM-LAX\n- LA 2476 (12:00-18:00 hrs)","Habilitación B767 (CCM)\n- LAX-LIM\n- LA 2477 (20:30-08:10 hrs)","Blanco","DESAYUNO SAB +\nEntrevistas","Reva de Servicio\n(08:30-17:30 hrs)\nDÍA 2","DO","DO","DO","DO","RTI: VIRTUAL\nA320F / B767\n(08:30-17:30 hrs)\nINS TITULAR","HO FILE","RTI: PRÁCTICA\nA320F / B767\n(08:30-17:30 hrs)\nINS TITULAR","DO"],"bg":["#ffffff","#ffc000","#ffc000","#f7caac","#2f5496","#2f5496","#ffffff","#ffffff","#ffff00","#ffff00","#274e13","#274e13","#274e13","#ffffff","#ffffff","#ffc000","#ffc000","#ffc000","#ffff00","#2f5496","#ffffff","#ffffff","#ffffff","#ffffff","#cce0f4","#999999","#cce0f4","#ffffff"],"fg":["#000000","#000000","#000000","#000000","#ffffff","#ffffff","#000000","#000000","#000000","#000000","#ffffff","#ffffff","#ffffff","#000000","#000000","#000000","#000000","#000000","#000000","#ffffff","#000000","#000000","#000000","#000000","#000000","#000000","#000000","#000000"]}]}</t>
  </si>
  <si>
    <t>{"mes":"2026-03","fuente":"03 - Rol Instructores LP MARZO","hoja":"MARZO","instructores":[{"bp":"2713993","nombre":"Fiorella Ruiz","dias":["FDS","HO FILE","LCK B767\n- LIM-ATL\n- LA 2482 (12:15-19:35 hrs)","Habilitación B767*\n- ATL-LIM\n- LA 2483 (22:15-05:00 hrs)","Blanco","RENOVACIÓN INS A320F\nLIM-PIU-LIM\nLA 2306 (09:35-11:20 hrs)\nLA 2307 (11:55-13:25 hrs)","FDS","FDS","PREPARACIÓN\nAUDITORÍA\nPRE IOSA","PREPARACIÓN\nAUDITORÍA\nPRE IOSA","DO","RECURRENTE AUDITOR 2026\n(Pasajero)\nLIM-SCL\nLA 2697 (09:50-15:30 hrs)","RECURRENTE AUDITOR 2026","RECURRENTE AUDITOR 2026\n(Pasajero)\nSCL-LIM\nLA 640 (13:40-15:30 hrs)","FDS","HANDS ON B767","TALLER VOLUNTARIO DE SEGURIDAD","LCK B767\n- LIM-MIA\n- LA 2694 (13:30-19:25 hrs)","Reentrenamiento B767\n- MIA-LIM\n- LA 2695 (16:55-22:40 hrs)","PREPARACIÓN\nAUDITORÍA\nPRE IOSA TARDE","FDS","FDS","VACACIONES","VACACIONES","VACACIONES","VACACIONES","VACACIONES","FDS","FDS","DESCANSO MÉDICO","DESCANSO MÉDICO"],"bg":["#0000ff","#999999","#ffc000","#ffc000","#ffc000","#f4cccc","#0000ff","#0000ff","#ffff00","#ffff00","#0000ff","#fff2cc","#fff2cc","#fff2cc","#0000ff","#ffff00","#ffff00","#ffc000","#ffc000","#ffff00","#0000ff","#0000ff","#ffffcc","#ffffcc","#ffffcc","#ffffcc","#ffffcc","#0000ff","#0000ff","#e6b8af","#e6b8af"],"fg":["#ffffff","#000000","#000000","#000000","#000000","#000000","#ffffff","#ffffff","#000000","#000000","#ffffff","#000000","#000000","#000000","#ffffff","#000000","#000000","#000000","#000000","#000000","#ffffff","#ffffff","#000000","#000000","#000000","#000000","#000000","#ffffff","#ffffff","#000000","#000000"]},{"bp":"2396710","nombre":"Sebastian Correa","dias":["FDS","LCK B767\n- LIM-MIA\n- LA 2698 (08:25-14:20 hrs)","Reentrenamiento B767*\n- MIA-LIM\n- LA 2695 (16:45-22:40 hrs)","Inicial G2  Chequeo DGAC (TARDE)\nLIM-CJA-LIM\nLA2297 15:20-16:40\nLA2296 17:20-18:25","INICIAL G2 Chequeo DGAC\nLIM-CUZ-LIM\nLA 2232 (08:35-10:05 hrs)\nLA 2233 (10:40-12:15 hrs)\nLCK A320F\nLIM-PIU-LIM\nLA 2308 (13:10-14:50 hrs)\nLA 2309 (15:25-16:55 hrs)","HO FILE","FDS","FDS","CUMP","LCK A320F\nLIM-CUZ-LIM\nLA 2232 (08:35-10:05 hrs)\nLA 2233 (10:40-12:15 hrs)\nLCK A320F\nLIM-PIU-LIM\nLA 2308 (13:10-14:50 hrs)\nLA 2309 (15:25-16:55 hrs)","Reva de Servicio\n(08:30-17:30 hrs)\nDÍA 1","Reva de Servicio\n(08:30-17:30 hrs)\nDÍA 2","REUNIÓN INSTRUCTORES","FDS","FDS","LCK B767\n- LIM-MIA\n- LA 2694 (13:30-19:25 hrs)","Habilitación B767*\n- MIA-LIM\n- LA 2699 (23:10-05:00 hrs)","Blanco","Inicial G3 - Taller de Servicio (Día 1)","LCK A320F (VIGILANCIA DGAC)\nLIM-CUZ-LIM\nLA 2232 (08:35-10:05 hrs)\nLA 2233 (10:40-12:15 hrs)\nLCK A320F\nLIM-PIU-LIM\nLA 2308 (13:10-14:50 hrs)\nLA 2309 (15:25-16:55 hrs)","FDS","FDS","LCK B767\n- LIM-ATL\n- LA 2482 (12:15-19:35 hrs)","Habilitación B767*\n- ATL-LIM\n- LA 2483 (22:15-05:00 hrs)","Blanco","RTI: PRÁCTICA\nA320F / B767 / B787\n(08:30-17:30 hrs)\nINS APOYO","LCK A320F\nLIM-CUZ-LIM\nLA 2537 (09:15-10:50 hrs)\nLA 2008 (11:25-12:55 hrs)\nLCK A320F + Habilitación A320F\nLIM-AQP-LIM\nLA 2115 (13:55-15:25 hrs)\nLA 2114 (16:00-17:35 hrs)","FDS","FDS","Chequeo LATAM INICIAL G3\nLIM-AQP-LIM\nLA2119 08:30 -10:00\nLA2118 10:55-12:35\nLIM-TPP-LIM\nLA2087 14:00-15:30\nLA2088 16:05-17:30","LF"],"bg":["#0000ff","#ffc000","#ffc000","#a64d79","#f7caac","#999999","#0000ff","#0000ff","#ffc0cb","#f7caac","#2f5496","#2f5496","#ffe599","#0000ff","#0000ff","#ffc000","#ffc000","#ffc000","#93c47d","#f7caac","#0000ff","#0000ff","#ffc000","#ffc000","#ffc000","#cce0f4","#f7caac","#0000ff","#0000ff","#93c47d","#999999"],"fg":["#ffffff","#000000","#000000","#ffffff","#000000","#000000","#ffffff","#ffffff","#000000","#000000","#ffffff","#ffffff","#000000","#ffffff","#ffffff","#000000","#000000","#000000","#000000","#000000","#ffffff","#ffffff","#000000","#000000","#000000","#000000","#000000","#ffffff","#ffffff","#000000","#000000"]},{"bp":"1271571","nombre":"Christian Rondon","dias":["VACACIONES","HO FILE","LCK A320F\nLIM-CUZ-LIM\nLA 2232 (08:35-10:05 hrs)\nLA 2233 (10:40-12:15 hrs)\nLCK A320F + Habilitación A320F\nLIM-PIU-LIM\nLA 2308 (13:10-14:50 hrs)\nLA 2309 (15:25-16:55 hrs)","HO FILE","HO FILE","HO FILE","FDS","FDS","LCK A320F\nLIM-AQP-LIM\nLA 2123 (09:20-11:00 hrs)\nLA 2124 (11:35-13:10 hrs)\nLCK A320F + Habilitación A320F\nLIM-TPP-LIM\nLA 2087 (14:10-15:35 hrs)\nLA 2088 (16:10-17:30 hrs)","Curso 50%","Inicial G4","LCK A320F\r\nLIM-AQP-LIM\r\nLA 2123 (09:20-11:00 hrs)\r\nLA 2124 (11:35-13:10 hrs)\r\nLCK A320F\r\nLIM-TPP-LIM\r\nLA 2087 (14:10-15:35 hrs)\r\nLA 2088 (16:10-17:30 hrs)","REUNIÓN INSTRUCTORES","FDS","FDS","LCK A320F\r\nLIM-CUZ-LIM\r\nLA 2232 (08:35-10:05 hrs)\r\nLA 2233 (10:40-12:15 hrs)\r\nLCK A320F\r\nLIM-CIX-LIM\r\nLA 2312 (13:25-14:50 hrs)\r\nLA 2313 (15:25-16:45 hrs)","Reva de Servicio\n(08:30-17:30 hrs)\nDÍA 1","Reva de Servicio\n(08:30-17:30 hrs)\nDÍA 2","HO FILE","LCK B787\n- LIM-SCL\n- LA 2697 (09:35-13:00 hrs)\nLCK B787\n- SCL-LIM\n- LA 2696 (16:00-19:45 hrs)","FDS","FDS","HO FILE - REVISION MTC","LCK A320F\nLIM-CUZ-LIM\nLA 2232 (08:35-10:05 hrs)\nLA 2233 (10:40-12:15 hrs)\nLCK A320F\nLIM-PIU-LIM\nLA 2308 (13:10-14:50 hrs)\nLA 2309 (15:25-16:55 hrs)","Reva de Servicio\n(08:30-17:30 hrs)\nDÍA 2","RECA A320F (50%)\nLIM-CUZ-LIM\nLA 2119 (08:00-09:30 hrs)\nLA 2118 (10:15-11:45 hrs)\nRECA A320F (50%) + HAB A320F*\nLIM-AQP-LIM\nLA 2308 (13:10-14:50 hrs)\nLA 2309 (15:25-16:55 hrs)","Inicial G5","FDS","FDS","LCK B767\n- LIM-ATL\n- LA 2482 (12:15-19:35 hrs)","Blanco"],"bg":["#ffffcc","#999999","#f7caac","#999999","#999999","#999999","#0000ff","#0000ff","#f7caac","#ff4b4f","#ffc0cb","#f7caac","#ffe599","#0000ff","#0000ff","#f7caac","#2f5496","#2f5496","#999999","#e88888","#0000ff","#0000ff","#999999","#f7caac","#2f5496","#ea9999","#00b0f0","#0000ff","#0000ff","#ffc000","#ffc000"],"fg":["#000000","#000000","#000000","#000000","#000000","#000000","#ffffff","#ffffff","#000000","#000000","#000000","#000000","#000000","#ffffff","#ffffff","#000000","#ffffff","#ffffff","#000000","#000000","#ffffff","#ffffff","#000000","#000000","#ffffff","#000000","#000000","#ffffff","#ffffff","#000000","#000000"]},{"bp":"2843319","nombre":"Karen Santa Cruz","dias":["DO","DESCANSO MÉDICO","HO FILE","HANDS ON B767","Habilitación B787 (CST)\n- LIM-SCL\n- LA 2697 (09:35-13:00 hrs)\nHabilitación B787 (CST)\n- SCL-LIM\n- LA 2696 (16:00-19:45 hrs)","HO FILE\nTARDE","DO","DO","PREPARACIÓN\nAUDITORÍA\nPRE IOSA","LCK B767\n- LIM-ATL\n- LA 2482 (12:15-19:35 hrs)","Habilitación B767*\n- ATL-LIM\n- LA 2483 (22:15-05:00 hrs)","Blanco","REUNIÓN INSTRUCTORES","DO","DO","DO","DO","LCK A320F + Habilitación A320F\nLIM-CUZ-LIM\nLA2075 / LA2076","HANDS ON B767","PREPARACIÓN\nAUDITORÍA\nPRE IOSA TARDE","DO","DO","LEP / Licencia","LEP / Licencia","LEP / Licencia","LEP / Licencia","LEP / Licencia","DO","DO","HO FILE (NO TOCAR)","HO FILE - REVISION MTC"],"bg":["#ffffff","#e6b8af","#999999","#ffff00","#e88888","#999999","#ffffff","#ffffff","#ffff00","#ffc000","#ffc000","#ffc000","#ffe599","#ffffff","#ffffff","#ffffff","#ffffff","#f7caac","#ffff00","#ffff00","#ffffff","#ffffff","#999999","#999999","#999999","#999999","#999999","#ffffff","#ffffff","#999999","#999999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Acurio","dias":["DO","HO FILE","Reva de Servicio\n(08:30-17:30 hrs)\nDÍA 1","Reva de Servicio\n(08:30-17:30 hrs)\nDÍA 2","HANDS ON B767","DO","DO","DO","DO","LCK B767\n- LIM-MIA\n- LA 2698 (08:25-14:20 hrs)","Acompañamiento de Servicio B767\n- MIA-LIM\n- LA 2481 (15:55-21:40 hrs)","Webinar Rediseño Servicio BC\nTARDE","REUNIÓN INSTRUCTORES","DO","DO","Reentrenamiento A320F\r\nLIM-AQP-LIM\r\nLA 2109 (10:30-12:00 hrs)\r\nLA 2108 (12:40-14:15 hrs)","HO FILE ( NO TOCAR)","LCK B767\n- LIM-ATL\n- LA 2482 (12:15-19:35 hrs)","Habilitación B767\n- ATL-LIM\n- LA 2483 (22:15-05:00 hrs)","Blanco","DO","DO","LCK A320F (VIGILANCIA DGAC)\nLIM-CUZ-LIM\nLA 2232 (08:35-10:05 hrs)\nLA 2233 (10:40-12:15 hrs)\nLCK A320F\nLIM-CIX-LIM\nLA 2312 (13:25-14:50 hrs)\nLA 2313 (15:25-16:45 hrs)","Inicial G5","RTI: PRÁCTICA\nA320F / B767 / B787\n(08:30-17:30 hrs)\nINS APOYO","LCK A320F\nLIM-CUZ-LIM\nLA 2232 (08:35-10:05 hrs)\nLA 2233 (10:40-12:15 hrs)\nLCK A320F\nLIM-CIX-LIM\nLA 2312 (13:25-14:50 hrs)\nLA 2313 (15:30-16:50 hrs)","Reva de Servicio\n(08:30-17:30 hrs)\nDÍA 2","DO","DO","HO FILE - REVISION MTC","LCK B767\n- LIM-MIA\n- LA 2698 (08:15-14:20 hrs)"],"bg":["#ffffff","#999999","#2f5496","#2f5496","#ffff00","#ffffff","#ffffff","#ffffff","#ffffff","#ffc000","#ffc000","#f4ed99","#ffe599","#ffffff","#ffffff","#f7caac","#999999","#ffc000","#ffc000","#ffc000","#ffffff","#ffffff","#f7caac","#00b0f0","#cce0f4","#f7caac","#2f5496","#ffffff","#ffffff","#999999","#ffc000"],"fg":["#000000","#000000","#ffffff","#ffffff","#000000","#000000","#000000","#000000","#000000","#000000","#000000","#000000","#000000","#000000","#000000","#000000","#000000","#000000","#000000","#000000","#000000","#000000","#000000","#000000","#000000","#000000","#ffffff","#000000","#000000","#000000","#000000"]},{"bp":"29530","nombre":"Jazmin Guerra","dias":["DO","LCK B767\n- LIM-MIA\n- LA 2694 (13:30-19:25 hrs)","Habilitación B767\n- MIA-LIM\n- LA 2699 (23:10-05:00 hrs)","Blanco","RTI: PRÁCTICA\nA320F / B767\n(08:30-17:30 hrs)\nINS APOYO TM","DO","DO","DO","DO","Inicial G2 - Taller de Servicio (Día 3)","Reentrenamiento B767\n- LIM-MIA\n- LA 2694 (13:30-19:25 hrs)","LCK B767\n- MIA-LIM\n- LA 2695 (16:55-22:40 hrs)","REUNIÓN INSTRUCTORES","DO","DO","LCK A320F + Habilitación A320F\nLIM-AQP-LIM\nLA 2123 (09:20-11:00 hrs)\nLA 2124 (11:35-13:10 hrs)\nLCK A320F\nLIM-CUZ-LIM\nLA 2075 (14:25-15:55 hrs)\nLA 2076 (16:30-18:00 hrs)","CURSO ESTANDARIZACIÓN","LCK A320F\r\nLIM-CUZ-LIM\r\nLA 2232 (08:35-10:05 hrs)\r\nLA 2233 (10:40-12:15 hrs)\r\nLCK A320F\r\nLIM-CIX-LIM\r\nLA 2312 (13:25-14:50 hrs)\r\nLA 2313 (15:30-16:50 hrs)","RTI: PRÁCTICA\nA320F / B767\n(08:30-17:30 hrs)\nINS APOYO TM","RTI: PRÁCTICA\nA320F / B767\n(08:30-17:30 hrs)\nINS APOYO","DO","DO","LCK A320F\nLIM-TPP-LIM\nLA 2087 (14:10-15:35 hrs)\nLA 2088 (16:10-17:30 hrs)","Reva de Servicio\n(08:30-17:30 hrs)\nDÍA 1","LCK B767\n- LIM-MIA\n- LA 2694 (13:30-19:25 hrs)","Habilitación B767*\n- MIA-LIM\n- LA 2695 (16:55-22:40 hrs)","Recalificación A320F+ Chequeo DGAC (Inicial G3)\nLIM-PCL-LIM\nLA2360/LA2361","DO","DO","Inicial G2 - Taller de Servicio (Día 5)","Inicial G4"],"bg":["#ffffff","#ffc000","#ffc000","#ffc000","#cce0f4","#ffffff","#ffffff","#ffffff","#ffffff","#a64d79","#ffc000","#ffc000","#ffe599","#ffffff","#ffffff","#f7caac","#ffd966","#f7caac","#cce0f4","#cce0f4","#ffffff","#ffffff","#f7caac","#2f5496","#ffc000","#ffc000","#f7caac","#ffffff","#ffffff","#a64d79","#ffc0cb"],"fg":["#000000","#000000","#000000","#000000","#000000","#000000","#000000","#000000","#000000","#ffffff","#000000","#000000","#000000","#000000","#000000","#000000","#000000","#000000","#000000","#000000","#000000","#000000","#000000","#ffffff","#000000","#000000","#000000","#000000","#000000","#ffffff","#000000"]},{"bp":"3217561","nombre":"Claudia Flores","dias":["DO","Curso 50%","Curso 50%","Inicial G2  Chequeo DGAC\nLIM-CUZ-LIM\nLA2013 07:35-09:00\nLA2014 09:35-11:10\r\nLIM-CIX-LIM\nLA2682 12:35-14:00\nLA2683 14:35-15:55","Reva de Servicio\n(08:30-17:30 hrs)\nDÍA 1","Inicial G3","DO","DO","LCK B767\n- LIM-MIA\n- LA 2698 (08:25-14:20 hrs)","Habilitación B767*\n- MIA-LIM\n- LA 2695 (16:55-22:40 hrs)","LCK A320F\nLIM-CJA-LIM\nLA2297/LA2296","DO","DO","DO","DO","LCK B767\n- LIM-ATL\n- LA 2482 (12:15-19:35 hrs)","Acompañamiento de Servicio\n- ATL-LIM\n- LA 2483 (22:15-05:00 hrs)","Blanco","PREPARACIÓN\nAUDITORÍA\nPRE IOSA","PREPARACIÓN\nAUDITORÍA\nPRE IOSA","DO","DO","HANDS ON B767","HABILATACIÓN A320F (CST)\nLIM-AQP-LIM\nLA 2109 (10:20-11:50 hrs)\nLA 2108 (14:40-14:15 hrs)","LCK A320F\nLIM-CUZ-LIM\nLA2130/LA2129\n\nInicial G3 Chequeo DGAC\nLIM-CIX-LIM\nLA2682/LA2683","Reva de Servicio\n(08:30-17:30 hrs)\nDÍA 1","Inicial G4","DO","DO","HANDS ON B767","Chequeo LATAM INICIAL G3\nLIM-AQP-LIM\nLA2238 10:10 -11:35\nLA2239 12:15-13:50\nLIM-PEM-LIM\nLA2264 14:55-16:40\nLA2265 17:20-18:55"],"bg":["#ffffff","#ff4b4f","#ff4b4f","#a64d79","#2f5496","#93c47d","#ffffff","#ffffff","#ffc000","#ffc000","#f7caac","#ffffff","#ffffff","#ffffff","#ffffff","#ffc000","#ffc000","#ffc000","#ffff00","#ffff00","#ffffff","#ffffff","#ffff00","#f7caac","#93c47d","#2f5496","#ffc0cb","#ffffff","#ffffff","#ffff00","#93c47d"],"fg":["#000000","#000000","#000000","#ffffff","#ffffff","#000000","#000000","#000000","#000000","#000000","#000000","#000000","#000000","#000000","#000000","#000000","#000000","#000000","#000000","#000000","#000000","#000000","#000000","#000000","#000000","#ffffff","#000000","#000000","#000000","#000000","#000000"]},{"bp":"2963161","nombre":"Luis Bacigalupo","dias":["VACACIONES","VACACIONES","VACACIONES","VACACIONES","VACACIONES","VACACIONES","VACACIONES","DO","HO FILE","HO FILE","HO FILE","HO FILE","HO FILE","DO","DO","HO FILE","HO FILE","HO FILE","PREPARACIÓN\nAUDITORÍA\nPRE IOSA","PREPARACIÓN\nAUDITORÍA\nPRE IOSA","DO","DO","HO FILE","HO FILE","HO FILE","HO FILE","HO FILE","DO","DO","ACTIVIDAD CRM","RESERVA IET"],"bg":["#ffffcc","#ffffcc","#ffffcc","#ffffcc","#ffffcc","#ffffcc","#ffffcc","#ffffff","#d9d9d9","#d9d9d9","#d9d9d9","#d9d9d9","#d9d9d9","#ffffff","#ffffff","#d9d9d9","#d9d9d9","#d9d9d9","#ffff00","#ffff00","#ffffff","#ffffff","#999999","#d9d9d9","#d9d9d9","#d9d9d9","#d9d9d9","#ffffff","#ffffff","#ffff00","#d9d9d9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LP","LP","LP","LP","LP","LP","LP","LP","LP","LP","LP","LP","LP","LP","LP","LP","LP","LP","LP","LP","LP","LP","LP","LP","LP","LP","LP","LP","LP","LP","LP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Dávila","dias":["DO","HABILITACIÓN A320F (CCM)\nLIM-CUZ-AQP-LIM\nLA 2005 (06:00-07:25 hrs)\nLA 2328 (08:00-09:05 hrs)\nLA 2104 (09:45-11:15 hrs)","HO FILE","INICIAL G1\nTALLER DE SERVICIO DIA 2","Curso 50%","Curso 50%","DO","DO","HANDS ON B787","Reva de Servicio\n(08:30-17:30 hrs)\nDÍA 1","Reva de Servicio\n(08:30-17:30 hrs)\nDÍA 2","RTI: PRÁCTICA\nA320F / B767\n(08:30-17:30 hrs)\nINS APOYO TM","REUNIÓN INSTRUCTORES","DO","DO","TALLER VOLUNTARIO DE SEGURIDAD","HANDS ON B787","HANDS ON B787","RTI: PRÁCTICA\nA320F / B767\n(08:30-17:30 hrs)\nINS APOYO","RTI: PRÁCTICA\nA320F / B767\n(08:30-17:30 hrs)\nINS APOYO TM","DO","DO","Chequeo LATAM INICIAL G3\nLIM-CUZ-LIM\nLA2130 08:00-09:25\nLA2129 10:00-11:35\nLIM-CIX-LIM\nLA2682 12:35-14:00\nLA2683 14:35-15:55","RTI: VIRTUAL\nA320F / B767/B787\n(08:30-17:30 hrs)\nINS TITULAR","RTI: PRÁCTICA\nA320F / B767 / B787\n(08:30-17:30 hrs)\nINS TITULAR","RTI: PRÁCTICA\nA320F / B767 / B787\n(08:30-17:30 hrs)\nINS TITULAR","DO","DO","DO","DO","HO FILE - REVISION MTC"],"bg":["#ffffff","#f7caac","#999999","#fff2cc","#ff4b4f","#ff4b4f","#ffffff","#ffffff","#ffff00","#2f5496","#2f5496","#cce0f4","#ffe599","#ffffff","#ffffff","#ffff00","#ffff00","#ffff00","#cce0f4","#cce0f4","#ffffff","#ffffff","#93c47d","#cce0f4","#cce0f4","#cce0f4","#ffffff","#ffffff","#ffffff","#ffffff","#999999"],"fg":["#000000","#000000","#000000","#000000","#000000","#000000","#000000","#000000","#000000","#ffffff","#ffffff","#000000","#000000","#000000","#000000","#000000","#000000","#000000","#000000","#000000","#000000","#000000","#000000","#000000","#000000","#000000","#000000","#000000","#000000","#000000","#000000"]},{"bp":"2369641","nombre":"Elizabeth Torres","dias":["DO","Inicial G2 Chequeo DGAC\nLIM-CUZ-LIM\nLA2130 08:00-09:25\nLA2129 10:00-11:40\nLIM-PIU-LIM\nLA2308 13:10-14:50\nLA2309 15:25-16:55","HO FILE","Blanco","Inicial G3","INICIAL G1\nTALLER DE SERVICIO DIA 3","DO","DO","Curso 50%","Reentrenamiento A320F\nLIM-PIU-LIM\nLA2306/LA2307","LCK B767\n- LIM-ATL\n- LA 2482 (12:15-19:35 hrs)","Habilitación B767*\n- ATL-LIM\n- LA 2483 (22:15-05:00 hrs)","Blanco","DO","DO","CURSO CRM \nRENOVACIÓN IDE","Inicial G4","Curso 50%","Inicial G4\nVISITA GUIADA","Inicial G4\nVISITA GUIADA","DO","DO","Webinar Rediseño Servicio BC","LCK B767\n- LIM-ATL\n- LA 2482 (12:15-19:35 hrs)","Acompañamiento de Servicio B767\n- ATL-LIM\n- LA 2483 (22:15-05:00 hrs)","Blanco","DO","DO","DO","DO","Chequeo LATAM INICIAL G3\nLIM-JUL-LIM\nLA2207 11:35 -13:10\nLA2208 13:50-15:35"],"bg":["#ffffff","#a64d79","#999999","#ffffff","#93c47d","#fff2cc","#ffffff","#ffffff","#ff4b4f","#f7caac","#ffc000","#ffc000","#ffc000","#ffffff","#ffffff","#ffff00","#ffc0cb","#ff4b4f","#ffc0cb","#ffc0cb","#ffffff","#ffffff","#f4ed99","#ffc000","#ffc000","#ffc000","#ffffff","#ffffff","#ffffff","#ffffff","#93c47d"],"fg":["#000000","#ffffff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2369624","nombre":"Patricia Najar","dias":["DO","HO FILE","Inicial G3","LCK B767\n- LIM-ATL\n- LA 2482 (12:15-19:35 hrs)","Habilitación B767*\n- ATL-LIM\n- LA 2483 (22:15-05:00 hrs)","Blanco","DO","DO","PREPARACIÓN\nAUDITORÍA\nPRE IOSA","PREPARACIÓN\nAUDITORÍA\nPRE IOSA","DO","RECURRENTE AUDITOR 2026\n(Pasajero)\nLIM-SCL\nLA 2697 (09:50-15:30 hrs)","RECURRENTE AUDITOR 2026","RECURRENTE AUDITOR 2026\n(Pasajero)\nSCL-LIM\nLA 640 (13:40-15:30 hrs)","DO","CURSO CRM \nRENOVACIÓN IDE","LCK A320F\r\nLIM-AQP-LIM\r\nLA 2123 (09:20-11:00 hrs)\r\nLA 2124 (11:35-13:10 hrs)\r\nLCK A320F\r\nLIM-PCL-LIM\r\nLA 2360 (14:05-15:20 hrs)\r\nLA 2361 (16:00-17:10 hrs)","Inicial G2 - Taller de Realidad Virtual","LCK A320F\r\nLIM-TCQ-LIM\r\nLA 2245 (09:00-10:50 hrs)\r\nLA 2244 (11:25-13:15 hrs)\r\nLCK A320F\r\nLIM-TPP-LIM\r\nLA 2087 (14:10-15:35 hrs)\r\nLA 2088 (16:10-17:30 hrs)","HO FILE\nMTC","DO","DO","LCK B767\n- LIM-MIA\n- LA 2698 (08:25-14:20 hrs)","Recalificación B767\n- MIA-LIM\n- LA 2695 (16:55-22:40 hrs)","HO FILE TARDE - REVISION MTC","DO","DO","DO","DO","Inicial G4","HANDS ON B767"],"bg":["#ffffff","#999999","#93c47d","#ffc000","#ffc000","#ffc000","#ffffff","#ffffff","#ffff00","#ffff00","#ffffff","#fff2cc","#fff2cc","#fff2cc","#ffffff","#ffff00","#f7caac","#a64d79","#f7caac","#999999","#ffffff","#ffffff","#ffc000","#ffc000","#999999","#ffffff","#ffffff","#ffffff","#ffffff","#ffc0cb","#ffff00"],"fg":["#000000","#000000","#000000","#000000","#000000","#000000","#000000","#000000","#000000","#000000","#000000","#000000","#000000","#000000","#000000","#000000","#000000","#ffffff","#000000","#000000","#000000","#000000","#000000","#000000","#000000","#000000","#000000","#000000","#000000","#000000","#000000"]},{"bp":"3134911","nombre":"Javier Zapata","dias":[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HO FILE - REVISION MTC","LCK B767\n- LIM-ATL\n- LA 2482 (12:15-19:35 hrs)","Habilitación B767*\n- ATL-LIM\n- LA 2483 (22:15-05:00 hrs)","Blanco","DO","DO","HO FILE - REVISION MTC","Chequeo LATAM INICIAL G3\nLIM-CUZ-LIM\nLA2130 08:00 -09:20\nLA2129 10:05-11:40\nLIM-PIU-LIM\nLA2308 13:00-14:45\nLA2309 15:25-16:55"],"bg":["#ffffcc","#ffffcc","#ffffcc","#ffffcc","#ffffcc","#ffffcc","#ffffcc","#ffffcc","#ffffcc","#ffffcc","#ffffcc","#ffffcc","#ffffcc","#ffffcc","#ffffcc","#ffffcc","#ffffcc","#ffffcc","#ffffcc","#ffffcc","#ffffcc","#ffffcc","#ffffcc","#999999","#ffc000","#ffc000","#ffc000","#ffffff","#ffffff","#999999","#93c47d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3750335","nombre":"Jefferson Mendez","dias":["DO","LCK B767\n- LIM-ATL\n- LA 2482 (12:15-19:35 hrs)","Habilitación B767*\n- ATL-LIM\n- LA 2483 (22:15-05:00 hrs)","Blanco","Inicial G2  Chequeo DGAC\nLIM-JUL-LIM\nLA2147 08:45-10:25\nLA2148 11:05-12:45\r\nLIM-TPP-LIM\nLA2087 14:10-15:35\nLA2088 16:10-17:30","HO FILE","DO","DO","LCK B767\n- LIM-MIA\n- LA 2694 (13:30-19:25 hrs)","Acompañamiento de Servicio B767\n- MIA-LIM\n- LA 2699 (23:10-05:00 hrs)","Blanco","DESAYUNO SAB","REUNIÓN INSTRUCTORES","DO","DO","LCK B767\n- LIM-MIA\n- LA 2698 (08:25-14:20 hrs)","Reentrenamiento B767\n- MIA-LIM\n- LA 2695 (16:55-22:40 hrs)","Recalificación A320F + Acompañamiento de Servicio A320F\nLIM-CJA-LIM\n2297/2296","DO","DO","DO","DO","HO FILE - REVISION MTC","CUMP","CUMP","Inicial G4","Chequeo LATAM INICIAL G3\nLIM-JUL-LIM\nLA2147 08:55-10:30\nLA2148 11:05-12:45\nLIM-TPP-LIM\nLA2087 14:10-15:35\nLA2088 16:10-17:30","DO","DO","LCK B767\n- LIM-MIA\n- LA 2698 (08:15-14:20 hrs)","Acompañamiento de Servicio B767\n- MIA-LIM\n- LA 2695 (16:10-22:00 hrs)"],"bg":["#ffffff","#ffc000","#ffc000","#ffc000","#a64d79","#999999","#ffffff","#ffffff","#ffc000","#ffc000","#ffc000","#ffff00","#ffe599","#ffffff","#ffffff","#ffc000","#ffc000","#f7caac","#ffffff","#ffffff","#ffffff","#ffffff","#999999","#ffc0cb","#ffc0cb","#ffc0cb","#93c47d","#ffffff","#ffffff","#ffc000","#ffc000"],"fg":["#000000","#000000",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]},{"bp":"3852423","nombre":"Gabriela Ungaro","dias":["DO","INICIAL G1 DGAC\nLIM-PIU-LIM\nLA2306 09:35-11:20\nLA2307 11:55-13:25","LCK B767\n- LIM-MIA\n- LA 2698 (08:25-14:20 hrs)","Chequeo DGAC\n- MIA-LIM\n- LA 2481 (15:55-21:40 hrs)","Inicial G2  Chequeo DGAC\nLIM-CUZ-LIM\nLA2075 14:25-15:55\nLA2076 16:30-18:00","LCK A320F\nLIM-CUZ-LIM\nLA 2232 (08:35-10:05 hrs)\nLA 2233 (10:40-12:15 hrs)\nHABILITACIÓN A320F (CCM)\nLIM-PIU-LIM\nLA 2308 (13:10-14:50 hrs)\nLA 2309 (15:25-16:55 hrs)","DO","DO","LCK B767\n- LIM-ATL\n- LA 2482 (12:15-19:35 hrs)","Habilitación B767*\n- ATL-LIM\n- LA 2483 (22:15-05:00 hrs)","Blanco","LCK A320F\r\nLIM-CUZ-LIM\r\nLA 2232 (08:35-10:05 hrs)\r\nLA 2233 (10:40-12:15 hrs)\r\nLCK A320F\r\nLIM-PIU-LIM\r\nLA 2308 (13:10-14:50 hrs)\r\nLA 2309 (15:25-16:55 hrs)","REUNIÓN INSTRUCTORES","DO","DO","HO FILE","LCK B767\n- LIM-MIA\n- LA 2698 (08:25-14:20 hrs)","Chequeo DGAC\n- MIA-LIM\n- LA 2481 (15:55-21:40 hrs)","Webinar Rediseño Servicio BC\nTARDE","HO FILE (NO TOCAR)","DO","DO","TALLER VOLUNTARIO DE SEGURIDAD","VACACIONES","VACACIONES","VACACIONES","VACACIONES","VACACIONES","VACACIONES","VACACIONES","VACACIONES"],"bg":["#ffffff","#fff2cc","#ffc000","#ffc000","#a64d79","#f7caac","#ffffff","#ffffff","#ffc000","#ffc000","#ffc000","#f7caac","#ffe599","#ffffff","#ffffff","#999999","#ffc000","#ffc000","#f4ed99","#999999","#ffffff","#ffffff","#ffff00","#ffffcc","#ffffcc","#ffffcc","#ffffcc","#ffffcc","#ffffcc","#ffffcc","#ffffcc"],"fg":["#000000","#000000",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]},{"bp":"2604360","nombre":"Mariella Carrasco","dias":["DO","Inicial G3","Inicial G3","LCK B767\n- LIM-MIA\n- LA 2694 (13:30-19:25 hrs)","Habilitación B767*\n- MIA-LIM\n- LA 2695 (16:55-22:40 hrs)","HO FILE\nTARDE","DO","DO","PREPARACIÓN\nAUDITORÍA\nPRE IOSA","PREPARACIÓN\nAUDITORÍA\nPRE IOSA","DO","RECURRENTE AUDITOR 2026\n(Pasajero)\nLIM-SCL\nLA 2697 (09:50-15:30 hrs)","RECURRENTE AUDITOR 2026","RECURRENTE AUDITOR 2026\n(Pasajero)\nSCL-LIM\nLA 640 (13:40-15:30 hrs)","DO","HO FILE","LCK B767\n- LIM-ATL\n- LA 2482 (12:15-19:35 hrs)","Habilitación B767*\n- ATL-LIM\n- LA 2483 (22:15-05:00 hrs)","Blanco","Inicial G3 - Taller de Servicio (Día 2)","DO","DO","TALLER VOLUNTARIO DE SEGURIDAD","LCK B767\n- LIM-MIA\n- LA 2698 (08:25-14:20 hrs)","Chequeo DGAC\n- MIA-LIM\n- LA 2481 (15:55-21:40 hrs)","HO FILE TARDE - REVISION MTC","DO","DO","DO","DO","HABILITACIÓN A320F (CCM)\nLIM-CUZ-AQP-LIM\nLA 2005 (06:00-07:20 hrs)\nLA 2328 (08:00-09:05 hrs)\nLA 2104 (09:45-11:25 hrs)"],"bg":["#ffffff","#93c47d","#93c47d","#ffc000","#ffc000","#999999","#ffffff","#ffffff","#ffff00","#ffff00","#ffffff","#fff2cc","#fff2cc","#fff2cc","#ffffff","#999999","#ffc000","#ffc000","#ffc000","#93c47d","#ffffff","#ffffff","#ffff00","#ffc000","#ffc000","#999999","#ffffff","#ffffff","#ffffff","#ffffff","#f7caa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2823133","nombre":"Cesar Campos","dias":["DO","Inicial Chequeo Latam\nLIM-PEM-LIM\nLA2260 10:20-12:05\nLA2261 12:45-14:20","Inicial G2 Chequeo Latam\nLIM-JUL-LIM\nLA2147 08:45-10:25\nLA2148 11:05-12:45\nLIM-TPP-LIM\nLA2087 14:10-15:35\nLA2088 16:10-17:30","Inicial G3","RTI: PRÁCTICA\nA320F / B767\n(08:30-17:30 hrs)\nINS TITULAR","Reva de Servicio\n(08:30-17:30 hrs)\nDÍA 2","DO","DO","INICIAL G1\nTALLER DE SERVICIO DIA 4","INICIAL G1\nTALLER DE SERVICIO DIA 5","INICIAL G1\nTALLER DE REALIDAD VIRTUAL","RTI: PRÁCTICA\nA320F / B767\n(08:30-17:30 hrs)\nINS TITULAR","REUNIÓN INSTRUCTORES","DO","DO","HANDS ON B767 \nALUMNO","RTI: VIRTUAL\nA320F / B767\n(08:30-17:30 hrs)\nINS TITULAR","Inicial G2 - Taller de Realidad Virtual","RTI: PRÁCTICA\nA320F / B767\n(08:30-17:30 hrs)\nINS TITULAR","HO FILE \nMTC","DO","DO","Chequeo LATAM INICIAL G3\nLIM-TCQ-LIM\nLA2071 10:30-12:20\nLA2072 12:55-14:45","RTI: VIRTUAL\nA320F / B767 / B787\n(08:30-17:30 hrs)\nINS CRM","Inicial G4","DO","DO","DO","DO","LCK ALUMNO B767 (CCM)\n- LIM-MIA\n- LA 2698 (08:15-14:20 hrs)","LCK ALUMNO B767 (CCM)\n- MIA-LIM\n- LA 2695 (16:10-22:00 hrs)"],"bg":["#ffffff","#a64d79","#a64d79","#93c47d","#cce0f4","#2f5496","#ffffff","#ffffff","#fff2cc","#fff2cc","#fff2cc","#cce0f4","#ffe599","#ffffff","#ffffff","#ffff00","#cce0f4","#a64d79","#cce0f4","#999999","#ffffff","#ffffff","#93c47d","#cce0f4","#ffc0cb","#ffffff","#ffffff","#ffffff","#ffffff","#ffc000","#ffc000"],"fg":["#000000","#ffffff","#ffffff","#000000","#000000","#ffffff","#000000","#000000","#000000","#000000","#000000","#000000","#000000","#000000","#000000","#000000","#000000","#ffffff","#000000","#000000","#000000","#000000","#000000","#000000","#000000","#000000","#000000","#000000","#000000","#000000","#000000"]},{"bp":"3189967","nombre":"Kevin Segovia","dias":["DO","Inicial G2 Chequeo Latam\nLIM-JUL-LIM\nLA2147 08:45-10:25\nLA2148 11:05-12:45\r\nLIM-TPP-LIM\nLA2087 14:10-15:35\nLA2088 16:10-17:30","RTI: VIRTUAL\nA320F / B767\n(08:30-17:30 hrs)\nINS CRM","Inicial G3","RTI: PRÁCTICA\nA320F / B767\n(08:30-17:30 hrs)\nINS APOYO","HO FILE","DO","DO","PREPARACIÓN\nAUDITORÍA\nPRE IOSA","RTI: VIRTUAL\nA320F / B767\n(08:30-17:30 hrs)\nINS CRM","Inicial G2 - Taller de Servicio (Día 4)","RTI: PRÁCTICA\nA320F / B767\n(08:30-17:30 hrs)\nINS APOYO","REUNIÓN INSTRUCTORES","DO","DO","HANDS ON B767 \nALUMNO","RTI: VIRTUAL\nA320F / B767\n(08:30-17:30 hrs)\nINS CRM","RTI: VIRTUAL\nA320F / B767\n(08:30-17:30 hrs)\nINS TITULAR","Reva de Servicio\n(08:30-17:30 hrs)\nDÍA 1","Reva de Servicio\n(08:30-17:30 hrs)\nDÍA 2","DO","DO","HO FILE - REVISION MTC","LCK ALUMNO B767 (CCM)\n- LIM-MIA\n- LA 2698 (08:25-14:20 hrs)","LCK ALUMNO B767 (CCM)\n- MIA-LIM\n- LA 2481 (15:55-21:40 hrs)","HO FILE TARDE - REVISION MTC","DO","DO","DO","DO","Inicial G5"],"bg":["#ffffff","#a64d79","#cce0f4","#93c47d","#cce0f4","#999999","#ffffff","#ffffff","#ffff00","#cce0f4","#a64d79","#cce0f4","#ffe599","#ffffff","#ffffff","#ffff00","#cce0f4","#cce0f4","#2f5496","#2f5496","#ffffff","#ffffff","#999999","#ffc000","#ffc000","#999999","#ffffff","#ffffff","#ffffff","#ffffff","#00b0f0"],"fg":["#000000","#ffffff","#000000","#000000","#000000","#000000","#000000","#000000","#000000","#000000","#ffffff","#000000","#000000","#000000","#000000","#000000","#000000","#000000","#ffffff","#ffffff","#000000","#000000","#000000","#000000","#000000","#000000","#000000","#000000","#000000","#000000","#000000"]},{"bp":"2415373","nombre":"Milagros Salas","dias":["DO","HO FILE","RTI: VIRTUAL\nA320F / B767\n(08:30-17:30 hrs)\nINS TITULAR","Inicial G2 Chequeo Latam\nLIM-JUL-LIM\nLA2147 08:45-10:25\nLA2148 11:05-12:45\nLIM-CUZ-LIM\nLA2075 14:25-15:55\nLA2076 16:30-18:00","DO","DO","DO","DO","Inicial G2 - Taller de Servicio (Día 2)","RTI: VIRTUAL\nA320F / B767\n(08:30-17:30 hrs)\nINS TITULAR","HANDS ON B767","HABILITACIÓN A320F (CCM)\nLIM-UIO-LIM\nLA 2382 (08:50-11:05 hrs)\nLA 2383 (12:15-14:30 hrs)","REUNIÓN INSTRUCTORES","DO","DO","Inicial G5","Inicial G5","Inicial G5","Inicial G5","Inicial G5","DO","DO","Inicial G5","REENT A320F (50%)\nLIM-CUZ-LIM\nLA 2013 (07:35-09:00 hrs)\nLA 2014 (09:35-11:10 hrs)\nREENT A320F (50%) + HAB A320F*\nLIM-AQP-LIM\nLA 2055 (12:30-14:00 hrs)\nLA 2056 (14:35-16:10 hrs)","Inicial G5","Inicial G5","CEREMONIA GRADUACIÓN\nG1 &amp; G2","DO","DO","Chequeo LATAM INICIAL G3\nLIM-CUZ-LIM\nLA2130 08:00 -09:20\nLA2129 10:05-11:40\nLIM-PIU-LIM\nLA2308 13:00-14:45\nLA2309 15:25-16:55","Reva de Servicio\n(08:30-17:30 hrs)\nDÍA 1"],"bg":["#ffffff","#999999","#cce0f4","#a64d79","#ffffff","#ffffff","#ffffff","#ffffff","#a64d79","#cce0f4","#ffff00","#f7caac","#ffe599","#ffffff","#ffffff","#00b0f0","#00b0f0","#00b0f0","#00b0f0","#00b0f0","#ffffff","#ffffff","#00b0f0","#ea9999","#00b0f0","#00b0f0","#ffd966","#ffffff","#ffffff","#93c47d","#2f5496"],"fg":["#000000","#000000","#000000","#ffffff","#000000","#000000","#000000","#000000","#ffffff","#000000","#000000","#000000","#000000","#000000","#000000","#000000","#000000","#000000","#000000","#000000","#000000","#000000","#000000","#000000","#000000","#000000","#000000","#000000","#000000","#000000","#ffffff"]},{"bp":"2440915","nombre":"Judith Fernandez","dias":["DO","HO FILE","INICIAL G1\nTALLER DE SERVICIO DIA 1","Curso 50%","Inicial G3","Inicial G2 - Taller de Servicio (Día 1)","DO","DO","LCK ALUMNO B767 (CCM)\n- LIM-MIA\n- LA 2694 (13:30-19:25 hrs)","LCK ALUMNO B767 (CCM)\n- MIA-LIM\n- LA 2699 (23:10-05:00 hrs)","Blanco","Reva de Servicio\n(08:30-17:30 hrs)\nDÍA 1","Reva de Servicio\n(08:30-17:30 hrs)\nDÍA 2","DO","DO","TALLER VOLUNTARIO DE SEGURIDAD","TALLER VOLUNTARIO DE SEGURIDAD","RTI: VIRTUAL\nA320F / B767\n(08:30-17:30 hrs)\nINS CRM - TM","Inicial G4","RTI: PRÁCTICA\nA320F / B767\n(08:30-17:30 hrs)\nINS TITULAR","DO","DO","Inicial G4\nVISITA GUIADA","Inicial G4\nVISITA GUIADA","Reva de Servicio\n(08:30-17:30 hrs)\nDÍA 1","Reva de Servicio\n(08:30-17:30 hrs)\nDÍA 2","DO","DO","DO","DO","HO FILE - REVISION MTC"],"bg":["#ffffff","#999999","#fff2cc","#ff4b4f","#93c47d","#a64d79","#ffffff","#ffffff","#ffc000","#ffc000","#ffc000","#2f5496","#2f5496","#ffffff","#ffffff","#ffff00","#ffff00","#cce0f4","#ffc0cb","#cce0f4","#ffffff","#ffffff","#ffc0cb","#ffc0cb","#2f5496","#2f5496","#ffffff","#ffffff","#ffffff","#ffffff","#999999"],"fg":["#000000","#000000","#000000","#000000","#000000","#ffffff","#000000","#000000","#000000","#000000","#000000","#ffffff","#ffffff","#000000","#000000","#000000","#000000","#000000","#000000","#000000","#000000","#000000","#000000","#000000","#ffffff","#ffffff","#000000","#000000","#000000","#000000","#000000"]},{"bp":"3796947","nombre":"Rafael Nieto","dias":["SICK","SICK","SICK","SICK","SICK","SICK","SICK","SICK","SICK","SICK","SICK","SICK","SICK","SICK","SICK","SICK","SICK","SICK","SICK","SICK","SICK","SICK","SICK","SICK","SICK","SICK","SICK","SICK","SICK","SICK","SICK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Celiz","dias":["DO","Inicial G4","Inicial G4","Inicial G4","Inicial G4","Inicial G4","DO","DO","Inicial G4","Inicial G4","Curso 50%","HABILITACIÓN A320F (CCM)\nLIM-CJA-LIM\nLA 2295 (06:55-08:15 hrs)\nLA 2294 (08:55-10:00 hrs)\nLIM-AYP-LIM\nLA 2184 (10:50-11:50 hrs)\nLA 2183 (12:30-13:25 hrs)","Inicial G4","DO","DO","Inicial G4","HANDS ON B767","Inicial G4","Reentrenamiento A320F*\nLIM-CUZ-LIM\nLA2266/LA2267","DO","DO","DO","DO","Inicial G3\nTALLER DIA 2","Inicial G4","Inicial G4","Inicial G4","DO","DO","Inicial G4","Inicial G4"],"bg":["#ffffff","#ffc0cb","#ffc0cb","#ffc0cb","#ffc0cb","#ffc0cb","#ffffff","#ffffff","#ffc0cb","#ffc0cb","#ff4b4f","#f7caac","#ffc0cb","#ffffff","#ffffff","#ffc0cb","#ffff00","#ffc0cb","#f7caac","#ffffff","#ffffff","#ffffff","#ffffff","#93c47d","#ffc0cb","#ffc0cb","#ffc0cb","#ffffff","#ffffff","#ffc0cb","#ffc0cb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]}</t>
  </si>
  <si>
    <t>{"mes":"2026-04","fuente":"04 - Rol Instructores LP ABRIL 26","hoja":"ABRIL","instructores":[{"bp":"2713993","nombre":"Fiorella Ruiz","dias":["DESCANSO MÉDICO","FERIADO","FERIADO","FDS","FDS","LCK A320F\nLIM-CUZ-LIM\nLA 2007 (09:10-10:35 hrs)\nLA 2008 (11:20-12:55 hrs)","Habilitación B787 (CST)\n- LIM-SCL\n- LA 2697 (09:35-13:00 hrs)\nAcompañamiento de Servicio B787*\n- SCL-LIM\n- LA 2696 (16:00-19:45 hrs)","TTT CRM","Reva de Servicio\n(08:30-17:30 hrs)\nDÍA 1","Chequeo DGAC INICIAL G3\nLIM-CUZ-LIM\nLA2028 15:30 -16:55\nLA2029 17:30 -19:10","FDS","FDS","HO FILE\nMTC","CURSO ESTANDARIZACIÓN TARDE","Acompañamiento de Servicio B767*\n- LIM-ATL\n- LA 2482 (12:05-19:35 hrs)","LCK B767\n- ATL-LIM\n- LA 2483 (22:15-05:00 hrs)","Blanco","FDS","FDS","Habilitación B767\n- LIM-ATL\n- LA 2482 (12:05-19:35 hrs)","LCK B767\n- ATL-LIM\n- LA 2483 (22:15-05:00 hrs)","Blanco","Inicial G4 CHEQUEO DGAC\nLIM-PIU-LIM\nLA2306 09:30-11:15\nLA2307 11:55-13:25","LCK B787\n- LIM-SCL\n- LA 2697 (09:35-13:00 hrs)\nRecalificación B787\n- SCL-LIM\n- LA 2696 (16:00-19:45 hrs)","FDS","FDS","LCK B787\n- LIM-SCL\n- LA 2697 (09:35-13:00 hrs)\nLCK B787\n- SCL-LIM\n- LA 2696 (16:00-19:45 hrs)","PRO CAB","LCK A320F \nLIM-CUZ-LIM\nLA 2274 (09:35-11:10 hrs)\nLA 2275 (11:45-13:05 hrs)","LCK A320F\nLIM-CUZ-LIM\nLA 2007 (09:10-10:35 hrs)\nLA 2008 (11:20-12:55 hrs)\nLCK A320F\nLIM-CUZ-LIM\nLA 2232 (13:55-15:20 hrs)\nLA 2197 (15:55-17:35 hrs)"],"bg":["#e6b8af","#0000ff","#0000ff","#0000ff","#0000ff","#f7caac","#e88888","#ffff00","#2f5496","#93c47d","#0000ff","#0000ff","#999999","#ffff00","#ffc000","#ffc000","#ffc000","#0000ff","#0000ff","#ffc000","#ffc000","#ffc000","#ffc0cb","#e88888","#0000ff","#0000ff","#e88888","#ffe599","#f7caac","#f7caac"],"fg":["#000000","#ffffff","#ffffff","#ffffff","#ffffff","#000000","#000000","#000000","#ffffff","#000000","#ffffff","#ffffff","#000000","#000000","#000000","#000000","#000000","#ffffff","#ffffff","#000000","#000000","#000000","#000000","#000000","#ffffff","#ffffff","#000000","#000000","#000000","#000000"]},{"bp":"2396710","nombre":"Sebastian Correa","dias":["LF","LF","LF","LF","LF","LF","LF","LF","LF","DESCANSO MÉDICO","FDS","FDS","VACACIONES","VACACIONES","VACACIONES","VACACIONES","VACACIONES","VACACIONES","VACACIONES","VACACIONES","VACACIONES","VACACIONES","VACACIONES","VACACIONES","VACACIONES","VACACIONES","VACACIONES","VACACIONES","VACACIONES","VACACIONES"],"bg":["#cfe2f3","#cfe2f3","#cfe2f3","#cfe2f3","#cfe2f3","#cfe2f3","#cfe2f3","#cfe2f3","#cfe2f3","#e6b8af","#0000ff","#0000ff","#ffffcc","#ffffcc","#ffffcc","#ffffcc","#ffffcc","#ffffcc","#ffffcc","#ffffcc","#ffffcc","#ffffcc","#ffffcc","#ffffcc","#ffffcc","#ffffcc","#ffffcc","#ffffcc","#ffffcc","#ffffcc"],"fg":["#000000","#000000","#000000","#000000","#000000","#000000","#000000","#000000","#000000","#000000","#ffffff","#ffffff","#000000","#000000","#000000","#000000","#000000","#000000","#000000","#000000","#000000","#000000","#000000","#000000","#000000","#000000","#000000","#000000","#000000","#000000"]},{"bp":"1271571","nombre":"Christian Rondon","dias":["Habilitación B767*\n- ATL-LIM\n- LA 2483 (22:15-05:00 hrs)","FERIADO","FERIADO","FDS","FDS","LCK B787\n- LIM-SCL\n- LA 2697 (09:35-13:00 hrs)\nLCK B787\n- SCL-LIM\n- LA 2696 (16:00-19:45 hrs)","RESERVA IET\nTARDE","LCK A320F\nLIM-AQP-LIM\nLA 2119 (08:30-10:00 hrs)\nLA 2118 (10:55-12:35 hrs)","TTT REVA SVC","TTT REVA SVC","FDS","FDS","Reentrenamiento B767\n- LIM-MIA\n- LA 2694 (13:30-19:35 hrs)","LCK B767\n- MIA-LIM\n- LA 2699 (23:15-05:00 hrs)","Blanco","LDS","DO","FDS","FDS","Reentrenamiento B767\n- LIM-MIA\n- LA 2694 (13:30-19:35 hrs)","LCK B767\n- MIA-LIM\n- LA 2699 (23:15-05:00 hrs)","Blanco","LCK B767\n- LIM-SCL\n- LA 2413 (12:05-15:35 hrs)\nLCK B767\n- SCL-LIM\n- LA 2412 (17:05-20:55 hrs)","HO FILE\nTARDE","FDS","FDS","LCK B767\n- LIM-MIA\n- LA 2694 (13:30-19:35 hrs)","Acompañamiento de Servicio B767*\n- MIA-LIM\n- LA 2699 (23:15-05:00 hrs)","Blanco","HO FILE"],"bg":["#ffc000","#0000ff","#0000ff","#0000ff","#0000ff","#e88888","#d9d9d9","#f7caac","#c9daf8","#c9daf8","#0000ff","#0000ff","#ffc000","#ffc000","#ffc000","#ffffff","#ffffff","#0000ff","#0000ff","#ffc000","#ffc000","#ffc000","#ffc000","#999999","#0000ff","#0000ff","#ffc000","#ffc000","#ffc000","#999999"],"fg":["#000000","#ffffff","#ffffff","#ffffff","#ffffff","#000000","#000000","#000000","#000000","#000000","#ffffff","#ffffff","#000000","#000000","#000000","#000000","#000000","#ffffff","#ffffff","#000000","#000000","#000000","#000000","#000000","#ffffff","#ffffff","#000000","#000000","#000000","#000000"]},{"bp":"2843319","nombre":"Karen Santa Cruz","dias":["LCK A320F\r\nLIM-CUZ-LIM\r\nLA 2007 (09:10-10:35 hrs)\r\nLA 2008 (11:20-12:55 hrs)\r\nLCK A320F\r\nLIM-CUZ-LIM\r\nLA 2232 (13:55-15:20 hrs)\r\nLA 2197 (15:55-17:35 hrs)","DO","DO","DO","DO","AUDITORÍA\nIOSA","AUDITORÍA\nIOSA","AUDITORÍA\nIOSA","AUDITORÍA\nIOSA","AUDITORÍA\nIOSA","DO","DO","DO","LCK B767\n- LIM-ATL\n- LA 2482 (12:05-19:35 hrs)","Habilitación B767*\n- ATL-LIM\n- LA 2483 (22:15-05:00 hrs)","Blanco","HO FILE\n(No tocar)","DO","CUMP","CUMP","Situaciones de Emergencia A320F\nTripulación de Mando\nLP\n(08:30-17:30 hrs)","RTI: PRÁCTICA\nA320F / B767 / B787\n(08:30-17:30 hrs)\nINS APOYO","Ditching Presencial A320F + HANDS ON\nTripulación de Mando\nLP\n(08:30-17:30 hrs)","LCK A320F\r\nLIM-CUZ-LIM\r\nLA 2007 (09:10-10:35 hrs)\r\nLA 2008 (11:20-12:55 hrs)\r\nLCK A320F\r\nLIM-AQP-LIM\r\nLA 2055 (13:50-15:35 hrs)\r\nLA 2056 (16:15-17:50 hrs)","DO","DO","LCK B767\n- LIM-MIA\n- LA 2698 (08:15-14:20 hrs)","Chequeo DGAC B767\n- MIA-LIM\n- LA 2695 (16:10-22:00 hrs)","HO FILE  TARDE MTC","Chequeo DGAC B767\n- LIM-SCL\n- LA 2413 (12:05-15:35 hrs)\nChequeo DGAC B767\n- SCL-LIM\n- LA 2412 (17:05-20:55 hrs)"],"bg":["#f7caac","#ffffff","#ffffff","#ffffff","#ffffff","#ffff00","#ffff00","#ffff00","#ffff00","#ffff00","#ffffff","#ffffff","#ffffff","#ffc000","#ffc000","#ffc000","#999999","#ffffff","#ffc0cb","#ffc0cb","#ff4b4f","#cce0f4","#ff4b4f","#f7caac","#ffffff","#ffffff","#ffc000","#ffc000","#999999","#ffc000"],"fg":["#000000","#000000","#000000","#000000","#000000","#000000","#000000","#000000","#000000","#000000","#000000","#000000","#000000","#000000","#000000","#000000","#000000","#000000","#000000","#000000","#ffffff","#000000","#ffffff","#000000","#000000","#000000","#000000","#000000","#000000","#000000"]},{"bp":"3779550","nombre":"Jennifert Acurio","dias":["Acompañamiento de Servicio B767\n- MIA-LIM\n- LA 2481 (15:55-21:40 hrs)","DO","DO","DO","DO","LCK  ALUMNA B787 (CST)\n- LIM-SCL\n- LA 2697 (09:35-13:00 hrs)\nLCK  ALUMNA B787 (CST)\n- SCL-LIM\n- LA 2696 (16:00-19:45 hrs)","RESERVA IET\nTARDE","VACACIONES","VACACIONES","VACACIONES","VACACIONES","VACACIONES","VACACIONES","VACACIONES","VACACIONES","Inicial G6","Chequeo DGAC B767\n- LIM-SCL\n- LA 2413 (12:05-15:35 hrs)\nChequeo DGAC B767\n- SCL-LIM\n- LA 2412 (17:05-20:55 hrs)","DO","DO","LCK B767\n- LIM-MIA\n- LA 2698 (08:15-14:20 hrs)","Chequeo LATAM B767\n- MIA-LIM\n- LA 2695 (21:50-02:30 hrs)","Blanco","Chequeo DGAC INICIAL G3*\nLIM - CUZ - LIM\nLA2266 (11:10 - 12:35)\nLA2267 (13:10 - 14:45)","Inicial G4 CHEQUEO LATAM\nLIM-PIU-LIM\nLA2306 09:30-11:15\nLA2307 11:55-13:25\nLIM-PIU-LIM\nLA2338 15:00-16:45\nLA2339 17:20-18:50","DO","DO","LCK A320F\r\nLIM-AQP-LIM\r\nLA 2123 (09:15-10:50 hrs)\r\nLA 2124 (11:30-13:10 hrs)\r\nLCK A320F\r\nLIM-CJA-LIM\r\nLA 2295 (14:05-15:30 hrs)\r\nLA 2294 (16:10-17:15 hrs)","LCK B767\n- LIM-ATL\n- LA 2482 (12:05-19:35 hrs)","Acompañamiento de Servicio B767\n- ATL-LIM\n- LA 2483 (22:15-05:00 hrs)","Blanco"],"bg":["#ffc000","#ffffff","#ffffff","#ffffff","#ffffff","#e88888","#d9d9d9","#ffffcc","#ffffcc","#ffffcc","#ffffcc","#ffffcc","#ffffcc","#ffffcc","#ffffcc","#b4a7d6","#ffc000","#ffffff","#ffffff","#ffc000","#ffc000","#ffc000","#93c47d","#ffc0cb","#ffffff","#ffffff","#f7caac","#ffc000","#ffc000","#ffc000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29530","nombre":"Jazmin Guerra","dias":["Habilitación B787 (CST)\n- LIM-SCL\n- LA 2697 (09:35-13:00 hrs)\nHabilitación B787 (CST)\n- SCL-LIM\n- LA 2696 (16:00-19:45 hrs)","DO","DO","DO","DO","Chequeo DGAC INICIAL G3\nLIM-CIX-LIM\nLA2274 09:35 -11:10\nLA2275 11:45 -13:05","Chequeo DGAC INICIAL G3\nLIM-AQP-LIM\nLA2043 12:50 -14:25\nLA2044 15:00 -16:40","Inicial G5\n(Recuperatorio)","TTT REVA SVC","TTT REVA SVC","DO","DO","HO FILE\nMTC","Reentrenamiento A320F + Acompañamiento de Servicio A320F*\nLIM-CUZ-LIM\n2028/2029","Inicial G6","LCK B767\n- LIM-SCL\n- LA 2413 (12:05-15:35 hrs)\nLCK B767\n- SCL-LIM\n- LA 2412 (17:05-20:55 hrs)","Chequeo LATAM INICIAL G3\nLIM - TCQ - LIM\nLA2215 (16:30 - 18:20)\nLA2216 (18:55 - 20:50)","DO","DO","LCK A320F\r\nLIM-CIX-LIM\r\nLA 2274 (09:35-11:10 hrs)\r\nLA 2275 (11:45-13:05 hrs)\r\nLCK A320F\r\nLIM-CJA-LIM\r\nLA 2295 (14:05-15:30 hrs)\r\nLA 2294 (16:10-17:15 hrs)","Recalificación B767*\n- LIM-ATL\n- LA 2482 (12:05-19:35 hrs)","LCK B767\n- ATL-LIM\n- LA 2483 (22:15-05:00 hrs)","Blanco","Chequeo DGAC B767\n- LIM-SCL\n- LA 2413 (12:05-15:35 hrs)\nChequeo DGAC B767\n- SCL-LIM\n- LA 2412 (17:05-20:55 hrs)","DO","DO","LCK A320F\nLIM-CIX-LIM\nLA 2274 (09:35-11:10 hrs)\nLA 2275 (11:45-13:05 hrs)\nLCK A320F\nLIM-TPP-LIM\nLA 2087 (14:00-15:30 hrs)\nLA 2088 (16:05-17:30 hrs)","Inicial G6\nVISITA GUIADA","Inicial G6\nVISITA GUIADA","Inicial G6\nVISITA GUIADA"],"bg":["#e88888","#ffffff","#ffffff","#ffffff","#ffffff","#93c47d","#93c47d","#00b0f0","#c9daf8","#c9daf8","#ffffff","#ffffff","#999999","#f7caac","#b4a7d6","#ffc000","#93c47d","#ffffff","#ffffff","#f7caac","#ffc000","#ffc000","#ffc000","#ffc000","#ffffff","#ffffff","#f7caac","#b4a7d6","#b4a7d6","#b4a7d6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3217561","nombre":"Claudia Flores","dias":["Chequeo DGAC INICIAL G3\nLIM-CIX-LIM\nLA2312 13:25 -15:00\nLA2313 15:40-17:00","DO","DO","DO","DO","HO FILE","CUMP","VACACIONES","VACACIONES","VACACIONES","VACACIONES","VACACIONES","VACACIONES","VACACIONES","VACACIONES","VACACIONES","VACACIONES","VACACIONES","VACACIONES","VACACIONES","VACACIONES","VACACIONES","HO MTC","LCK ALUMNA B787 (CCM)\n- LIM-SCL\n- LA 2697 (09:35-13:00 hrs)\nLCK ALUMNA B787 (CCM)\n- SCL-LIM\n- LA 2696 (16:00-19:45 hrs)","DO","DO","Chequeo Renovación IDE A320F\nLIM-PIU-LIM\nLA 2306 (09:30-11:15 hrs)\nLA 2307 (11:55-13:25 hrs)","PRO CAB","Chequeo DGAC B767\n- LIM-MIA\n- LA 2694 (13:30-19:35 hrs)","LCK B767\n- MIA-LIM\n- LA 2695 (16:10-22:00 hrs)"],"bg":["#93c47d","#ffffff","#ffffff","#ffffff","#ffffff","#999999","#ffc0cb","#ffffcc","#ffffcc","#ffffcc","#ffffcc","#ffffcc","#ffffcc","#ffffcc","#ffffcc","#ffffcc","#ffffcc","#ffffcc","#ffffcc","#ffffcc","#ffffcc","#ffffcc","#999999","#e88888","#ffffff","#ffffff","#f7caac","#ffe599","#ffc000","#ffc000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VACACIONES","VACACIONES","VACACIONES","VACACIONES","VACACIONES","VACACIONES","VACACIONES","VACACIONES","VACACIONES","VACACIONES","VACACIONES","VACACIONES","VACACIONES","VACACIONES","VACACIONES","LP","LP","DO","DO","LP","LP","LP","LP","LP","DO","DO","LP","LP","LP","LP"],"bg":["#ffffcc","#ffffcc","#ffffcc","#ffffcc","#ffffcc","#ffffcc","#ffffcc","#ffffcc","#ffffcc","#ffffcc","#ffffcc","#ffffcc","#ffffcc","#ffffcc","#ffffcc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Dávila","dias":["TALLER VOLUNTARIO DE SEGURIDAD","DO","DO","DO","DO","Inicial G6","Inicial G4","Inicial G6","TTT REVA SVC","TTT REVA SVC","DO","DO","Inicial G4 CHEQUEO LATAM\nLIM-CUZ-LIM\nLA2130 08:00-09:20\nLA2129 10:05-11:40\nLIM-PIU-LIM\nLA2308 13:00-14:45\nLA2309 15:25-16:55","Reva de Servicio\n(08:30-17:30 hrs)\nDÍA 1\nSVC 2","RTI: PRÁCTICA\nA320F / B767 / B787\n(08:30-17:30 hrs) \nINS TITULAR","RTI: PRÁCTICA\nB787\n(08:30-17:30 hrs)\nINS APOYO TM","Reentrenamiento B787\n- LIM-SCL\n- LA 2697 (09:35-13:00 hrs)\nHabilitación B787\n- SCL-LIM\n- LA 2696 (16:00-19:45 hrs)","DO","DO","Inicial G5","Reva de Servicio\n(08:30-17:30 hrs)\nDÍA 1","RTI: PRÁCTICA\nA320F / B767 / B787\n(08:30-17:30 hrs)\nINS TITULAR","RTI: PRÁCTICA\nA320F / B767 / B787\n(08:30-17:30 hrs)\nINS TITULAR","Reentrenamiento A320F + Acompañamiento de Servicio A320F*\nLIM-TBP-LIM\nLA 2052 (10:15-12:15 hrs)\nLA 2051 (12:55-14:35 hrs)","DO","DO","Chequeo LATAM B767\n- LIM-MIA\n- LA 2698 (08:15-14:20 hrs)","Chequeo LATAM B767\n- MIA-LIM\n- LA 2695 (16:10-22:00 hrs)","HO FILE  TARDE MTC","Reentrenamiento A320F\nLIM-CIX-LIM\nLA2274/LA2275"],"bg":["#ffff00","#ffffff","#ffffff","#ffffff","#ffffff","#b4a7d6","#ffc0cb","#b4a7d6","#c9daf8","#c9daf8","#ffffff","#ffffff","#ffc0cb","#2f5496","#cce0f4","#cce0f4","#e88888","#ffffff","#ffffff","#00b0f0","#2f5496","#cce0f4","#cce0f4","#f7caac","#ffffff","#ffffff","#ffc000","#ffc000","#999999","#f7caac"],"fg":["#000000","#000000","#000000","#000000","#000000","#000000","#000000","#000000","#000000","#000000","#000000","#000000","#000000","#ffffff","#000000","#000000","#000000","#000000","#000000","#000000","#ffffff","#000000","#000000","#000000","#000000","#000000","#000000","#000000","#000000","#000000"]},{"bp":"2369641","nombre":"Elizabeth Torres","dias":["LCK A320F + Habilitación A320F\nLIM-AQP-LIM\nLA 2123 (09:15-10:50 hrs)\nLA 2124 (11:30-13:10 hrs)","DO","DO","DO","DO","LCK A320F\nLIM-TCQ-LIM\nLA 2067 (13:45-15:40 hrs)\nLA 2068 (16:20-18:15 hrs)","Reva de Servicio\n(08:30-17:30 hrs)\nDÍA 1","LCK A320F + Habiltiación A320F\nLIM-TPP-LIM\nLA 2087 (14:00-15:30 hrs)\nLA 2088 (16:05-17:30 hrs)","TTT REVA SVC","TTT REVA SVC","DO","DO","Inicial G7","LCK B767\n- LIM-MIA\n- LA 2698 (08:15-14:20 hrs)","Chequeo DGAC B767\n- MIA-LIM\n- LA 2481 (15:55-21:40 hrs)","Inicial G7 TARDE","LCK B767\n- LIM-SCL\n- LA 2413 (12:05-15:35 hrs)\nLCK B767\n- SCL-LIM\n- LA 2412 (17:05-20:55 hrs)","DO","DO","LCK A320F + Habilitación A320F*\nLIM-AQP-LIM\nLA 2123 (09:15-10:50 hrs)\nLA 2124 (11:30-13:10 hrs)","LCK B767\n- LIM-MIA\n- LA 2698 (08:15-14:20 hrs)","Chequeo DGAC B767\n- MIA-LIM\n- LA 2481 (15:55-21:40 hrs)","HO FILE\nTARDE","Inicial G4 CHEQUEO LATAM\nLIM-CUZ-LIM\nLA2130 08:00-09:20\nLA2129 10:05-11:40\nLIM-PIU-LIM\nLA2308 13:00-14:45\nLA2309 15:25-16:55","DO","DO","Recalificación A320F* + Acompañamiento de Servicio A320F*\nLIM-CUZ-LIM\nLA 2238 (10:10-11:35 hrs)\nLA 2239 (12:10-13:45 hrs)","TTT CRM\nALUMNO","HO FILE MTC","RTI: PRÁCTICA\nA320F / B767 / B787\n(08:30-17:30 hrs)\nINS APOYO"],"bg":["#f7caac","#ffffff","#ffffff","#ffffff","#ffffff","#f7caac","#2f5496","#f7caac","#c9daf8","#c9daf8","#ffffff","#ffffff","#a2c4c9","#ffc000","#ffc000","#a2c4c9","#ffc000","#ffffff","#ffffff","#f7caac","#ffc000","#ffc000","#999999","#ffc0cb","#ffffff","#ffffff","#f7caac","#ffff00","#999999","#cce0f4"],"fg":["#000000","#000000","#000000","#000000","#000000","#000000","#ffffff","#000000","#000000","#000000","#000000","#000000","#000000","#000000","#000000","#000000","#000000","#000000","#000000","#000000","#000000","#000000","#000000","#000000","#000000","#000000","#000000","#000000","#000000","#000000"]},{"bp":"2369624","nombre":"Patricia Najar","dias":["Habilitación A320F (CST)\nLIM-AQP-LIM\nLA 2103 (05:50-07:20 hrs)\nLA 2102 (08:00-09:40 hrs)\nLCK A320F\nLIM-PEM-LIM\nLA 2260 (10:20-12:05 hrs)\nLA 2261 (12:45-14:20 hrs)","DO","DO","DO","DO","Chequeo LATAM INICIAL G3\nLIM-CUZ-LIM\nLA 2130 (08:00-09:20 hrs)\nLA 2219 (10:05-11:40 hrs)\nLIM-PIU-LIM\nLA 2308 (13:00-14:45hrs)\nLA 2309 (15:25-16:55 hrs)","Inicial G6","TTT CRM","LCK A320F\nLIM-CUZ-LIM\nLA 2007 (09:10-10:35 hrs)\nLA 2008 (11:20-12:55 hrs)\nLCK A320F\nLIM-CUZ-LIM\nLA 2232 (13:55-15:20 hrs)\nLA 2197 (15:55-17:35 hrs)","Curso Estandarización","DO","DO","LCK B767\n- LIM-MIA\n- LA 2698 (08:15-14:20 hrs)","Chequeo LATAM B767\n- MIA-LIM\n- LA 2695 (16:10-22:00 hrs)","Inicial G7 TARDE","VACACIONES","VACACIONES","VACACIONES","VACACIONES","VACACIONES","VACACIONES","VACACIONES","HO FILE\n(NO TOCAR)","LCK B767\n- LIM-SCL\n- LA 2413 (12:05-15:35 hrs)\nLCK B767\n- SCL-LIM\n- LA 2412 (17:05-20:55 hrs)","DO","DO","Inicial G7","LCK B767\n- LIM-MIA\n- LA 2698 (08:15-14:20 hrs)","Recalificación B767\n- MIA-LIM\n- LA 2481 (15:55-21:40 hrs)","HO TARDE FILE MTC"],"bg":["#f7caac","#ffffff","#ffffff","#ffffff","#ffffff","#93c47d","#b4a7d6","#ffff00","#f7caac","#ffff00","#ffffff","#ffffff","#ffc000","#ffc000","#a2c4c9","#ffffcc","#ffffcc","#ffffcc","#ffffcc","#ffffcc","#ffffcc","#ffffcc","#999999","#ffc000","#ffffff","#ffffff","#a2c4c9","#ffc000","#ffc000","#999999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3134911","nombre":"Javier Zapata","dias":["HO FILE\nTARDE REVISION MTC","DO","DO","DO","DO","LCK A320F*\nLIM-TPP-LIM\nLA 2087 (14:00-15:30 hrs)\nLA 2088 (16:05-17:30 hrs)","RTI: VIRTUAL\nA320F / B767\n(08:30-17:30 hrs)\nINS TITULAR","LCK A320F\nLIM-TCQ-LIM\nLA 2067 (13:45-15:40 hrs)\nLA 2068 (16:20-18:15 hrs)","CURSO CRM \nRENOVACIÓN IDE","Reva de Servicio\n(08:30-17:30 hrs)\nDÍA 2","DO","DO","LCK A320F* + Acompañamiento de Servicio A320F*\nLIM-AQP-LIM\nLA 2123 (09:15-10:50 hrs)\nLA 2124 (11:30-13:10 hrs)","Inicial G7","Acompañamiento de Servicio B767\n- LIM-MIA\n- LA 2694 (13:30-19:35 hrs)","LCK B767\n- MIA-LIM\n- LA 2695 (16:10-22:00 hrs)","HO FILE\nTARDE","DO","DO","Inicial G5","Inicial G3","Acompañamiento de Servicio B767\n- LIM-ATL\n- LA 2482 (12:05-19:35 hrs)","LCK B767\n- ATL-LIM\n- LA 2483 (22:15-05:00 hrs)","Blanco","DO","DO","Inicial G4 CHEQUEO LATAM\nLIM-TQC-LIM\nLA2245 08:10-10:00\nLA2244 10:45-12:40\nLIM-CIX-LIM\nLA2312 13:25-15:00\nLA2313 15:40-17:00","HO FILE MTC","HO FILE MTC","LCK ALUMNO B767 (CCM)\n- LIM-SCL\n- LA 2413 (12:05-15:35 hrs)\nLCK ALUMNO B767 (CCM)\n- SCL-LIM\n- LA 2412 (17:05-20:55 hrs)"],"bg":["#999999","#ffffff","#ffffff","#ffffff","#ffffff","#f7caac","#cce0f4","#f7caac","#fff2cc","#2f5496","#ffffff","#ffffff","#f7caac","#a2c4c9","#ffc000","#ffc000","#999999","#ffffff","#ffffff","#00b0f0","#93c47d","#ffc000","#ffc000","#ffc000","#ffffff","#ffffff","#ffc0cb","#999999","#999999","#ffc000"],"fg":["#000000","#000000","#000000","#000000","#000000","#000000","#000000","#000000","#000000","#ffffff","#000000","#000000","#000000","#000000","#000000","#000000","#000000","#000000","#000000","#000000","#000000","#000000","#000000","#000000","#000000","#000000","#000000","#000000","#000000","#000000"]},{"bp":"3750335","nombre":"Jefferson Mendez","dias":["Chequeo DGAC INICIAL G3\nLIM-CUZ-LIM\nLA2028 15:30 -16:55\nLA2029 17:30-19:10","DO","DO","DO","DO","LCK B767\n- LIM-ATL\n- LA 2482 (12:05-19:35 hrs)","Habilitación B767\n- ATL-LIM\n- LA 2483 (22:15-05:00 hrs)","Blanco","CURSO CRM \nRENOVACIÓN IDE","DO","VACACIONES","VACACIONES","VACACIONES","VACACIONES","VACACIONES","VACACIONES","VACACIONES","VACACIONES","VACACIONES","VACACIONES","VACACIONES","VACACIONES","VACACIONES","VACACIONES","VACACIONES","VACACIONES","VACACIONES","VACACIONES","VACACIONES","VACACIONES"],"bg":["#93c47d","#ffffff","#ffffff","#ffffff","#ffffff","#ffc000","#ffc000","#ffc000","#fff2cc","#ffffff","#ffffcc","#ffffcc","#ffffcc","#ffffcc","#ffffcc","#ffffcc","#ffffcc","#ffffcc","#ffffcc","#ffffcc","#ffffcc","#ffffcc","#ffffcc","#ffffcc","#ffffcc","#ffffcc","#ffffcc","#ffffcc","#ffffcc","#ffff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3852423","nombre":"Gabriela Ungaro","dias":["Chequeo LATAM INICIAL G3\nLIM-AQP-LIM\nLA2119 08:30 -10:00\nLA2118 10:55-12:35\nLIM-TPP-LIM\nLA2207 13:15-14:45\nLA2208 15:20-17:10","DO","DO","DO","DO","LCK B767\n- LIM-MIA\n- LA 2698 (08:15-14:20 hrs)","Reentrenamiento B767 + Chequeo LATAM B767\n- MIA-LIM\n- LA 2695 (16:10-22:00 hrs)","Inicial G5\nTARDE","RTI: PRÁCTICA\nA320F / B767\n(08:30-17:30 hrs)\nINS APOYO","RTI: PRÁCTICA\nA320F / B767\n(08:30-17:30 hrs)\nINS APOYO","DO","DO","LCK A320F\r\nLIM-CIX-LIM\r\nLA 2274 (09:35-11:10 hrs)\r\nLA 2275 (11:45-13:05 hrs)\r\nLCK A320F\r\nLIM-TPP-LIM\r\nLA 2087 (14:00-15:30 hrs)\r\nLA 2088 (16:05-17:30 hrs)","Reva de Servicio\n(08:30-17:30 hrs)\nDÍA 1\nSVC 1","Reva de Servicio\n(08:30-17:30 hrs)\nDÍA 2\nSVC 1","LCK B767\n- LIM-MIA\n- LA 2698 (08:15-14:20 hrs)","Chequeo DGAC B767\n- MIA-LIM\n- LA 2481 (15:55-21:40 hrs)","DO","DO","LCK A320F\nLIM-CUZ-LIM\nLA 2238 (10:10-11:35 hrs)\nLA 2239 (12:10-13:45 hrs)\nLCK A320F + Habilitación A320F\nLIM-CJA-LIM\nLA 2297 (15:15-16:40 hrs)\nLA 2296 (17:20-18:25 hrs)","Inicial G4 CHEQUEO DGAC\nLIM-PEM-LIM\nLA2023 12:15-13:50\nLA2024 14:30-16:10","LCK B767\n- LIM-MIA\n- LA 2694 (13:30-19:35 hrs)","LCK B767\n- MIA-LIM\n- LA 2695 (16:10-22:00 hrs)","Recalificación A320F + Hab. A320F\nLIM-CJA-LIM\n2297/2296","DO","DO","Inicial G4 CHEQUEO LATAM\nLIM-AQP-LIM\nLA2119 08:30-10:00\nLA2118 10:55-12:35\nLIM-CUZ-LIM\nLA2232 13:55-15:20\nLA2233 15:55-17:35","Inicial G3","Inicial G3\nGraduación","LCK B767\n- LIM-SCL\n- LA 2413 (12:05-15:35 hrs)\nLCK B767\n- SCL-LIM\n- LA 2412 (17:05-20:55 hrs)"],"bg":["#93c47d","#ffffff","#ffffff","#ffffff","#ffffff","#ffc000","#ffc000","#00b0f0","#cce0f4","#cce0f4","#ffffff","#ffffff","#f7caac","#2f5496","#2f5496","#ffc000","#ffc000","#ffffff","#ffffff","#f4cccc","#ffc0cb","#ffc000","#ffc000","#f7caac","#ffffff","#ffffff","#ffc0cb","#93c47d","#93c47d","#ffc000"],"fg":["#000000","#000000","#000000","#000000","#000000","#000000","#000000","#000000","#000000","#000000","#000000","#000000","#000000","#ffffff","#ffffff","#000000","#000000","#000000","#000000","#000000","#000000","#000000","#000000","#000000","#000000","#000000","#000000","#000000","#000000","#000000"]},{"bp":"2604360","nombre":"Mariella Carrasco","dias":["Tripulación Practice Boarding","Tripulación Practice Boarding","Tripulación Practice Boarding","DO","DO","AUDITORÍA\nIOSA","AUDITORÍA\nIOSA","AUDITORÍA\nIOSA","AUDITORÍA\nIOSA","AUDITORÍA\nIOSA","CUMP","CUMP","Habilitación B767\n- LIM-ATL\n- LA 2482 (12:05-19:35 hrs)","LCK B767\n- ATL-LIM\n- LA 2483 (22:15-05:00 hrs)","Blanco","LDS","DO","DO","DO","DO","Inicial G4 CHEQUEO LATAM\nLIM-TBP-LIM\nLA2052 10:15-12:15\nLA2051 12:55-14:35","Inicial G4 CHEQUEO DGAC\nLIM-CUZ-LIM\nLA2007 09:10-10:35\nLA2008 11:20-12:55\n Inicial G4 CHEQUEO DGAC\nLIM-CUZ-LIM\nLA2232 13:55-15:20\nLA2197 15:55-17:55","Inicial G6","LCK A320F\r\nLIM-AQP-LIM\r\nLA 2123 (09:15-10:50 hrs)\r\nLA 2124 (11:30-13:10 hrs)\r\nLCK A320F\r\nLIM-CIX-LIM\r\nLA 2312 (14:00-15:30 hrs)\r\nLA 2313 (16:05-17:30 hrs)","DO","DO","Habilitación B767*\n- LIM-ATL\n- LA 2482 (12:05-19:35 hrs)","LCK B767\n- ATL-LIM\n- LA 2483 (22:15-05:00 hrs)","Blanco","LCK A320F\nLIM-AQP-LIM*\nLA 2123 (09:15-10:50 hrs)\nLA 2124 (11:30-13:10 hrs)\nLCK A320F\nLIM-CJA-LIM\nLA 2295 (14:05-15:30 hrs)\nLA 2294 (16:10-17:15 hrs)"],"bg":["#ffffff","#ffffff","#ffffff","#ffffff","#ffffff","#ffff00","#ffff00","#ffff00","#ffff00","#ffff00","#ffc0cb","#ffc0cb","#ffc000","#ffc000","#ffc000","#ffffff","#ffffff","#ffffff","#ffffff","#ffffff","#ffc0cb","#ffc0cb","#b4a7d6","#f7caac","#ffffff","#ffffff","#ffc000","#ffc000","#ffc000","#f7caa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2823133","nombre":"Cesar Campos","dias":["HO TARDE - REVISION MTC","DO","DO","DO","DO","TALLER VOLUNTARIO DE SEGURIDAD","TTT CRM","TTT CRM\nINSTRUCTOR","RTI: PRÁCTICA\nA320F\n(08:30-17:30 hrs)\nINS APOYO TM","TTT REVA SVC","DO","DO","Inicial G4 CHEQUEO LATAM\nLIM-AQP-LIM\nLA2119 08:30-10:00\nLA2118 10:55-12:35\nLIM-TPP-LIM\nLA2087 14:00-15:30\nLA2088 16:05-17:30","Inicial G6","RTI: PRÁCTICA\nA320F / B767 / B787\n(08:30-17:30 hrs)\nINS APOYO","RTI: PRÁCTICA\nA320F / B767 / B787\n(08:30-17:30 hrs)\nINS APOYO","Inicial G6","DO","DO","Inicial G6","RRVV CAE","RTI: VIRTUAL\nA320F / B767\n(08:30-17:30 hrs)\nINS TITULAR","Inicial G4 CHEQUEO LATAM\nLIM-CUZ-LIM\nLA2130 08:00-09:20\nLA2129 10:05-11:40\nLIM-PIU-LIM\nLA2308 13:00-14:45\nLA2309 15:25-16:55","RTI: PRÁCTICA\nA320F / B767\n(08:30-17:30 hrs)\nINS TITULAR","DO","DO","TALLER VOLUNTARIO DE SEGURIDAD","Reva de Servicio\n(08:30-17:30 hrs)\nDÍA 1\nSVC  GRUPO 2","Reva de Servicio\n(08:30-17:30 hrs)\nDÍA 2\nSVC GRUPO 2","Reva de Servicio\n(08:30-17:30 hrs)\nDÍA 2\nSVC 2"],"bg":["#999999","#ffffff","#ffffff","#ffffff","#ffffff","#ffff00","#ffff00","#ffff00","#cce0f4","#c9daf8","#ffffff","#ffffff","#ffc0cb","#b4a7d6","#cce0f4","#cce0f4","#b4a7d6","#ffffff","#ffffff","#b4a7d6","#999999","#cce0f4","#ffc0cb","#cce0f4","#ffffff","#ffffff","#ffff00","#2f5496","#2f5496","#2f5496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ffffff","#ffffff","#ffffff"]},{"bp":"3189967","nombre":"Kevin Segovia","dias":["HABILITACIÓN A320F (CCM)\nLIM-AQP-CUZ\nLA 2111 (11:40-13:15 hrs)\nLA 2321 (14:00-14:55 hrs)\nCUZ-AQP-LIM\nLA 2322 (15:40-16:45 hrs)\nLA 2110 (17:50-19:30 hrs)","DO","DO","DO","DO","AUDITORÍA\nIOSA","AUDITORÍA\nIOSA","AUDITORÍA\nIOSA","Inicial G6","RTI: PRÁCTICA\nB767\n(08:30-17:30 hrs)\nINS APOYO TM","DO","DO","Chequeo LATAM B767\n- LIM-MIA\n- LA 2698 (08:15-14:20 hrs)","Habilitación B767\n- MIA-LIM\n- LA 2695 (16:10-22:00 hrs)","HO FILE TARDE\nMTC","CUMP","CUMP","DO","DO","Inicial G4 CHEQUEO LATAM\nLIM-TPP-LIM\nLA2085 08:25-09:55\nLA2086 10:40-12:00\nLIM-JUL-LIM\nLA2207 13:15-14:45\nLA2208 15:20-17:10","Inicial G4 CHEQUEO LATAM\nLIM-IQT-LIM\nLA2234 13:35-15:30\nLA2235 16:05-17:55","Reva de Servicio\n(08:30-17:30 hrs)\nDÍA 2","Inicial G4 CHEQUEO LATAM\nLIM-IQT-LIM\nLA2019 11:35-13:30\nLA2018 14:05-15:55","RTI: PRÁCTICA\nA320F / B767\n(08:30-17:30 hrs)\nINS APOYO","DO","DO","TALLER VOLUNTARIO DE SEGURIDAD","Reva de Servicio\n(08:30-17:30 hrs)\nDÍA 1\nSVC GRUPO 1","Reva de Servicio\n(08:30-17:30 hrs)\nDÍA 2\nSVC GRUPO 1","Inicial G5 CHEQUEO LATAM\nLIM-TQC-LIM\nLA2245 08:10-10:00\nLA2244 10:45-12:40\nReentrenamiento A320F*\nLIM-CJA-LIM\nLA2295 14:05-15:30\nLA2294 16:10-17:15"],"bg":["#f7caac","#ffffff","#ffffff","#ffffff","#ffffff","#ffff00","#ffff00","#ffff00","#b4a7d6","#cce0f4","#ffffff","#ffffff","#ffc000","#ffc000","#999999","#ffc0cb","#ffc0cb","#ffffff","#ffffff","#ffc0cb","#ffc0cb","#2f5496","#ffc0cb","#cce0f4","#ffffff","#ffffff","#ffff00","#2f5496","#2f5496","#00b0f0"],"fg":["#000000","#000000","#000000","#000000","#000000","#000000","#000000","#000000","#000000","#000000","#000000","#000000","#000000","#000000","#000000","#000000","#000000","#000000","#000000","#000000","#000000","#ffffff","#000000","#000000","#000000","#000000","#000000","#ffffff","#ffffff","#000000"]},{"bp":"2415373","nombre":"Milagros Salas","dias":["Inicial G5","DO","DO","DO","DO","Inicial G5\nVISITA GUIADA","Inicial G5\nVISITA GUIADA","Reva de Servicio\n(08:30-17:30 hrs)\nDÍA 2","TTT REVA SVC","TTT REVA SVC","DO","DO","Inicial G5","Inicial G5","HB6\nCurso B767\n(08:30-17:30hrs)","Reva de Servicio\n(08:30-17:30 hrs)\nDÍA 1\nSVC 1","Inicial G5","DO","DO","Chequeo LATAM B767\n- LIM-MIA\n- LA 2698 (08:15-14:20 hrs)","Habilitación B767\n- MIA-LIM\n- LA 2695 (21:50-02:30 hrs)","Blanco","Reva de Servicio\n(08:30-17:30 hrs)\nDÍA 1","Reva de Servicio\n(08:30-17:30 hrs)\nDÍA 2","DO","DO","Inicial G6","Inicial G7","Inicial G7","DO"],"bg":["#00b0f0","#ffffff","#ffffff","#ffffff","#ffffff","#00b0f0","#00b0f0","#2f5496","#c9daf8","#c9daf8","#ffffff","#ffffff","#00b0f0","#00b0f0","#a8d08d","#2f5496","#00b0f0","#ffffff","#ffffff","#ffc000","#ffc000","#ffc000","#2f5496","#2f5496","#ffffff","#ffffff","#b4a7d6","#a2c4c9","#a2c4c9","#ffffff"],"fg":["#000000","#000000","#000000","#000000","#000000","#000000","#000000","#ffffff","#000000","#000000","#000000","#000000","#000000","#000000","#000000","#ffffff","#000000","#000000","#000000","#000000","#000000","#000000","#ffffff","#ffffff","#000000","#000000","#000000","#000000","#000000","#000000"]},{"bp":"2440915","nombre":"Judith Fernandez","dias":["TALLER VOLUNTARIO DE SEGURIDAD","DO","DO","DO","DO","Chequeo LATAM B767\n- LIM-MIA\n- LA 2698 (08:15-14:20 hrs)","Chequeo LATAM B767\n- MIA-LIM\n- LA 2695 (16:10-22:00 hrs)","TTT CRM","TTT REVA SVC","TTT REVA SVC","DO","DO","Inicial G6","RTI: VIRTUAL\nA320F / B767 / B787\n(08:30-17:30 hrs)\nINS TITULAR","Reva de Servicio\n(08:30-17:30 hrs)\nDÍA 2\nSVC 2","RTI: PRÁCTICA\nA320F / B767 / B787\n(08:30-17:30 hrs)\nINS TITULAR","Reva de Servicio\n(08:30-17:30 hrs)\nDÍA 2\nSVC 1","DO","DO","Inicial G7","RTI: VIRTUAL\nA320F / B767 / B787\n(08:30-17:30 hrs)\nINS TITULAR","Inicial G6","RTI: PRÁCTICA\nA320F / B767 / B787\n(08:30-17:30 hrs)\nINS APOYO","Inicial G6","DO","DO","Inicial G4 CHEQUEO LATAM\nLIM-CUZ-LIM\nLA2130 08:00-09:20\nLA2129 10:05-11:40\nLIM-PIU-LIM\nLA2308 13:00-14:45\nLA2309 15:25-16:55","RTI: VIRTUAL\nA320F / B767\n(08:30-17:30 hrs)\nINS TITULAR","HO FILE MTC","RTI: PRÁCTICA\nA320F / B767\n(08:30-17:30 hrs)\nINS TITULAR"],"bg":["#ffff00","#ffffff","#ffffff","#ffffff","#ffffff","#ffc000","#ffc000","#ffff00","#c9daf8","#c9daf8","#ffffff","#ffffff","#b4a7d6","#cce0f4","#2f5496","#cce0f4","#2f5496","#ffffff","#ffffff","#a2c4c9","#cce0f4","#b4a7d6","#cce0f4","#b4a7d6","#ffffff","#ffffff","#ffc0cb","#cce0f4","#999999","#cce0f4"],"fg":["#000000","#000000","#000000","#000000","#000000","#000000","#000000","#000000","#000000","#000000","#000000","#000000","#000000","#000000","#ffffff","#000000","#ffffff","#000000","#000000","#000000","#000000","#000000","#000000","#000000","#000000","#000000","#000000","#000000","#000000","#000000"]},{"bp":"3796947","nombre":"Rafael Nieto","dias":["B","B","B","DO","DO","B","B","B","B","B","DO","DO","B","B","B","B","B","DO","DO","B","B","B","B","B","DO","DO","B","B","B","B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Celiz","dias":["Reva de Servicio\n(08:30-17:30 hrs)\nDÍA 2","DO","DO","DO","DO","TALLER VOLUNTARIO DE SEGURIDAD","TTT CRM","RTI: VIRTUAL\nA320F / B767\n(08:30-17:30 hrs)\nINS TITULAR","RTI: PRÁCTICA\nA320F / B767\n(08:30-17:30 hrs)\nINS TITULAR","RTI: PRÁCTICA\nA320F / B767\n(08:30-17:30 hrs)\nINS TITULAR","DO","DO","HB6\nCurso B767\n(08:30-17:30hrs)","HB6\nCurso B767\n(08:30-17:30hrs)","HB6\nCurso B767\n(08:30-17:30hrs)","Reva de Servicio\n(08:30-17:30 hrs)\nDÍA 1\nSVC 2","Reva de Servicio\n(08:30-17:30 hrs)\nDÍA 2\nSVC 2","DO","DO","HANDS ON B767","Inicial G7","Inicial G7","Inicial G7","Inicial G7","DO","DO","Inicial G3","TTT CRM\nINSTRUCTOR","DESCANSO MÉDICO","Inicial G7"],"bg":["#2f5496","#ffffff","#ffffff","#ffffff","#ffffff","#ffff00","#ffff00","#cce0f4","#cce0f4","#cce0f4","#ffffff","#ffffff","#a8d08d","#a8d08d","#a8d08d","#2f5496","#2f5496","#ffffff","#ffffff","#ffe599","#a2c4c9","#a2c4c9","#a2c4c9","#a2c4c9","#ffffff","#ffffff","#93c47d","#ffff00","#e6b8af","#a2c4c9"],"fg":["#ffffff","#000000","#000000","#000000","#000000","#000000","#000000","#000000","#000000","#000000","#000000","#000000","#000000","#000000","#000000","#ffffff","#ffffff","#000000","#000000","#000000","#000000","#000000","#000000","#000000","#000000","#000000","#000000","#000000","#000000","#000000"]}]}</t>
  </si>
  <si>
    <t>{"mes":"2026-05","fuente":"05 -Rol Instructores LP MAYO","hoja":"MAYO","instructores":[{"bp":"2713993","nombre":"Fiorella Ruiz","dias":["FERIADO","FDS","FDS","Inicial G6","VACACIONES","LCK A320F\r\nLIM-CUZ-LIM\r\nLA 2013 (08:40-10:00 hrs)\r\nLA 2014 (10:40-12:15 hrs)\r\nLCK A320F\r\nLIM-CIX-LIM\r\nLA 2312 (13:25-15:00 hrs)\r\nLA 2313 (15:40-17:00 hrs)","LCK A320F\nLIM-AQP-LIM\nLA 2123 (09:15-10:50 hrs)\nLA 2124 (11:30-13:10 hrs)\nLCK A320F\nLIM-TPP-LIM\nLA 2087 (14:00-15:30 hrs)\nLA 2088 (16:05-17:30 hrs)","CURSO REFRESCO INSPECTOR\nB767","FDS","FDS","Inicial G5\nInicial G4 CHEQUEO DGAC + HAB A320F\nLIM-AQP-LIM\nLA2119 08:30-10:00\nLA2118 10:55-12:35\nLIM-CIX-LIM*\nLA2312 13:25-15:00\nLA2313 15:40-17:00*","Reentrenamiento A320F + Recalificación A320F\nLIM-CIX-LIM\nLA2312/LA2313","RTI: PRÁCTICA\nA320F / B767 / B787\n(08:30-17:30 hrs)\nINS APOYO","RTI: PRÁCTICA\nA320F / B767 / B787\n(08:30-17:30 hrs)\nINS APOYO","LCK B767\n- LIM-SCL\n- LA 2413 (12:20-15:45 hrs)\nLCK B767\n- SCL-LIM\n- LA 2412 (17:10-20:50 hrs)","FDS","FDS","VACACIONES","HANDS ON B787","Habilitación B767\n- LIM-MIA\n- LA 2694 (13:30-19:35 hrs)","Blanco","LCK B767\n- MIA-LIM\n- LA 2693 (00:45-06:30 hrs)","FDS","FDS","TALLER VOLUNTARIO DE SEGURIDAD","PERMISO JEFATURA","Inicial G6 Chequeo LATAM\nLIM-PEM-LIM\nLA2260 10:20-12:05\nLA2261 12:45-14:20\r\nLIM-JUL-LIM\nLA2211 15:45-17:20\nLA2212 18:00-19:45","HO FILE\nPRE IOSA 2026","HO FILE\nPRE IOSA 2026","FDS","FDS"],"bg":["#0000ff","#0000ff","#0000ff","#b4a7d6","#ffffcc","#f7caac","#f7caac","#d9ead3","#0000ff","#0000ff","#00b0f0","#f7caac","#cce0f4","#cce0f4","#ffc000","#0000ff","#0000ff","#ffffcc","#ffff00","#ffc000","#ffc000","#ffc000","#0000ff","#0000ff","#ffff00","#999999","#b4a7d6","#999999","#999999","#0000ff","#0000ff"],"fg":["#ffffff","#ffffff","#ffffff","#000000","#000000","#000000","#000000","#000000","#ffffff","#ffffff","#000000","#000000","#000000","#000000","#000000","#ffffff","#ffffff","#000000","#000000","#000000","#000000","#000000","#ffffff","#ffffff","#000000","#000000","#000000","#000000","#000000","#ffffff","#ffffff"]},{"bp":"2396710","nombre":"Sebastian Correa","dias":["FERIADO","FDS","FDS","Inicial G7","Inicial G7","Inicial G7\nVISITA GUIADA","Inicial G7\nVISITA GUIADA","Inicial G7\nVISITA GUIADA","FDS","FDS","Inicial G5\nInicial G4 CHEQUEO DGAC\nLIM-PIU-LIM\nLA2306 09:30-11:15\nLA2307 11:55-13:25","LCK B787\n- LIM-SCL\n- LA 2697 (09:35-13:00 hrs)\nLCK B787\n- SCL-LIM\n- LA 2696 (16:00-19:45 hrs)","HO FILE TARDE","RTI: PRÁCTICA\nA320F / B767 / B787\n(08:30-17:30 hrs)\nINS APOYO TM","LCK B787\n- LIM-SCL\n- LA 2697 (09:35-13:00 hrs)\nHabilitación B787\n- SCL-LIM\n- LA 2696 (16:00-19:45 hrs)","FDS","FDS","Blanco","LCK B767\n- LIM-MIA\n- LA 2480 (00:15-06:20 hrs)","Habilitación B767\n- MIA-LIM\n- LA 2481 (15:55-21:40 hrs)","HO FILE  TARDE","HO PPT","FDS","FDS","Blanco","LCK B767\n- LIM-MIA\n- LA 2480 (00:15-06:20 hrs)","Reentrenamienito B767\n- MIA-LIM\n- LA 2481 (15:55-21:40 hrs)","Inicial G6 Chequeo DGAC\n (TARDE)\nLIM-TPP-LIM\nLA2087 14:00-15:30\nLA2088 16:05-17:30","LCK B787\n- LIM-SCL\n- LA 2697 (09:35-13:00 hrs)\nLCK B787\n- SCL-LIM\n- LA 2696 (16:00-19:45 hrs)","FDS","FDS"],"bg":["#0000ff","#0000ff","#0000ff","#2f5496","#2f5496","#2f5496","#2f5496","#2f5496","#0000ff","#0000ff","#00b0f0","#e88888","#999999","#cce0f4","#e88888","#0000ff","#0000ff","#ffc000","#ffc000","#ffc000","#999999","#999999","#0000ff","#0000ff","#ffc000","#ffc000","#ffc000","#b4a7d6","#e88888","#0000ff","#0000ff"],"fg":["#ffffff","#ffffff","#ffffff","#000000","#000000","#000000","#000000","#000000","#ffffff","#ffffff","#000000","#000000","#000000","#000000","#000000","#ffffff","#ffffff","#000000","#000000","#000000","#000000","#000000","#ffffff","#ffffff","#000000","#000000","#000000","#000000","#000000","#ffffff","#ffffff"]},{"bp":"1271571","nombre":"Christian Rondon","dias":["FERIADO","FDS","FDS","LCK ALUMNO B767 (CST)\n- LIM-MIA\n- LA 2698 (08:15-14:20 hrs)","Habilitación B767 (CST)\n- MIA-LIM\n- LA 2481 (15:55-21:40 hrs)","HO FILE  TARDE","Habilitación B787 (CST)\n- LIM-SCL\n- LA 2697 (09:35-13:00 hrs)\nLCK B787\n- SCL-LIM\n- LA 2696 (16:00-19:45 hrs)","REUNIÓN INSTRUCTORES\nTARDE","FDS","FDS","VACACIONES","VACACIONES","VACACIONES","VACACIONES","VACACIONES","VACACIONES","VACACIONES","LCK B767\n- LIM-MIA\n- LA 2694 (13:30-19:35 hrs)","Habilitación B767*\n- MIA-LIM\n- LA 2699 (23:15-05:00 hrs)","Blanco","Inicial G6 Chequeo LATAM\nLIM-CUZ-LIM\nLA2130 08:10-09:30\nLA2129 10:05-11:40\r\nLIM-PIU-LIM\nLA2308 13:00-14:45\nLA2309 15:25-16:55","LCK B767\n- LIM-SCL\n- LA 2413 (12:05-15:35 hrs)\nLCK B767\n- SCL-LIM\r\n- LA 2412 (17:00-20:50 hrs)","FDS","FDS","LCK B787\n- LIM-SCL\n- LA 2697 (09:35-13:00 hrs)\nLCK B787\n- SCL-LIM\n- LA 2696 (16:00-19:45 hrs)","HO TARDE\nPIE","LCK B787\n- LIM-SCL\n- LA 2697 (09:35-13:00 hrs)\nLCK B787\n- SCL-LIM\n- LA 2696 (16:00-19:45 hrs)","HO FILE\nTARDE","Inicial G8","FDS","FDS"],"bg":["#0000ff","#0000ff","#0000ff","#ffc000","#ffc000","#999999","#e88888","#ffffff","#0000ff","#0000ff","#ffffcc","#ffffcc","#ffffcc","#ffffcc","#ffffcc","#ffffcc","#ffffcc","#ffc000","#ffc000","#ffc000","#b4a7d6","#ffc000","#0000ff","#0000ff","#e88888","#999999","#e88888","#999999","#ff4b4f","#0000ff","#0000ff"],"fg":["#ffffff","#ffffff","#ffffff","#000000","#000000","#000000","#000000","#000000","#ffffff","#ffffff","#000000","#000000","#000000","#000000","#000000","#000000","#000000","#000000","#000000","#000000","#000000","#000000","#ffffff","#ffffff","#000000","#000000","#000000","#000000","#000000","#ffffff","#ffffff"]},{"bp":"2843319","nombre":"Karen Santa Cruz","dias":["DO","DO","DO","LCK B767\n- LIM-MIA\n- LA 2698 (08:15-14:20 hrs)","LCK B767\n- MIA-LIM\n- LA 2481 (15:55-21:40 hrs)","HO  FILE TARDE","Habilitación B787 (CST)\n- LIM-SCL\n- LA 2697 (09:35-13:00 hrs)\nLCK ALUMNO B787 (CST)\n- SCL-LIM\n- LA 2696 (16:00-19:45 hrs)","REUNIÓN INSTRUCTORES\nTARDE","DO","DO","CURSO 50% \nDÍA 6","Inicial G7","Inicial G7","Inicial G7","DO","DO","DO","DO","Reva de Servicio\n(08:30-17:30 hrs)\nDÍA 1\nSVC 1","Reva de Servicio\n(08:30-17:30 hrs)\nDÍA 2\nSVC 1","HO FILE\nPRE IOSA 2026","LCK ALUMNO B767 (CCM)\n- LIM-SCL\n- LA 2413 (12:05-15:35 hrs)\nLCK ALUMNO B767 (CCM)\n- SCL-LIM\n- LA 2412 (17:00-20:50 hrs)","DO","DO","HO FILE","Inicial G8","LCK A320F\nLIM-CIX-LIM\nLA 2312 (13:25-15:00 hrs)\nLA 2313 (15:40-17:00 hrs)","HO FILE\nPRE IOSA 2026","HO FILE\nPRE IOSA 2026","DO","DO"],"bg":["#ffffff","#ffffff","#ffffff","#ffc000","#ffc000","#999999","#e88888","#ffffff","#ffffff","#ffffff","#ffe599","#2f5496","#2f5496","#2f5496","#ffffff","#ffffff","#ffffff","#ffffff","#2f5496","#2f5496","#999999","#ffc000","#ffffff","#ffffff","#999999","#ff4b4f","#f7caac","#999999","#999999","#ffffff","#ffffff"],"fg":["#000000","#000000","#000000","#000000","#000000","#000000","#000000","#000000","#000000","#000000","#000000","#000000","#000000","#000000","#000000","#000000","#000000","#000000","#ffffff","#ffffff","#000000","#000000","#000000","#000000","#000000","#000000","#000000","#000000","#000000","#000000","#000000"]},{"bp":"3779550","nombre":"Jennifert Acurio","dias":["DO","DO","DO","Reent. A320F + Inicial G4 CHEQUEO DGAC\nLIM-CIX-LIM\nLA2274 09:35-11:10\nLA2275 11:45-13:05","Inicial G5\nInicial G4 CHEQUEO LATAM\nLIM-CUZ-LIM\nLA2130 08:10-09:30\nLA2129 10:05-11:40\nLIM-PIU-LIM\nLA2087 13:00-14:45\nLA2088 15:25-16:55","CAPACITACION RRVV\nALUMNO","HANDS ON B767","REUNIÓN INSTRUCTORES","DO","DO","TALLER VOLUNTARIO DE SEGURIDAD","Blanco","LCK B767\n- LIM-MIA\n- LA 2480 (00:15-06:20 hrs)","Habilitación B767\n- MIA-LIM\n- LA 2695 (16:10-22:00 hrs)","DO","DO","DO","DO","HO FILE","Blanco","LCK B767 \n- LIM-MIA\n- LA 2480 (00:15-06:20 hrs)","Acompañamiento de Servicio B767\n- MIA-LIM\n- LA 2481 (19:00-00:00 hrs)","Blanco","DO","DO","HO FILE","Inicial G8","HO FILE","HO FILE","DO","DO"],"bg":["#ffffff","#ffffff","#ffffff","#ffc0cb","#00b0f0","#d0e0e3","#ffff00","#ffffff","#ffffff","#ffffff","#ffff00","#ffc000","#ffc000","#ffc000","#ffffff","#ffffff","#ffffff","#ffffff","#999999","#ffc000","#ffc000","#ffc000","#ffc000","#ffffff","#ffffff","#999999","#ff4b4f","#999999","#999999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29530","nombre":"Jazmin Guerra","dias":["DO","DO","DO","CURSO 50% \nDÍA 1","Inicial G5\nInicial G4 CHEQUEO LATAM\nLIM-IQT-LIM\nLA2041 08:00-09:00\nLA2042 10:30-12:20\nLIM-TPP-LIM\nLA2087 13:25-14:55\nLA2088 15:35-17:00","CAPACITACION RRVV\nALUMNO","LCK ALUMNO B767 (CCM)\n- LIM-SCL\n- LA 2413 (12:05-15:35 hrs)\nLCK ALUMNO B767 (CCM)\n- SCL-LIM\n- LA 2412 (17:00-20:50 hrs)","REUNIÓN INSTRUCTORES\nTARDE","DO","DO","TALLER VOLUNTARIO DE SEGURIDAD","LCK B767\n- LIM-MIA\n- LA 2698 (08:15-14:20 hrs)","Acompañamiento de Servicio B767\n- MIA-LIM\n- LA 2699 (23:15-05:00 hrs)","Blanco","LCK ALUMNO B787 (CST)\n- LIM-SCL\n- LA 2697 (09:35-13:00 hrs)\nLCK ALUMNO B787 (CST)\n- SCL-LIM\n- LA 2696 (16:00-19:45 hrs)","DO","DO","TALLER VOLUNTARIO DE SEGURIDAD","Reva de Servicio\n(08:30-17:30 hrs)\nDÍA 1\nSVC 2","Reva de Servicio\n(08:30-17:30 hrs)\nDÍA 2\nSVC 2","LCK B767\n- LIM-SCL\n- LA 2413 (12:05-15:35 hrs)\nLCK B767\n- SCL-LIM\r\n- LA 2412 (17:00-20:50 hrs)","DO","DO","VACACIONES","VACACIONES","VACACIONES","VACACIONES","VACACIONES","VACACIONES","VACACIONES","VACACIONES"],"bg":["#ffffff","#ffffff","#ffffff","#ffe599","#00b0f0","#d0e0e3","#ffc000","#ffffff","#ffffff","#ffffff","#ffff00","#ffc000","#ffc000","#ffc000","#e88888","#ffffff","#ffffff","#ffff00","#2f5496","#2f5496","#ffc000","#ffffff","#ffffff","#ffffcc","#ffffcc","#ffffcc","#ffffcc","#ffffcc","#ffffcc","#ffffcc","#ffffcc"],"fg":["#000000","#000000","#000000","#000000","#000000","#000000","#000000","#000000","#000000","#000000","#000000","#000000","#000000","#000000","#000000","#000000","#000000","#000000","#ffffff","#ffffff","#000000","#000000","#000000","#000000","#000000","#000000","#000000","#000000","#000000","#000000","#000000"]},{"bp":"3217561","nombre":"Claudia Flores","dias":["DO","DO","DO","DO","Reva de Servicio\n(08:30-17:30 hrs)\nDÍA 1","Reva de Servicio\n(08:30-17:30 hrs)\nDÍA 2","Reentrenamiento A320F + Pasajero A320F\nLIM-CIX-LIM\nLA2274/LA2275","REUNIÓN INSTRUCTORES","DO","DO","LCK B767\n- LIM-MIA\n- LA 2694 (13:30-19:35 hrs)","Chequeo LATAM B767\n- MIA-LIM\n- LA 2699 (23:15-05:00 hrs)","Blanco","LCK ALUMNO B767 (CCM)\n- LIM-SCL\n- LA 2413 (12:05-15:35 hrs)\nLCK ALUMNO B767 (CCM)\n- SCL-LIM\n- LA 2412 (17:00-20:50 hrs)","B","DO","DO","TALLER VOLUNTARIO DE SEGURIDAD","Blanco","Reentrenamiento B767*\n- LIM-MIA\n- LA 2480 (00:15-06:20 hrs)","LCK B767\n- MIA-LIM\n- LA 2695 (18:20-00:00 hrs)","Blanco","DO","DO","LCK B767\n- LIM-MIA\n- LA 2698 (08:15-14:20 hrs)","Recalificación B767\n- MIA-LIM\n- LA 2481 (15:55-21:40 hrs)","Reunión Embajadores","HO FILE\nPRE IOSA 2026","HO FILE\nPRE IOSA 2026","DO","DO"],"bg":["#ffffff","#ffffff","#ffffff","#ffffff","#2f5496","#2f5496","#f7caac","#ffffff","#ffffff","#ffffff","#ffc000","#ffc000","#ffc000","#ffc000","#ffffff","#ffffff","#ffffff","#ffff00","#ffc000","#ffc000","#ffc000","#ffc000","#ffffff","#ffffff","#ffc000","#ffc000","#ffff00","#999999","#999999","#ffffff","#ffffff"],"fg":["#000000","#000000","#000000","#000000","#ffffff","#ffffff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LP","LP","LP","LP","LP","LP","LP","LP","LP","LP","LP","LP","LP","LP","LP","LP","LP","LP","LP","LP","LP","LP","LP","LP","LP","LP","LP","LP","LP","LP","LP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Dávila","dias":["DO","DO","DO","DO","CURSO 50% \nDÍA 2","CAPACITACION RRVV\nALUMNO","RTI: PRÁCTICA\nA320F / B767\n(08:30-17:30 hrs)\nINS APOYO","REUNIÓN INSTRUCTORES","DO","DO","Inicial G6","Inicial G6","RTI: PRÁCTICA\nA320F / B767 / B787\n(08:30-17:30 hrs)\nINS TITULAR","CURSO 50% \nDÍA 8","HO FILE","DO","DO","Habilitación B767 (CCM)\n- LIM-LAX\n- LA 2476 (12:00-19:00 hrs)","Habilitación B767 (CCM)\n- LAX-LIM\n- LA 2477 (21:30-08:05 hrs)","Blanco","Reva de Servicio\n(08:30-17:30 hrs)\nDÍA 1","Reva de Servicio\n(08:30-17:30 hrs)\nDÍA 2","DO","DO","HO PPT","HO PPT","HABILITACIÓN A320F (CST)\nLIM-CJA-LIM\nLA 2299 (11:35-13:00 hrs)\nLA 2298 (13:45-14:55 hrs)","Inicial G8","CURSO 50% \nDIA 9","DO","DO"],"bg":["#ffffff","#ffffff","#ffffff","#ffffff","#ffe599","#d0e0e3","#cce0f4","#ffffff","#ffffff","#ffffff","#b4a7d6","#b4a7d6","#cce0f4","#ffe599","#999999","#ffffff","#ffffff","#ffc000","#ffc000","#ffc000","#2f5496","#2f5496","#ffffff","#ffffff","#999999","#999999","#f4cccc","#ff4b4f","#ffe599","#ffffff","#ffffff"],"fg":["#000000","#000000","#000000","#000000","#000000","#000000","#000000","#000000","#000000","#000000","#000000","#000000","#000000","#000000","#000000","#000000","#000000","#000000","#000000","#000000","#ffffff","#ffffff","#000000","#000000","#000000","#000000","#000000","#000000","#000000","#000000","#000000"]},{"bp":"2369641","nombre":"Elizabeth Torres","dias":["DO","DO","DO","Curso Refreso IDE","LCK A320F\nLIM-CUZ-LIM\nLA 2007 (09:10-10:35 hrs)\nLA 2008 (11:20-12:55 hrs)\nLCK A320F + Habilitación A320F\nLIM-CUZ-LIM\nLA 2232 (13:55-15:20 hrs)\nLA 2233 (15:55-17:35 hrs)","Inicial G6","LCK A320F\r\nLIM-CUZ-LIM\r\nLA 2013 (08:40-10:00 hrs)\r\nLA 2014 (10:40-12:15 hrs)\r\nLCK A320F\r\nLIM-CIX-LIM\r\nLA 2312 (13:25-15:00 hrs)\r\nLA 2313 (15:40-17:00 hrs)","REUNIÓN INSTRUCTORES","DO","DO","Blanco","LCK B767\n- LIM-MIA\n- LA 2480 (00:15-06:20 hrs)","Habilitación B767\n- MIA-LIM\n- LA 2481 (15:55-21:40 hrs)","CURSO DE ESTANDARIZACIÓN TARDE","DO","DO","DO","DO","LCK B767\n- LIM-MIA\n- LA 2698 (08:15-14:20 hrs)","Acompañamiento de Servicio B767     - MIA-LIM\n- LA 2699 (23:15-05:00 hrs)","Blanco","HO FILE","DO","DO","TALLER VOLUNTARIO DE SEGURIDAD","HANDS ON B767","Inicial G7 Chequeo LATAM\nLIM-AQP-LIM\nLA2119 08:30-10:00\nLA2118 10:55-12:35\r\nLIM-AQP-LIM\nLA2055 13:50-15:35\nLA2056 16:10-17:50","Inicial G6 Chequeo LATAM\nLIM-IQT-LIM\nLA2019 11:35-13:30\nLA2038 14:05-15:55","Graduación \nInicial G4&amp;G5","DO","DO"],"bg":["#ffffff","#ffffff","#ffffff","#d0e0e3","#f7caac","#b4a7d6","#f7caac","#ffffff","#ffffff","#ffffff","#ffc000","#ffc000","#ffc000","#ffff00","#ffffff","#ffffff","#ffffff","#ffffff","#ffc000","#ffc000","#ffc000","#999999","#ffffff","#ffffff","#ffff00","#ffff00","#2f5496","#b4a7d6","#00b0f0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ffffff","#000000","#000000","#000000","#000000"]},{"bp":"2369624","nombre":"Patricia Najar","dias":["DO","DO","DO","Curso Refreso IDE","HO  FILE","LCK A320F\nLIM-CIX-LIM\nLA 2274 (09:35-11:10 hrs)\nLA 2275 (11:45-13:05 hrs)\nLCK A320F\nLIM-CUZ-LIM\nLA 2232 (13:55-15:20 hrs)\nLA 2233 (15:55-17:35 hrs)","DO","DO","DO","DO","LCK A320F\r\nLIM-CUZ-LIM\r\nLA 2013 (08:40-10:00 hrs)\r\nLA 2014 (10:40-12:15 hrs)\r\nLCK A320F\r\nLIM-CIX-LIM\r\nLA 2312 (13:25-15:00 hrs)\r\nLA 2313 (15:40-17:00 hrs)","Inicial G7","LCK B767\n- LIM-MIA\n- LA 2694 (13:30-19:35 hrs)","Blanco","Habilitación B767\n- MIA-LIM\n- LA 2693 (00:45-06:30 hrs)","DO","DO","RTI","RTI: VIRTUAL\nA320F / B767\n(08:30-17:30 hrs)\nINS TITULAR\n**Se habilita","RTI","RTI: VIRTUAL\nA320F / B767\n(08:30-17:30 hrs)\nINS TITULAR\n**Se habilita","Inicial G7","DO","DO","LCK A320F\nLIM-CIX-LIM\nLA 2312 (13:25-15:00 hrs)\nLA 2313 (15:40-17:00 hrs)","HANDS ON B767","LCK A320F\r\nLIM-CIX-LIM\r\nLA 2274 (09:35-11:10 hrs)\r\nLA 2275 (11:45-13:05 hrs)\r\nLCK A320F\r\nLIM-CUZ-LIM\r\nLA 2232 (13:55-15:20 hrs)\r\nLA 2233 (15:55-17:35 hrs)","HO FILE\nPRE IOSA 2026","HO FILE\nPRE IOSA 2026","DO","DO"],"bg":["#ffffff","#ffffff","#ffffff","#d0e0e3","#999999","#f7caac","#ffffff","#ffffff","#ffffff","#ffffff","#f7caac","#2f5496","#ffc000","#ffc000","#ffc000","#ffffff","#ffffff","#ffffff","#cce0f4","#ffffff","#cce0f4","#2f5496","#ffffff","#ffffff","#f7caac","#ffff00","#f7caac","#999999","#999999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3134911","nombre":"Javier Zapata","dias":["DO","DO","DO","Curso Refreso IDE","LCK B767\n- LIM-MIA\n- LA 2698 (08:15-14:20 hrs)","Habilitación B767*\n- MIA-LIM\n- LA 2699 (23:15-05:00 hrs)","Blanco","REUNIÓN INSTRUCTORES","DO","DO","Inicial G6","Inicial G6","Inicial G7","Inicial G7","Chequeo DGAC B767\n- LIM-SCL\n- LA 2413 (12:20-15:45 hrs)\nChequeo DGAC B767\n- SCL-LIM\n- LA 2412 (17:10-20:50 hrs)","DO","DO","LCK B767\n- LIM-MIA\n- LA 2698 (08:15-14:20 hrs)","Reentrenamiento B767\n- MIA-LIM\n- LA 2481 (15:55-21:40 hrs)","HO FILE","Inicial G7","DO","DO","DO","DO","HO PPT","Blanco","LCK B767                                                             - LIM-MIA\n- LA 2480 (00:15-06:20 hrs)","Acompañamiento de Servicio B767\n- MIA-LIM\n- LA 2481 (15:55-21:40 hrs)","DO","DO"],"bg":["#ffffff","#ffffff","#ffffff","#d0e0e3","#ffc000","#ffc000","#ffc000","#ffffff","#ffffff","#ffffff","#b4a7d6","#b4a7d6","#2f5496","#2f5496","#ffc000","#ffffff","#ffffff","#ffc000","#ffc000","#999999","#2f5496","#ffffff","#ffffff","#ffffff","#ffffff","#999999","#ffc000","#ffc000","#ffc000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3750335","nombre":"Jefferson Mendez","dias":["DO","DO","DO","Curso Refreso IDE","HABILITACIÓN A320F (CCM)\nLIM-UIO-LIM\nLA 2382 (08:45-11:05 hrs)\nLA 2383 (12:15-14:30 hrs)","Inicial G4 CHEQUEO DGAC\nLIM-CUZ-LIM\nLA2077 09:45-11:10\nLA2078 11:50-13:25","Inicial G4 CHEQUEO DGAC\nLIM-PIU-LIM\nLA2306 09:30-11:15\nLA2307 11:55-13:25","CURSO 50% \nDÍA 5","DO","DO","LCK B767\n- LIM-MIA\n- LA 2698 (08:15-14:20 hrs)","Habilitación B767\n- MIA-LIM\n- LA 2481 (15:55-21:40 hrs)","HO MTC TARDE","RTI: PRÁCTICA\nA320F / B767 / B787\n(08:30-17:30 hrs)\nINS TITULAR","LCK ALUMNO B767 (CCM)\n- LIM-SCL\n- LA 2413 (12:05-15:35 hrs)\nLCK ALUMNO B767 (CCM)\n- SCL-LIM\n- LA 2412 (17:00-20:50 hrs)","DO","DO","LCK A320F\r\nLIM-AQP-LIM\r\nLA 2123 (09:15-10:50 hrs)\r\nLA 2124 (11:30-13:10 hrs)\r\nLCK A320F\r\nLIM-CJA-LIM\r\nLA 2295 (14:05-15:30 hrs)\r\nLA 2294 (16:10-17:15 hrs)","HO FILE","Reentrenamiento A320F*\nLIM-CUZ-LIM\nLA 2013 (08:40-10:00 hrs)\nLA 2014 (10:40-12:15 hrs)\nReentrenamiento A320F\nLIM-CIX-LIM\nLA 2312 (13:25-15:00 hrs)\nLA 2313 (15:40-17:00 hrs)","Inicial G7","DO","DO","DO","DO","LCK A320F\nLIM-CUZ-LIM\nLA 2013 (08:40-10:00 hrs)\nLA 2014 (10:40-12:15 hrs)\nReentrenamiento A320F*\nLIM-TPP-LIM\nLA 2087 (13:25-14:55 hrs)\nLA 2088 (15:35-17:00 hrs)","Inicial G6 Chequeo LATAM\nLIM-TCQ-LIM\nLA2071 10:30-12:25\nLA2072 13:00-14:55","HO FILE","Inicial G6 Chequeo DGAC\nLIM-CIX-LIM\nLA2312 14:00-15:30\nLA2313 16:05-17:30","DO","DO"],"bg":["#ffffff","#ffffff","#ffffff","#d0e0e3","#f4cccc","#ffc0cb","#ffc0cb","#ffe599","#ffffff","#ffffff","#ffc000","#ffc000","#999999","#cce0f4","#ffc000","#ffffff","#ffffff","#f7caac","#999999","#f7caac","#2f5496","#ffffff","#ffffff","#ffffff","#ffffff","#f7caac","#b4a7d6","#999999","#b4a7d6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3852423","nombre":"Gabriela Ungaro","dias":["DO","DO","DO","Inicial G6","Inicial G6","Inicial G4 CHEQUEO DGAC\nLIM-PIU-LIM\nLA2306 09:30-11:15\nLA2307 11:55-13:25","LCK B767\n- LIM-SCL\n- LA 2413 (12:05-15:35 hrs)\nLCK B767\n- SCL-LIM\r\n- LA 2412 (17:00-20:50 hrs)","REUNIÓN INSTRUCTORES\nTARDE","DO","DO","LCK A320F\r\nLIM-CIX-LIM\r\nLA 2274 (09:35-11:10 hrs)\r\nLA 2275 (11:45-13:05 hrs)\r\nLCK A320F\r\nLIM-CUZ-LIM\r\nLA 2232 (13:55-15:20 hrs)\r\nLA 2233 (15:55-17:35 hrs)","HO FILE","LCK A320F\r\nLIM-CUZ-LIM\r\nLA 2013 (08:40-10:00 hrs)\r\nLA 2014 (10:40-12:15 hrs)\r\nLCK A320F\r\nLIM-CIX-LIM\r\nLA 2312 (13:25-15:00 hrs)\r\nLA 2313 (15:40-17:00 hrs)","RTI: PRÁCTICA\nA320F / B767 / B787\n(08:30-17:30 hrs)\nINS APOYO","DO","VACACIONES","VACACIONES","VACACIONES","VACACIONES","VACACIONES","VACACIONES","VACACIONES","VACACIONES","DO","Inicial G8","HO PPT","LCK B767\n- MIA-LIM\n- LA 2694 (13:30-19:35 hrs)","Blanco","Habilitación B767\n- LIM-MIA\n- LA 2693 (00:45-06:30 hrs)","DO","DO"],"bg":["#ffffff","#ffffff","#ffffff","#b4a7d6","#b4a7d6","#ffc0cb","#ffc000","#ffffff","#ffffff","#ffffff","#f7caac","#999999","#f7caac","#cce0f4","#ffffff","#ffffcc","#ffffcc","#ffffcc","#ffffcc","#ffffcc","#ffffcc","#ffffcc","#ffffcc","#ffffff","#ff4b4f","#999999","#ffc000","#ffc000","#ffc000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2604360","nombre":"Mariella Carrasco","dias":["DO","DO","DO","Acompañamiento de Servicio B767\n- LIM-MIA\n- LA 2694 (13:30-19:35 hrs)","LCK B767 B767\n- MIA-LIM\n- LA 2699 (23:15-05:00 hrs)","Blanco","RTI: PRÁCTICA\nA320F / B767\n(08:30-17:30 hrs)\nINS APOYO TM","REUNIÓN INSTRUCTORES","DO","DO","AUDITORIA AEP\nLIM-AEP\nLA 2380 (09:30-14:00 hrs)","AUDITORIA AEP\nAEP-LIM\nLA 2368 (18:05-23:00 hrs)","HO MTC TARDE","LCK B767\n- LIM-SCL\n- LA 2413 (12:05-15:35 hrs)\nLCK B767\n- SCL-LIM\r\n- LA 2412 (17:00-20:50 hrs)","DO","VACACIONES","VACACIONES","VACACIONES","VACACIONES","VACACIONES","VACACIONES","VACACIONES","VACACIONES","DO","Inicial G6 Chequeo Latam\nLIM-PEM-LIM\nLA2260 10:20-12:05\nLA2261 12:45-14:20\nLIM-JUL-LIM\nLA2211 15:45-17:20\nLA2212 18:00-19:45","Blanco","Acompañamiento de Servicio B767\n- LIM-MIA\n- LA 2480 (00:15-06:20 hrs)","LCK B767\n- MIA-LIM\n- LA 2695 (16:10-22:00 hrs)","HO FILE\nTARDE \nPRE IOSA","DO","DO"],"bg":["#ffffff","#ffffff","#ffffff","#ffc000","#ffc000","#ffc000","#cce0f4","#ffffff","#ffffff","#ffffff","#ffff00","#ffff00","#999999","#ffc000","#ffffff","#ffffcc","#ffffcc","#ffffcc","#ffffcc","#ffffcc","#ffffcc","#ffffcc","#ffffcc","#ffffff","#b4a7d6","#ffc000","#ffc000","#ffc000","#999999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2823133","nombre":"Cesar Campos","dias":["DO","DO","DO","DO","HO MTC","CAPACITACION RRVV\nINSTRUCTOR","RTI: PRÁCTICA\nA320F / B767\n(08:30-17:30 hrs)\nINS APOYO","Reva de Servicio\n(08:30-17:30 hrs)\nDÍA 2","DO","DO","TTT CRM","Reva de Servicio\n(08:30-17:30 hrs)\nDÍA 1","Reva de Servicio\n(08:30-17:30 hrs)\nDÍA 2","HABILITACIÓN A320F (CCM)\nLIM-CUZ-LIM\nLA 2130 (08:10-09:30 hrs)\nLA 2129 (10:05-11:40 hrs)\nLIM-PIU-LIM\nLA 2308 (13:00-14:45 hrs)\nLA 2309 (15:25-16:55 hrs)","Inicial G6","DO","DO","CURSO DE ESTANDARIZACIÓN TARDE","HO FILE","HO FILE","RTI: PRÁCTICA\nA320F / B767\n(08:30-17:30 hrs)\nINS APOYO TM","CERTIFICACIÓN INS EXTERNO","DO","DO","Inicial G4 &amp; G5\nTaller de Servicio\nDía 4","Inicial G6 Chequeo Latam\nLIM-CUZ-LIM\nLA2130 08:10-09:30\nLA2129 10:05-11:40\nLIM-PIU-LIM\nLA2308 13:00-14:45\nLA2309 15:25-16:55","Inicial G4 &amp; G5\nTaller de Servicio\nDía 5","Inicial G7 Chequeo LATAM\nLIM-TCQ-LIM\nLA2071 10:30-12:25\nLA2072 13:00-14:55","CERTIFICACIÓN INS EXTERNO","DO","DO"],"bg":["#ffffff","#ffffff","#ffffff","#ffffff","#999999","#d0e0e3","#cce0f4","#2f5496","#ffffff","#ffffff","#ffff00","#2f5496","#2f5496","#f4cccc","#b4a7d6","#ffffff","#ffffff","#ffff00","#999999","#999999","#cce0f4","#d0e0e3","#ffffff","#ffffff","#00b0f0","#b4a7d6","#00b0f0","#2f5496","#d0e0e3","#ffffff","#ffffff"],"fg":["#000000","#000000","#000000","#000000","#000000","#000000","#000000","#ffffff","#000000","#000000","#000000","#ffffff","#ffffff","#000000","#000000","#000000","#000000","#000000","#000000","#000000","#000000","#000000","#000000","#000000","#000000","#000000","#000000","#ffffff","#000000","#000000","#000000"]},{"bp":"3189967","nombre":"Kevin Segovia","dias":["DO","DO","DO","DO","Inicial G5 CHEQUEO LATAM\nLIM-TCQ-LIM\nLA2071 10:15-12:25\nLA2072 12:55-14:55","CURSO 50% \nDÍA 3","Reva de Servicio\n(08:30-17:30 hrs)\nDÍA 1","REUNIÓN INSTRUCTORES","DO","DO","AUDITORIA \nPROCAB","CURSO 50% \nDÍA 7","Inicial G4 &amp; G5\nTaller de Servicio\nDía 1","Reentrenamiento A320F + Pasajero A320F","HO FILE","DO","DO","HO FILE","Inicial G4 &amp; G5\nTaller de Servicio\nDía 2","Inicial G4 &amp; G5\nTaller de Servicio\nDía 3","HO FILE","CERTIFICACIÓN INS EXTERNO","DO","DO","Inicial G6 Chequeo LATAM\nLIM-PIU-LIM\nLA2306 09:30-11:15\nLA2307 11:55-13:25\r\nLIM-PIU-LIM\nLA2338 15:00-16:45\nLA2339 17:20-18:50","Inicial G7 Chequeo LATAM\nLIM-TCQ-LIM\nLA2067 13:45-15:40\nLA2068 16:20-18:15","Inicial G6 Chequeo LATAM\nLIM-TPP-LIM\nLA2085 08:25-09:55\nLA2086 10:40-12:00\r\nLIM-IQT-LIM\nLA2234 13:35-15:30\nLA2235 16:05-17:55","HO FILE\nPRE IOSA 2026","CERTIFICACIÓN INS EXTERNO","DO","DO"],"bg":["#ffffff","#ffffff","#ffffff","#ffffff","#00b0f0","#ffe599","#2f5496","#ffffff","#ffffff","#ffffff","#ffff00","#ffe599","#00b0f0","#f7caac","#999999","#ffffff","#ffffff","#999999","#00b0f0","#00b0f0","#999999","#d0e0e3","#ffffff","#ffffff","#b4a7d6","#2f5496","#b4a7d6","#999999","#d0e0e3","#ffffff","#ffffff"],"fg":["#000000","#000000","#000000","#000000","#000000","#000000","#ffffff","#000000","#000000","#000000","#000000","#000000","#000000","#000000","#000000","#000000","#000000","#000000","#000000","#000000","#000000","#000000","#000000","#000000","#000000","#ffffff","#000000","#000000","#000000","#000000","#000000"]},{"bp":"2415373","nombre":"Milagros Salas","dias":[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DO","DO"],"bg":["#ffffcc","#ffffcc","#ffffcc","#ffffcc","#ffffcc","#ffffcc","#ffffcc","#ffffcc","#ffffcc","#ffffcc","#ffffcc","#ffffcc","#ffffcc","#ffffcc","#ffffcc","#ffffcc","#ffffcc","#ffffcc","#ffffcc","#ffffcc","#ffffcc","#ffffcc","#ffffcc","#ffffcc","#ffffcc","#ffffcc","#ffffcc","#ffffcc","#ffffcc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2440915","nombre":"Judith Fernandez","dias":["DO","DO","DO","DO","Inicial G6","Inicial G6","CURSO 50% \nDÍA 4","REUNIÓN INSTRUCTORES","DO","DO","Inicial G7","RTI: VIRTUAL\nA320F / B767 / B787\n(08:30-17:30 hrs)\nINS TITULAR","HABILITACIÓN A320F (CCM)\nLIM-UIO-LIM\nLA 2382 (08:45-11:05 hrs)\nLA 2383 (12:15-14:30 hrs)","Reva de Servicio\n(08:30-17:30 hrs)\nDÍA 1","Reva de Servicio\n(08:30-17:30 hrs)\nDÍA 2","DO","DO","Habilitación B767 (CCM)\n- LIM-ATL\n- LA 2482 (12:05-20:35 hrs)","Habilitación B767 (CCM)\n- ATL-LIM\n- LA 2483 (23:15-05:00 hrs)","Blanco","Inicial G6 Chequeo LATAM\nLIM-CUZ-LIM\nLA2013 08:40-10:00\nLA2014 10:40-12:15\r\nLIM-AQP-LIM\nLA2055 13:50-15:35\nLA2056 16:10-17:50","HO FILE","DO","DO","RTI","RTI: VIRTUAL\nA320F / B767\n(08:30-17:30 hrs)\nINS TITULAR\n**Se habilita","RTI ALUMNO","RTI: VIRTUAL\nA320F / B767\n(08:30-17:30 hrs)\nINS TITULAR\n**Se habilita","CERTIFICACIÓN INS EXTERNO","DO","DO"],"bg":["#ffffff","#ffffff","#ffffff","#ffffff","#b4a7d6","#b4a7d6","#ffe599","#ffffff","#ffffff","#ffffff","#2f5496","#cce0f4","#f4cccc","#2f5496","#2f5496","#ffffff","#ffffff","#ffc000","#ffc000","#ffc000","#b4a7d6","#999999","#ffffff","#ffffff","#ffffff","#cce0f4","#ffffff","#cce0f4","#d0e0e3","#ffffff","#ffffff"],"fg":["#000000","#000000","#000000","#000000","#000000","#000000","#000000","#000000","#000000","#000000","#000000","#000000","#000000","#ffffff","#ffffff","#000000","#000000","#000000","#000000","#000000","#000000","#000000","#000000","#000000","#000000","#000000","#000000","#000000","#000000","#000000","#000000"]},{"bp":"3796947","nombre":"Rafael Nieto","dias":["SICK","SICK","SICK","SICK","SICK","SICK","SICK","SICK","SICK","SICK","SICK","SICK","SICK","SICK","SICK","SICK","SICK","SICK","SICK","SICK","SICK","SICK","SICK","SICK","SICK","SICK","SICK","SICK","SICK","SICK","SICK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Celiz","dias":["DO","DO","DO","RTI","RTI: VIRTUAL\nA320F / B767\n(08:30-17:30 hrs)\nINS TITULAR\n**Se habilita","RTI","RTI: VIRTUAL\nA320F / B767\n(08:30-17:30 hrs)\nINS TITULAR\n**Se habilita","REUNIÓN INSTRUCTORES","DO","DO","Habilitación B767 (CCM)\n- LIM-ATL\n- LA 2482 (12:05-20:35 hrs)","Habilitación B767 (CCM)\n- ATL-LIM\n- LA 2483 (23:15-05:00 hrs)","Blanco","CURSO DE ESTANDARIZACIÓN TARDE","Inicial G7","DO","DO","DO","DO","HO FILE","RTI: PRÁCTICA\nA320F / B767\n(08:30-17:30 hrs)\nINS APOYO","CERTIFICACIÓN INS EXTERNO","DO","DO","Inicial G6 Chequeo LATAM\nLIM-CUZ-LIM\nLA2077 09:45-11:10\nLA2078 11:50-13:25\r\nLIM-AQP-LIM\nLA2113 15:05-16:40\nLA2112 17:15-18:55","Inicial G7 Chequeo LATAM\nLIM-PEM-LIM\nLA2023 12:05-13:50\nLA2024 14:30-16:10","Curso de Estandarización \nTarde","RTI: PRÁCTICA\nA320F / B767\n(08:30-17:30 hrs)\nINS APOYO","CERTIFICACIÓN INS EXTERNO","DO","DO"],"bg":["#ffffff","#ffffff","#ffffff","#ffffff","#cce0f4","#ffffff","#cce0f4","#ffffff","#ffffff","#ffffff","#ffc000","#ffc000","#ffc000","#ffff00","#2f5496","#ffffff","#ffffff","#ffffff","#ffffff","#999999","#cce0f4","#d0e0e3","#ffffff","#ffffff","#b4a7d6","#2f5496","#ffff00","#cce0f4","#d0e0e3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f3f3f3","#000000","#000000","#000000","#000000","#000000"]}]}</t>
  </si>
  <si>
    <t>{"mes":"2026-06","fuente":"06 - Rol Instructores LP JUNIO","hoja":"Junio","instructores":[{"bp":"2713993","nombre":"Fiorella Ruiz","dias":["HO FILE","TTT REVA SVC 2026\nALUMNO","RTI: PRÁCTICA\nA320F / B767 / B787\n(08:30-17:30 hrs)\nINS APOYO","RTI: PRÁCTICA\nA320F / B767 / B787\n(08:30-17:30 hrs)\nINS APOYO","CURSO CRM IDE","FDS","FDS","LCK B767\n- LIM-MIA\n- LA 2694 (13:30-19:35 hrs)","Habilitación B767*\n- MIA-LIM\n- LA 2699 (23:15-05:00 hrs)","Blanco","LCK B787\n- LIM-SCL\n- LA 2697 (09:35-13:00 hrs)\nHabilitación B787\n- SCL-LIM\n- LA 2696 (16:00-19:45 hrs)","REUNIÓN INSTRUCTORES\nTARDE","FDS","FDS","LCK B767\n- LIM-MIA\n- LA 2694 (13:30-19:35 hrs)","Blanco","Pasajero B767\n- MIA-LIM\n- LA 2481 (15:55-21:40 hrs)","HO FILE\nTARDE","Inicial G8","FDS","FDS","Blanco","LCK B767\n- LIM-MIA\n- LA 2480 (00:15-06:20 hrs)","Habilitación B767*\n- MIA-LIM\n- LA 2481 (16:55-21:40 hrs)","HO FILE\nTARDE","DESCANSO MÉDICO","FDS","FDS","FERIADO","Reentrenamiento B787\n- LIM-SCL\n- LA 2697 (09:35-13:00 hrs)\nHabilitación B787*\n- SCL-LIM\n- LA 2696 (16:00-19:45 hrs)"],"bg":["#999999","#88e0b6","#cce0f4","#cce0f4","#ffff00","#0000ff","#0000ff","#ffc000","#ffc000","#ffc000","#e88888","#ffffff","#0000ff","#0000ff","#ffc000","#ffc000","#ffc000","#999999","#ff4b4f","#0000ff","#0000ff","#ffc000","#ffc000","#ffc000","#999999","#e6b8af","#0000ff","#0000ff","#0000ff","#e88888"],"fg":["#000000","#000000","#000000","#000000","#000000","#ffffff","#ffffff","#000000","#000000","#000000","#000000","#000000","#ffffff","#ffffff","#000000","#000000","#000000","#000000","#000000","#ffffff","#ffffff","#000000","#000000","#000000","#000000","#000000","#ffffff","#ffffff","#ffffff","#000000"]},{"bp":"2396710","nombre":"Sebastian Correa","dias":["VACACIONES","VACACIONES","VACACIONES","VACACIONES","VACACIONES","VACACIONES","VACACIONES","VACACIONES","TTT REVA SVC 2026\nALUMNO","LCK B787\n- LIM-SCL\n- LA 2697 (09:35-13:00 hrs)\nHabilitación B787*\n- SCL-LIM\n- LA 2696 (16:00-19:45 hrs)","HO FILE\nTARDE","LCK B787\n- LIM-SCL\n- LA 2697 (09:35-13:00 hrs)\nLCK B787\n- SCL-LIM\n- LA 2696 (16:00-19:45 hrs)","FDS","FDS","Blanco","LCK B767\n- LIM-MIA\n- LA 2480 (00:15-06:20 hrs)","Reentrenamiento B767\n- MIA-LIM\n- LA 2481 (15:55-21:40 hrs)","HO FILE\nTARDE","LCK B787\n- LIM-SCL\n- LA 2697 (09:35-13:00 hrs)\nLCK B787\n- SCL-LIM\n- LA 2696 (16:00-19:45 hrs)","FDS","FDS","HAB A320F (CST) + REENT A320F (50%)\nLIM-CIX-LIM\nLA 2274 (09:35-11:10 hrs)\nLA 2275 (11:45-13:05 hrs)","HO FILE","RTI: PRÁCTICA\nA320F / B767 / B787\n(08:30-17:30 hrs)\nINS APOYO","LCK B787\n- LIM-SCL\n- LA 2697 (09:35-13:00 hrs)\nHabilitación B787*\n- SCL-LIM\n- LA 2696 (16:00-19:45 hrs)","HO FILE\nTARDE","FDS","FDS","FERIADO","LCK B787\n- LIM-SCL\n- LA 2697 (09:35-13:00 hrs)\nLCK B787\n- SCL-LIM\n- LA 2696 (16:00-19:45 hrs)"],"bg":["#ffffcc","#ffffcc","#ffffcc","#ffffcc","#ffffcc","#ffffcc","#ffffcc","#ffffcc","#88e0b6","#e88888","#999999","#e88888","#0000ff","#0000ff","#ffc000","#ffc000","#ffc000","#999999","#e88888","#0000ff","#0000ff","#f4cccc","#999999","#cce0f4","#e88888","#999999","#0000ff","#0000ff","#0000ff","#e88888"],"fg":["#000000","#000000","#000000","#000000","#000000","#000000","#000000","#000000","#000000","#000000","#000000","#000000","#ffffff","#ffffff","#000000","#000000","#000000","#000000","#000000","#ffffff","#ffffff","#000000","#000000","#000000","#000000","#000000","#ffffff","#ffffff","#ffffff","#000000"]},{"bp":"1271571","nombre":"Christian Rondon","dias":["Backup JB","Backup JB","Backup JB","Backup JB","Backup JB","FDS","FDS","HO FILE","LCK ALUMNO A320F (CC)\nLIM-AQP-LIM\nLA 2055 (13:50-15:35 hrs)\nLA 2056 (16:10-17:50 hrs)","TTT CRM 2026\nALUMNO","PROCESO DE ASCENSO JSB","Chequeo DGAC B767\n- LIM-SCL\n- LA 2413 (12:05-15:35 hrs)\nChequeo DGAC B767\n- SCL-LIM\n- LA 2412 (17:00-20:50 hrs)","FDS","FDS","RTI: REFUERZO  CPL´s\nA320F\n(08:30-17:30 hrs)\nPRESENCIAL","CEREMONIA EDS (Pasajero)\n- LIM-SCL\n- LA 2697 (09:35-13:00 hrs)","CEREMONIA EDS","CEREMONIA EDS","CEREMONIA EDS (Pasajero)\n- SCL-LIM\n- LA 2696 (16:00-19:45 hrs)","FDS","FDS","LCK B767\n- LIM-MIA\n- LA 2694 (13:30-19:35 hrs)","Recalificación B767*\n- MIA-LIM\n- LA 2699 (23:15-05:00 hrs)","Blanco","CUMP","Chequeo DGAC B767\n- LIM-SCL\n- LA 2413 (12:05-15:35 hrs)\nChequeo DGAC B767\n- SCL-LIM\n- LA 2412 (17:00-20:50 hrs)","FDS","FDS","FERIADO","Reentrenamiento A320F\nLIM-TPP-LIM\nLA2301 (15:40-17:15 hrs)\nLA2300 (17:50--19:15 hrs)"],"bg":["#ffffff","#ffffff","#ffffff","#ffffff","#ffffff","#0000ff","#0000ff","#999999","#f7caac","#ffc7ce","#999999","#ffc000","#0000ff","#0000ff","#cce0f4","#d0e0e3","#d0e0e3","#d0e0e3","#d0e0e3","#0000ff","#0000ff","#ffc000","#ffc000","#ffc000","#ffc0cb","#ffc000","#0000ff","#0000ff","#0000ff","#f7caac"],"fg":["#000000","#000000","#000000","#000000","#000000","#ffffff","#ffffff","#000000","#000000","#000000","#000000","#000000","#ffffff","#ffffff","#000000","#000000","#000000","#000000","#000000","#ffffff","#ffffff","#000000","#000000","#000000","#000000","#000000","#ffffff","#ffffff","#ffffff","#000000"]},{"bp":"2843319","nombre":"Karen Santa Cruz","dias":["LCK B767\n- LIM-MIA\n- LA 2698 (08:15-14:20 hrs)","Pasajero B767\n- MIA-LIM\n- LA 2481 (15:55-21:40 hrs)","Inicial G6 - Chequeo DGAC \nLIM-AQP-LIM\nLA2055 13:50-15:35\nLA2056 16:10-17:50","Chequeo LATAM B767\n- LIM-SCL\n- LA 2413 (12:05-15:35 hrs)\nLCK B767\n- SCL-LIM\n- LA 2412 (17:00-20:50 hrs)","DO","DO","DO","DO","LCK B767\n- LIM-MIA\n- LA 2698 (08:15-14:20 hrs)","Reentrenamiento B767\n- MIA-LIM\n- LA 2699 (23:15-05:00 hrs)","Blanco","REUNIÓN INSTRUCTORES","DO","DO","HABILITACIÓN A320F (CCM)\nLIM-CUZ-AQP-LIM\nLA 2005 (06:00-07:20 hrs)\nLA 2328 (08:00-09:05 hrs)\nLA 2104 (09:45-11:25 hrs)","LCK B767\n- LIM-MIA\n- LA 2698 (08:15-14:20 hrs)","Pasajera B767\n- MIA-LIM\n- LA 2481 (15:55-21:40 hrs)","Blanco","RENOVACIÓN IDE A320F\nLIM-AQP-LIM\nLA 2109 (10:30-12:05 hrs)\nLA 2108 (12:40-14:20 hrs)","DO","DO","VUELO CUN EDS (CCM)\n- LIM-CUN\n- LA 2456 (12:10-17:40 hrs)","VUELO CUN EDS (CCM)\n- CUN-LIM\n- LA 2457 (18:45-23:55 hrs)","Blanco","Chequeo LATAM B767\n- LIM-SCL\n- LA 2413 (12:05-15:35 hrs)\nLCK B767\n- SCL-LIM\n- LA 2412 (17:00-20:50 hrs)","HO FILE\nTARDE","DO","DO","DO","PREPARACIÓN IOSA 2026"],"bg":["#ffc000","#ffc000","#b4a7d6","#ffc000","#ffffff","#ffffff","#ffffff","#0000ff","#ffc000","#ffc000","#ffc000","#ffffff","#ffffff","#ffffff","#f4cccc","#ffc000","#ffc000","#ffc000","#f4cccc","#ffffff","#ffffff","#d0e0e3","#d0e0e3","#d0e0e3","#ffc000","#999999","#ffffff","#ffffff","#ffffff","#ffff00"],"fg":["#000000","#000000","#000000","#000000","#000000","#000000","#000000","#ffffff","#000000","#000000","#000000","#000000","#000000","#000000","#000000","#000000","#000000","#000000","#000000","#000000","#000000","#000000","#000000","#000000","#000000","#000000","#000000","#000000","#000000","#000000"]},{"bp":"3779550","nombre":"Jennifert Acurio","dias":["VACACIONES","VACACIONES","VACACIONES","VACACIONES","VACACIONES","VACACIONES","VACACIONES","VACACIONES","VACACIONES","VACACIONES","VACACIONES","VACACIONES","VACACIONES","VACACIONES","VACACIONES","TTT REVA SVC 2026\nALUMNO","Blanco","LCK B767\n- LIM-MIA\n- LA 2480 (00:15-06:20 hrs)","Recalificación B767\n- MIA-LIM\n- LA 2481 (15:55-21:40 hrs)","DO","DO","CURSO ESTANDARIZACIÓN AM\n(08:30 -12:30)","HB6\nCurso B767\n(08:30-17:30hrs)","HB6\nCurso B767\n(08:30-17:30hrs)","Habilitación B767 (CC)\n- LIM-SCL\n- LA 2413 (12:05-15:35 hrs)\nLCK ALUMNA B767 (CC)\n- SCL-LIM\n- LA 2412 (17:00-20:50 hrs)","HO FILE\nTARDE","DO","DO","DO","Habilitación B787 (CST)\n- LIM-SCL\n- LA 2697 (09:35-13:00 hrs)\nHabilitación B787 (CST)\n- SCL-LIM\n- LA 2696 (16:00-19:45 hrs)"],"bg":["#ffffcc","#ffffcc","#ffffcc","#ffffcc","#ffffcc","#ffffcc","#ffffcc","#ffffcc","#ffffcc","#ffffcc","#ffffcc","#ffffcc","#ffffcc","#ffffcc","#ffffcc","#88e0b6","#ffc000","#ffc000","#ffc000","#ffffff","#ffffff","#ffff00","#a8d08d","#a8d08d","#ffc000","#999999","#ffffff","#ffffff","#ffffff","#e88888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29530","nombre":"Jazmin Guerra","dias":["VACACIONES","VACACIONES","VACACIONES","VACACIONES","VACACIONES","VACACIONES","VACACIONES","LCK B767\n- LIM-MIA\n- LA 2698 (08:15-14:20 hrs)","Chequeo LATAM B767\n- MIA-LIM\n- LA 2695 (16:10-22:00 hrs)","PERMISO JEFATURA","PERMISO JEFATURA","REUNIÓN INSTRUCTORES","DO","DO","PERMISO JEFATURA","PERMISO JEFATURA","PERMISO JEFATURA","PERMISO JEFATURA","PERMISO JEFATURA","DO","DO","PERMISO JEFATURA","PERMISO JEFATURA","PERMISO JEFATURA","PERMISO JEFATURA","PERMISO JEFATURA","DO","DO","DO","Reva de Servicio\n(08:30-17:30 hrs)\nDÍA 1\nTC"],"bg":["#ffffcc","#ffffcc","#ffffcc","#ffffcc","#ffffcc","#ffffcc","#ffffcc","#ffc000","#ffc000","#999999","#999999","#ffffff","#ffffff","#ffffff","#999999","#999999","#999999","#999999","#999999","#ffffff","#ffffff","#999999","#999999","#999999","#999999","#999999","#ffffff","#ffffff","#ffffff","#2f5496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ffffff"]},{"bp":"3217561","nombre":"Claudia Flores","dias":["AudItoria PROCAB","HO FILE","HO FILE","RTI: PRÁCTICA\nA320F / B767\n(08:30-17:30 hrs)\nINS APOYO TM","Inicial G6 + G7 Chequeo DGAC                                        LIM-JUL-LIM\nLA2147 08:45-10:20\nLA2148 11:00-12:45\nLIM-CUZ-LIM\nLA2028 13:25-14:50\nLA2029 15:30-17:10","DO","DO","TTT CRM 2026\nALUMNO","HO FILE\nREVISION DEL PIE","HO FILE\nREVISION DEL PIE","LCK B767\n- LIM-SCL\n- LA 2413 (12:05-15:35 hrs)\nChequeo LATAM B767\n- SCL-LIM\n- LA 2412 (17:00-20:50 hrs)","REUNIÓN INSTRUCTORES\nTARDE","DO","DO","LCK B767\n- LIM-MIA\n- LA 2698 (08:15-14:20 hrs)","Reentrenamiento B767\n- MIA-LIM\n- LA 2695 (16:10-22:00 hrs)","HO FILE\nTARDE","HABILITACIÓN A320F (CCM)\nLIM-UIO-LIM\nLA 2382 (08:45-11:05 hrs)\nLA 2383 (12:15-14:30 hrs)","HO FILE","DO","DO","LCK B767\n- LIM-MIA\n- LA 2698 (08:15-14:20 hrs)","Reentrenamiento B767*\n- MIA-LIM\n- LA 2695 (16:10-22:00 hrs)","HO FILE\nTARDE","RTI: PRÁCTICA\nA320F / B767 / B787\n(08:30-17:30 hrs)\nINS APOYO","LCK B767\n- LIM-SCL\n- LA 2413 (12:05-15:35 hrs)\nChequeo LATAM B767\n- SCL-LIM\n- LA 2412 (17:00-20:50 hrs)","DO","DO","DO","DO"],"bg":["#999999","#999999","#999999","#cce0f4","#b4a7d6","#ffffff","#ffffff","#ffc7ce","#999999","#999999","#ffc000","#ffffff","#ffffff","#ffffff","#ffc000","#ffc000","#999999","#f4cccc","#999999","#ffffff","#ffffff","#ffc000","#ffc000","#999999","#cce0f4","#ffc000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LP","LP","LP","LP","LP","LP","LP","LP","LP","LP","LP","LP","LP","LP","LP","LP","LP","LP","LP","LP","LP","LP","LP","LP","LP","LP","LP","LP","LP","LP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Dávila","dias":["TTT CRM 2026\nALUMNO","RTI: VIRTUAL\nA320F / B767 / B787\n(08:30-17:30 hrs)\nINS TITULAR","RTI: PRÁCTICA\nA320F / B767 / B787\n(08:30-17:30 hrs)\nINS TITULAR","RTI: PRÁCTICA\nA320F / B767 / B787\n(08:30-17:30 hrs)\nINS TITULAR","Reentrenamiento A320F","DO","DO","Inicial G8","HO FILE","HO FILE","Inicial G6\nTaller de Servicio\nDía 3","REUNIÓN INSTRUCTORES","DO","DO","HB6\nCurso B767\n(08:30-17:30hrs)","HB6\nCurso B767\n(08:30-17:30hrs)","HB6\nCurso B767\n(08:30-17:30hrs)","Reva de Servicio\n(08:30-17:30 hrs)\nDÍA 1\nSVC 1","Inicial G7\nTaller de Servicio\nDía 2","DO","DO","HO FILE","RTI: VIRTUAL\nA320F / B767 / B787\n(08:30-17:30 hrs)\nINS TITULAR","RTI: PRÁCTICA\nA320F / B767 / B787\n(08:30-17:30 hrs)\nINS TITULAR","RTI: PRÁCTICA\nA320F / B767 / B787\n(08:30-17:30 hrs)\nINS TITULAR","Inicial G7\nTaller de Servicio\nDía 5","DO","DO","DO","DO"],"bg":["#ffc7ce","#cce0f4","#cce0f4","#cce0f4","#f7caac","#ffffff","#ffffff","#ff4b4f","#999999","#999999","#b4a7d6","#ffffff","#ffffff","#ffffff","#a8d08d","#a8d08d","#a8d08d","#2f5496","#6d9eeb","#ffffff","#ffffff","#999999","#cce0f4","#cce0f4","#cce0f4","#6d9eeb","#ffffff","#ffffff","#ffffff","#0000ff"],"fg":["#000000","#000000","#000000","#000000","#000000","#000000","#000000","#000000","#000000","#000000","#000000","#000000","#000000","#000000","#000000","#000000","#000000","#ffffff","#000000","#000000","#000000","#000000","#000000","#000000","#000000","#000000","#000000","#000000","#000000","#ffffff"]},{"bp":"2369641","nombre":"Elizabeth Torres","dias":["Inicial G6 - Chequeo Latam\nLIM-IQT-LIM\nLA2019 11:35-13:30\nLA2038 14:05-15:55","TTT REVA SVC 2026\nINSTRUCTOR","LCK A320F + Habilitación A320F\nLIM-CUZ-LIM\nLA 2013 (08:40-10:00 hrs)\nLA 2014 (10:40-12:15 hrs)\nLCK A320F\nLIM-CUZ-LIM\nLA 2028 (13:25-14:50 hrs)\nLA 2029 (15:30-17:10 hrs)","Inicial G7 Chequeo DGAC\nLIM-TPP-LIM\nLA2087 14:00-15:30\nLA2088 16:05-17:30","LCK B767\n- LIM-SCL\n- LA 2413 (12:05-15:35 hrs)\nChequeo LATAM B767\n- SCL-LIM\n- LA 2412 (17:00-20:50 hrs)","DO","DO","Inicial G6\nTaller de Servicio\nDía 1","TTT REVA SVC 2026\nINSTRUCTOR","HO FILE\nPROCESO DE ASCENSO JSB","HO FILE","LCK B767\n- LIM-SCL\n- LA 2413 (12:05-15:35 hrs)\nChequeo LATAM B767\n- SCL-LIM\n- LA 2412 (17:00-20:50 hrs)","DO","DO","CURSO 50% \nDÍA 1","Inicial G7\nGraduación","CURSO 50% \nDÍA 2","LCK B767\n- LIM-SCL\n- LA 2413 (12:05-15:35 hrs)\nChequeo LATAM B767\n- SCL-LIM\n- LA 2412 (17:00-20:50 hrs)","Reentrenamiento A320F\nLIM-CUZ-LIM\nLA2276 (16:30-17:55 hrs)\nLA2277 (18:45-20:25 hrs)","DO","DO","CURSO 50%","VACACIONES","VACACIONES","VACACIONES","VACACIONES","VACACIONES","VACACIONES","VACACIONES","VACACIONES"],"bg":["#b4a7d6","#88e0b6","#f7caac","#2f5496","#ffc000","#ffffff","#ffffff","#b4a7d6","#88e0b6","#999999","#999999","#ffc000","#ffffff","#ffffff","#ffe599","#6d9eeb","#ffe599","#ffc000","#f7caac","#ffffff","#ffffff","#ffe599","#ffffcc","#ffffcc","#ffffcc","#ffffcc","#ffffcc","#ffffcc","#ffffcc","#ffffcc"],"fg":["#000000",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]},{"bp":"2369624","nombre":"Patricia Najar","dias":["Inicial G8","TTT REVA SVC 2026\nALUMNO","Inicial G7 Chequeo LATAM\nLIM-TBP-LIM\nLA2052 10:15-12:15\nLA2051 12:55-14:35","LCK A320F\r\nLIM-CUZ-LIM\r\nLA 2013 (08:40-10:00 hrs)\r\nLA 2014 (10:40-12:15 hrs)\r\nLCK A320F\r\nLIM-CUZ-LIM\r\nLA 2028 (13:25-14:50 hrs)\r\nLA 2029 (15:30-17:10 hrs)","Inicial G8","DO","DO","Blanco","LCK B767\n- LIM-MIA\n- LA 2480 (00:15-06:20 hrs)","Habilitación B767*\n- MIA-LIM\n- LA 2481 (15:55-21:40 hrs)","RESERVA IET\nTARDE","REUNIÓN INSTRUCTORES","DO","DO","LCK A320F\nLIM-PIU-LIM\nLA 2308 (13:00-14:45 hrs)\nLA 2309 (15:20-16:50 hrs)","Inicial G8","Pasajera B787\n- LIM-MIA\n- LA 2694 (13:30-19:35 hrs)","LCK B767\n- MIA-LIM\n- LA 2699 (23:15-05:00 hrs)","Blanco","DO","DO","HB6\nCurso B767\n(08:30-17:30hrs)","Reunión de Embajadores","DESCANSO MÉDICO","DESCANSO MÉDICO","DO","DO","DO","DO","LCK ALUMNO A320F"],"bg":["#ff4b4f","#88e0b6","#2f5496","#f7caac","#ff4b4f","#ffffff","#ffffff","#ffc000","#ffc000","#ffc000","#d9d9d9","#ffffff","#ffffff","#ffffff","#f7caac","#ff4b4f","#ffc000","#ffc000","#ffc000","#ffffff","#ffffff","#a8d08d","#ffff00","#e6b8af","#e6b8af","#0000ff","#ffffff","#ffffff","#ffffff","#f7caac"],"fg":["#000000","#000000","#ffffff","#000000","#000000","#000000","#000000","#000000","#000000","#000000","#000000","#000000","#000000","#000000","#000000","#000000","#000000","#000000","#000000","#000000","#000000","#000000","#000000","#000000","#000000","#ffffff","#000000","#000000","#000000","#000000"]},{"bp":"3134911","nombre":"Javier Zapata","dias":["Inicial G7 Chequeo LATAM\nLIM-TCQ-LIM\nLA2071 10:35-12:30\nLA2072 13:05-15:00","TTT REVA SVC 2026\nALUMNO","LCK B767\n- LIM-MIA\n- LA 2694 (13:30-19:35 hrs)","Reentrenamiento B767\n- MIA-LIM\n- LA 2699 (23:15-05:00 hrs)","Blanco","DO","DO","DESCANSO MÉDICO","DESCANSO MÉDICO","LCK A320F\nLIM-CUZ-LIM\nLA 2013 (08:40-10:00 hrs)\nLA 2014 (10:40-12:15 hrs)\nLCK A320F + Habilitación A320F\nLIM-CUZ-LIM\nLA 2028 (13:25-14:50 hrs)\nLA 2029 (15:30-17:10 hrs)","Chequeo DGAC B767\n- LIM-SCL\n- LA 2413 (12:05-15:35 hrs)\nChequeo DGAC B767\n- SCL-LIM\n- LA 2412 (17:00-20:50 hrs)","REUNIÓN INSTRUCTORES\nTARDE","DO","DO","LCK A320F\r\nLIM-AQP-LIM\r\nLA 2123 (09:15-10:50 hrs)\r\nLA 2124 (11:30-13:10 hrs)\r\nLCK A320F\r\nLIM-CJA-LIM\r\nLA 2295 (14:05-15:30 hrs)\r\nLA 2294 (16:10-17:15 hrs)","Reva de Servicio\n(08:30-17:30 hrs)\nDÍA 1\nTC","LCK A320F\nLIM-CUZ-LIM\nLA 2028 (13:25-14:50 hrs)\nLA 2029 (15:30-17:10 hrs)","Chequeo DGAC B767\n- LIM-SCL\n- LA 2413 (12:05-15:35 hrs)\nChequeo DGAC B767\n- SCL-LIM\n- LA 2412 (17:00-20:50 hrs)","RESERVA IET\nTARDE","DO","DO","LCK A320F\nLIM-PIU-LIM\nLA 2308 (13:00-14:45 hrs)\nLA 2309 (15:20-16:50 hrs)","Inicial G7\nTaller de Servicio\nDía 3","LCK A320F + Habilitación A320F*\nLIM-CUZ-LIM\nLA 2013 (08:40-10:00 hrs)\nLA 2014 (10:40-12:15 hrs)\nLCK A320F\nLIM-CUZ-LIM\nLA 2028 (13:25-14:50 hrs)\nLA 2029 (15:30-17:10 hrs)","Chequeo LATAM B767\n- LIM-SCL\n- LA 2413 (12:05-15:35 hrs)\nChequeo DGAC B767\n- SCL-LIM\n- LA 2412 (17:00-20:50 hrs)","DO","DO","DO","DO","LCK A320F + Habilitación A320F*\nLIM-CUZ-LIM\nLA 2013 (08:40-10:00 hrs)\nLA 2014 (10:40-12:15 hrs)\nLCK A320F\nLIM-IQT-LIM\nLA 2234 (13:35-15:30 hrs)\nLA 2235 (16:05-17:55 hrs)"],"bg":["#2f5496","#88e0b6","#ffc000","#ffc000","#ffc000","#ffffff","#ffffff","#e6b8af","#e6b8af","#f7caac","#ffc000","#ffffff","#ffffff","#ffffff","#f7caac","#2f5496","#f7caac","#ffc000","#d9d9d9","#ffffff","#ffffff","#f7caac","#6d9eeb","#f7caac","#ffc000","#ffffff","#ffffff","#ffffff","#ffffff","#f7caac"],"fg":["#ffffff","#000000","#000000","#000000","#000000","#000000","#000000","#000000","#000000","#000000","#000000","#000000","#000000","#000000","#000000","#ffffff","#000000","#000000","#000000","#000000","#000000","#000000","#000000","#000000","#000000","#000000","#000000","#000000","#000000","#000000"]},{"bp":"3750335","nombre":"Jefferson Mendez","dias":["Inicial G6 - Chequeo DGAC\nLIM-JUL-LIM\nLA2147 08:45-10:20\nLA2148 11:00-12:45","TTT REVA SVC 2026\nALUMNO","Inicial G7 Chequeo LATAM\nLIM-TCQ-LIM\nLA2067 13:45-15:40\nLA2068 16:20-18:15","Inicial G8","LCK A320F\r\nLIM-CUZ-LIM\r\nLA 2007 (09:10-10:35 hrs)\r\nLA 2008 (11:20-12:55 hrs)\r\nLCK A320F\r\nLIM-AQP-LIM\r\nLA 2055 (13:50-15:35 hrs)\r\nLA 2056 (16:10-17:50 hrs)","DO","DO","HO FILE","LCK A320F\nLIM-AQP-LIM\nLA 2055 (13:50-15:35 hrs)\nLA 2056 (16:10-17:50 hrs)","HO FILE\nPROCESO DE ASCENSO JSB","LCK A320F\r\nLIM-CUZ-LIM\r\nLA 2013 (08:40-10:00 hrs)\r\nLA 2014 (10:40-12:15 hrs)\r\nLCK A320F\r\nLIM-CUZ-LIM\r\nLA 2028 (13:25-14:50 hrs)\r\nLA 2029 (15:30-17:10 hrs)","REUNIÓN INSTRUCTORES","DO","DO","TALLER VOLUNTARIO DE SEGURIDAD","LCK A320F\r\nLIM-CUZ-LIM\r\nLA 2013 (08:40-10:00 hrs)\r\nLA 2014 (10:40-12:15 hrs)\r\nLCK A320F\r\nLIM-CUZ-LIM\r\nLA 2028 (13:25-14:50 hrs)\r\nLA 2029 (15:30-17:10 hrs)","Inicial G8\nVISITA GUIADA","Inicial G8\nVISITA GUIADA","LCK A320F\r\nLIM-CUZ-LIM\r\nLA 2013 (08:40-10:00 hrs)\r\nLA 2014 (10:40-12:15 hrs)\r\nLCK A320F\r\nLIM-CUZ-LIM\r\nLA 2028 (13:25-14:50 hrs)\r\nLA 2029 (15:30-17:10 hrs)","DO","DO","TALLER HIGH RANK TURNO AM","LCK A320F\nLIM-CUZ-LIM\nLA 2013 (08:40-10:00 hrs)\nLA 2014 (10:40-12:15 hrs)","Inicial G7\nTaller de Servicio\nDía 3","Reent A320 + Pasajero A320F\nLIM-AQP-LIM\nLA 2123 (09:15-10:50 hrs)\nLA 2124 (11:30-13:10 hrs)\nLCK A320F (VIGILANCIA DGAC)\nLIM-TPP-LIM\nLA 2087 (14:00-15:30 hrs)\nLA 2088 (16:05-17:30 hrs)","DO","DO","DO","DO","CURSO 50% - (RECA A320F)\nLIM-CUZ-LIM\nLA 2217 (07:30-08:50 hrs)\nLA 2218 (09:55-:11:30 hrs)\nLIM-AQP-LIM*\nLA 2043 (12:50-14:25 hrs)\nLA 2044 (15:00-16:40 hrs)"],"bg":["#b4a7d6","#88e0b6","#2f5496","#ff4b4f","#f7caac","#ffffff","#ffffff","#999999","#f7caac","#999999","#f7caac","#ffffff","#ffffff","#ffffff","#ffff00","#f7caac","#ff4b4f","#ff4b4f","#f7caac","#ffffff","#ffffff","#00ffff","#f7caac","#6d9eeb","#f7caac","#ffffff","#ffffff","#ffffff","#ffffff","#ffe599"],"fg":[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3852423","nombre":"Gabriela Ungaro","dias":["Inicial G6 - Chequeo DGAC\nLIM-AQP-LIM\nLA2123 09:15-10:50\nLA2124 11:30-13:10","TTT REVA SVC 2026\nALUMNO","Inicial G6 - Chequeo DGAC \nLIM-PIU-LIM\nLA2306 09:30-11:15\nLA2307 11:55-13:25","Inicial G7 Chequeo DGAC\nLIM-PIU-LIM\nLA2306 09:30-11:15\nLA2307 11:55-13:25","CURSO CRM IDE","DO","DO","TTT CRM 2026\nALUMNO","Inicial G8","HO FILE","CURSO INICIAL A320F \nINSPECTORA GONZALES","HO  PPT","DO","DO","Inicial G6\nGraduación","VACACIONES","VACACIONES","VACACIONES","VACACIONES","VACACIONES","VACACIONES","VACACIONES","CURSO 50%","CUMP","CUMP","CURSO 50%","DO","DO","","DO"],"bg":["#b4a7d6","#88e0b6","#b4a7d6","#2f5496","#ffff00","#ffffff","#ffffff","#ffc7ce","#ff4b4f","#999999","#d9ead3","#999999","#ffffff","#ffffff","#b4a7d6","#ffffcc","#ffffcc","#ffffcc","#ffffcc","#ffffcc","#ffffcc","#ffffcc","#ffe599","#ffc0cb","#ffc0cb","#ffe599","#ffffff","#ffffff","#ffffff","#ffffff"],"fg":["#000000",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]},{"bp":"2604360","nombre":"Mariella Carrasco","dias":["TTT CRM 2026\nALUMNO","Inicial G8","Inicial G8","Inicial G7 Chequeo DGAC\nLIM-AQP-LIM\nLA2123 09:15-10:50\nLA2124 11:30-13:10","CURSO CRM IDE","DO","DO","TALLER VOLUNTARIO DE SEGURIDAD","HO FILE\nREVISION DEL PIE","HO FILE\nREVISION DEL PIE","LCK A320F\nLIM-AQP-LIM\nLA 2123 (09:15-10:50 hrs)\nLA 2124 (11:30-13:10 hrs)\nLCK A320F + Habilitación A320F*\nLIM-TPP-LIM\nLA 2087 (14:00-15:30 hrs)\nLA 2088 (16:05-17:30 hrs)","(Pasajero)\n- LIM-SCL\n- LA 2413 (12:20-16:45 hrs)","HO \nPhotoshoot","(Pasajero)\n- SCL-LIM\n- LA 650 (07:50-10:45 hrs)","DO","DO","DO","DO","CURSO 50% \nDÍA 3","DO","DO","TALLER VOLUNTARIO DE SEGURIDAD","LCK A320F\r\nLIM-AQP-LIM\r\nLA 2123 (09:15-10:50 hrs)\r\nLA 2124 (11:30-13:10 hrs)\r\nLCK A320F\r\nLIM-TPP-LIM\r\nLA 2087 (14:00-15:30 hrs)\r\nLA 2088 (16:05-17:30 hrs)","TALLER DE SERVICIO TURNO AM","LCK A320F\nLIM-CUZ-LIM\nLA 2013 (08:40-10:00 hrs)\nLA 2014 (10:40-12:15 hrs)\nLCK A320F\nLIM-CUZ-LIM\nLA 2028 (13:25-14:50 hrs)\nLA 2029 (15:30-17:10 hrs)","Recalificación A320F  Hab A320F*\nLIM-CJA-LIM\nLA2299 (11:35-13:00 hrs)\nLA2298 (13:45-14:55 hrs)","DO","DO","DO","PREPARACIÓN IOSA 2026"],"bg":["#ffc7ce","#ff4b4f","#ff4b4f","#2f5496","#ffff00","#ffffff","#ffffff","#ffff00","#999999","#999999","#f7caac","#d0e0e3","#999999","#d0e0e3","#0000ff","#ffffff","#ffffff","#ffffff","#ffe599","#ffffff","#ffffff","#ffff00","#f7caac","#00ffff","#f7caac","#f7caac","#ffffff","#ffffff","#ffffff","#ffff00"],"fg":["#000000","#000000","#000000","#ffffff","#000000","#000000","#000000","#000000","#000000","#000000","#000000","#000000","#000000","#000000","#ffffff","#000000","#000000","#000000","#000000","#000000","#000000","#000000","#000000","#000000","#000000","#000000","#000000","#000000","#000000","#000000"]},{"bp":"2823133","nombre":"Cesar Campos","dias":["TTT CRM 2026\nINSTRUCTOR","Inicial G7 Chequeo LATAM\nLIM-JUL-LIM\nLA2147 08:45-10:20\nLA2148 11:00-12:45\nLIM-TRU-LIM\nLA2135 14:15-15:30\nLA2136 16:15-17:30","RTI: VIRTUAL\nA320F / B767\n(08:30-17:30 hrs)\nINS TITULAR","CURSO 50% \nDÍA 9","RTI: PRÁCTICA\nA320F / B767\n(08:30-17:30 hrs)\nINS TITULAR","DO","DO","Habilitación B767 (CCM)\n- LIM-ATL\n- LA 2482 (12:05-20:35 hrs)","Habilitación B767 (CCM)\n- ATL-LIM\n- LA 2483 (23:15-05:00 hrs)","Blanco","HO FILE","RTI: PRÁCTICA\nA320F / B767\n(08:30-17:30 hrs)\nINS APOYO","DO","DO","Inicial G8","VACACIONES","VACACIONES","VACACIONES","VACACIONES","VACACIONES","VACACIONES","VACACIONES","VACACIONES","VACACIONES","VACACIONES","VACACIONES","VACACIONES","VACACIONES","VACACIONES","VACACIONES"],"bg":["#ffc7ce","#2f5496","#cce0f4","#ffe599","#cce0f4","#ffffff","#ffffff","#ffc000","#ffc000","#ffc000","#999999","#cce0f4","#ffffff","#ffffff","#ff4b4f","#ffffcc","#ffffcc","#ffffcc","#ffffcc","#ffffcc","#ffffcc","#ffffcc","#ffffcc","#ffffcc","#ffffcc","#ffffcc","#ffffcc","#ffffcc","#ffffcc","#ffffcc"],"fg":["#000000","#ffffff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3189967","nombre":"Kevin Segovia","dias":["VACACIONES","VACACIONES","VACACIONES","VACACIONES","VACACIONES","VACACIONES","VACACIONES","TTT CRM 2026\nALUMNO","REVISION DEL PIE","Inicial G8","Inicial G8","RTI: PRÁCTICA\nA320F / B767\n(08:30-17:30 hrs)\nINS TITULAR","DO","DO","TTT REVA SVC 2026\nALUMNO","CURSO ESTANDARIZACIÓN","APTO MEDICO","RTI: PRÁCTICA\nA320F / B767\n(08:30-17:30 hrs)\nINS APOYO TM","Inicial G4\nTaller de Servicio\nDía 4","DO","DO","HO FILE","Reunión de Embajadores","CURSO 50%","TALLER HIGH RANK TURNO AM","HABILITACIÓN A320F (CST)\nLIM-CIX-LIM\nLA2274 (09:35-11:10 hrs)\nLA2274 (11:45-13:05 hrs)","DO","DO","DO","PREPARACIÓN IOSA 2026"],"bg":["#ffffcc","#ffffcc","#ffffcc","#ffffcc","#ffffcc","#ffffcc","#ffffcc","#ffc7ce","#999999","#ff4b4f","#ff4b4f","#cce0f4","#ffffff","#ffffff","#88e0b6","#ffff00","#999999","#cce0f4","#b4a7d6","#ffffff","#ffffff","#999999","#ffff00","#ffe599","#00ffff","#f4cccc","#ffffff","#ffffff","#ffffff","#ffff00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2415373","nombre":"Milagros Salas","dias":["TTT CRM 2026\nALUMNO","Inicial G7 Chequeo LATAM\nLIM-CUZ-LIM\nLA2013 08:40-10:00\nLA2014 10:40-12:15\nLIM-JUL-LIM\nLA2207 13:15-14:45\nLA2208 15:20-17:10","Inicial G7 Chequeo LATAM\nLIM-IQT-LIM\nLA2234 13:35-15:30\nLA2235 16:05-17:55","CURSO REFRESCO INSPECTOR\nA320F","RTI: PRÁCTICA\nA320F / B767\n(08:30-17:30 hrs)\nINS APOYO TM","DO","DO","TALLER VOLUNTARIO DE SEGURIDAD","RTI: VIRTUAL\nA320F / B767\n(08:30-17:30 hrs)\nINS TITULAR","RTI: VIRTUAL\nA320F / B767\n(08:30-17:30 hrs)\nINS TITULAR","RTI: PRÁCTICA\nA320F / B767\n(08:30-17:30 hrs)\nINS TITULAR","RTI: PRÁCTICA\nA320F / B767\n(08:30-17:30 hrs)\nINS APOYO TM","DO","DO","TTT REVA SVC 2026\nINSTRUCTOR","TTT REVA SVC 2026\nINSTRUCTOR","HB6\nCurso B767\n(08:30-17:30hrs)","RTI: PRÁCTICA\nA320F / B767\n(08:30-17:30 hrs)\nINS APOYO","HABILITACIÓN A320F (CCM)\nLIM-AQP-CUZ-AQP-LIM\nLA 2111 (11:40-13:15 hrs)\nLA 2321 (14:00-14:55 hrs)\nLA 2322 (15:40-16:45 hrs)\nLA 2110 (17:50-19:30 hrs)","DO","DO","HANDS ON B767","Inicial G8","CLASE DE SERVICIO CAE\nHO FILE","RTI: PRÁCTICA\nA320F / B767 / B787\n(08:30-17:30 hrs)\nINS APOYO","DO","DO","DO","DO","CURSO 50%"],"bg":["#ffc7ce","#2f5496","#2f5496","#d9ead3","#cce0f4","#ffffff","#ffffff","#ffff00","#cce0f4","#cce0f4","#cce0f4","#cce0f4","#ffffff","#ffffff","#88e0b6","#88e0b6","#a8d08d","#cce0f4","#f4cccc","#ffffff","#ffffff","#ffff00","#ff4b4f","#999999","#cce0f4","#0000ff","#ffffff","#ffffff","#ffffff","#ffe599"],"fg":["#000000","#ffffff","#ffffff","#000000","#000000","#000000","#000000","#000000","#000000","#000000","#000000","#000000","#000000","#000000","#000000","#000000","#000000","#000000","#000000","#000000","#000000","#000000","#000000","#000000","#000000","#ffffff","#000000","#000000","#000000","#000000"]},{"bp":"2440915","nombre":"Judith Fernandez","dias":["Inicial G6 - Chequeo Latam\nLIM-TPP-LIM\nLA2085 08:25-09:55\nLA2086 10:40-12:00\nLIM-AQP-LIM\nLA2043 12:50-14:25\nLA2044 15:00-16:40","Inicial G7 Chequeo LATAM\nLIM-IQT-LIM\nLA2234 13:35-15:30\nLA2235 16:05-17:55","Inicial G7 Chequeo LATAM\nLIM-AQP-LIM\nLA2411 11:40-13:15\nLA2410 14:00-15:45\nLIM-PIU-LIM\nLA2304 16:55-18:35\nLA2305 19:10-20:40","HO FILE TARDE","RTI: PRÁCTICA\nA320F / B767\n(08:30-17:30 hrs)\nINS APOYO","DO","DO","HO FILE","HO FILE\nPROCESO DE ASCENSO JSB","Inicial G6\nTaller de Servicio\nDía 2","RTI: PRÁCTICA\nA320F / B767\n(08:30-17:30 hrs)\nINS APOYO TM","Reva de Servicio\n(08:30-17:30 hrs)\nDÍA 1\nTC","DO","DO","TALLER VOLUNTARIO DE SEGURIDAD","HANDS ON B767","Inicial G7\nTaller de Servicio\nDía 1","Reva de Servicio\n(08:30-17:30 hrs)\nDÍA 1\nSVC 2\nJSB","TALLER DE SERVICIO TURNO AM","DO","DO","Inicial G6\nTaller de Servicio\nDía 5","Reva de Servicio\n(08:30-17:30 hrs)\nDÍA 1\nTC","REENT A320F (CURSO 50%) \nLIM-PIU-LIM\nLA 2306 (09:30-11:15 hrs)\nLA 2307 (11:55-13:25 hrs)","Inicial G7\nTaller de Servicio\nDía 4","DO","DO","DO","DO","HABILITACIÓN A320F (CCM)\nLIM-AQP-LIM\nLA 2119 (08:30-10:00 hrs)\nLA 2118 (10:55-12:35 hrs)\nLCK ALUMNO A320F (CCM)\nLIM-IQT-LIM\nLA 2234 (13:35-15:30 hrs)\nLA 2235 (16:05-17:55 hrs)"],"bg":["#b4a7d6","#2f5496","#2f5496","#999999","#cce0f4","#ffffff","#ffffff","#999999","#999999","#b4a7d6","#cce0f4","#2f5496","#ffffff","#ffffff","#ffff00","#ffff00","#6d9eeb","#2f5496","#00ffff","#ffffff","#ffffff","#b4a7d6","#2f5496","#ffe599","#6d9eeb","#ffffff","#ffffff","#ffffff","#ffffff","#f7caac"],"fg":["#000000","#ffffff","#ffffff","#000000","#000000","#000000","#000000","#000000","#000000","#000000","#000000","#ffffff","#000000","#000000","#000000","#000000","#000000","#ffffff","#000000","#000000","#000000","#000000","#ffffff","#000000","#000000","#000000","#000000","#000000","#000000","#000000"]},{"bp":"3796947","nombre":"Rafael Nieto","dias":["SICK","SICK","SICK","SICK","SICK","SICK","SICK","SICK","SICK","SICK","SICK","SICK","SICK","SICK","SICK","SICK","SICK","SICK","SICK","SICK","SICK","SICK","SICK","SICK","SICK","SICK","SICK","SICK","DO","SICK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Celiz","dias":["VACACIONES","VACACIONES","VACACIONES","VACACIONES","VACACIONES","VACACIONES","VACACIONES","TTT CRM 2026\nINSTRUCTOR","HABILITACIÓN A320F (CCM)\nLIM-UIO-LIM\nLA 2382 (08:45-11:05 hrs)\nLA 2383 (12:15-14:30 hrs)","TTT CRM 2026\nINSTRUCTOR","RTI: PRÁCTICA\nA320F / B767\n(08:30-17:30 hrs)\nINS APOYO","HO FILE\nPROCESO DE ASCENSO JSB","DO","DO","TTT REVA SVC 2026\nALUMNO","RTI: VIRTUAL\nA320F / B767\n(08:30-17:30 hrs)\nINS TITULAR","Reva de Servicio\n(08:30-17:30 hrs)\nDÍA 1\nTC","RTI: PRÁCTICA\nA320F / B767\n(08:30-17:30 hrs)\nINS TITULAR","Reva de Servicio\n(08:30-17:30 hrs)\nDÍA 1\nTC","DO","DO","TALLER VOLUNTARIO DE SEGURIDAD","HO FILE","HB6\nCurso B767\n(08:30-17:30hrs)","Reva de Servicio\n(08:30-17:30 hrs)\nDÍA 1\nTC","Reva de Servicio\n(08:30-17:30 hrs)\nDÍA 1\nTC","DO","DO","DO","Inicial G8"],"bg":["#ffffcc","#ffffcc","#ffffcc","#ffffcc","#ffffcc","#ffffcc","#ffffcc","#ffc7ce","#f4cccc","#ffc7ce","#cce0f4","#999999","#ffffff","#ffffff","#88e0b6","#cce0f4","#2f5496","#cce0f4","#2f5496","#ffffff","#ffffff","#ffff00","#999999","#a8d08d","#2f5496","#2f5496","#ffffff","#ffffff","#ffffff","#ff4b4f"],"fg":["#000000","#000000","#000000","#000000","#000000","#000000","#000000","#000000","#000000","#000000","#000000","#000000","#000000","#000000","#000000","#000000","#ffffff","#000000","#ffffff","#000000","#000000","#000000","#000000","#000000","#ffffff","#ffffff","#000000","#000000","#000000","#000000"]}]}</t>
  </si>
  <si>
    <t>{"mes":"2026-07","fuente":"07 - Rol Instructores LP JULIO","hoja":"JULIO","instructores":[{"bp":"2713993","nombre":"Fiorella Ruiz","dias":["PREPARACIÓN IOSA 2026","BAJADA TTT SVC (TC)","INSTRUCTOR\nCURSO INICIAL B787\n INSPECTOR DGAC","FDS","FDS","Auditoría de Carpetas Técnicas/ entrenamiento","LCK B787\n- LIM-SCL\n- LA 2697 (09:35-13:00 hrs)\nLCK B787\n- SCL-LIM\n- LA 2696 (16:00-19:45 hrs)","HO FILE PM","RTI: PRÁCTICA\nA320F / B767 / B787\n(08:30-17:30 hrs)\nINS APOYO TM B787","REUNIÓN INSTRUCTORES","FDS","FDS","HANDS ON B787","REENT 50% A320F + HAB A320F*\nLIM-CIX-LIM                                               LA 2274 (09:35-11:10 hrs)\nLA 2275 (11:45-13:05 hrs)","Inicial G8 Chequeo DGAC\n    LIM-AQP-LIM\nLA2119 08:30-10:00\nLA2118 10:55-12:30","HO FILE\nASCENSO JSB AM","CURSO REFRESCO IDE","FDS","FDS","VACACIONES","LCK B787\n- LIM-SCL\n- LA 2697 (09:35-13:00 hrs)\nLCK B787\n- SCL-LIM\n- LA 2696 (16:00-19:45 hrs)","HO FILE\nPM","FERIADO","LCK B767\n- LIM-SCL\n- LA 2413 (12:05-15:35 hrs)\nLCK B767\n- SCL-LIM\r\n- LA 2412 (17:00-20:50 hrs)","FDS","FDS","HO FILE","FERIADO","FERIADO","PREPARACIÓN IOSA 2026","PREPARACIÓN IOSA 2026"],"bg":["#ffff00","#9fc5e8","#d9ead3","#0000ff","#0000ff","#ffff00","#e88888","#999999","#cce0f4","#ffff00","#0000ff","#0000ff","#ffff00","#ffe599","#ff4b4f","#999999","#d5a6bd","#0000ff","#0000ff","#ffffcc","#e88888","#999999","#0000ff","#ffc000","#0000ff","#0000ff","#999999","#0000ff","#0000ff","#ffff00","#ffff00"],"fg":["#000000","#000000","#000000","#ffffff","#ffffff","#000000","#000000","#000000","#000000","#000000","#ffffff","#ffffff","#000000","#000000","#ffffff","#000000","#000000","#ffffff","#ffffff","#000000","#000000","#000000","#ffffff","#000000","#ffffff","#ffffff","#000000","#ffffff","#ffffff","#000000","#000000"]},{"bp":"2396710","nombre":"Sebastian Correa","dias":["HO FILE PM","BAJADA CRM","INSTRUCTOR\nCURSO REFRESCO B787\n INSPECTOR DGAC","FDS","FDS","HO FILE","BAJADA TTT SVC (TC)","LCK B787\n- LIM-SCL\n- LA 2697 (09:35-13:00 hrs)\nLCK B787\n- SCL-LIM\n- LA 2696 (16:00-19:45 hrs)","HO FILE PM","REUNIÓN INSTRUCTORES","FDS","FDS","LCK B787\n- LIM-SCL\n- LA 2697 (09:35-13:00 hrs)\nLCK B787\n- SCL-LIM\n- LA 2696 (16:00-19:45 hrs)","RESERVA IET\nTARDE","Blanco","LCK B767\n- LIM-MIA\n- LA 2480 (00:15-06:20 hrs)","Reentrenamiento B767*\n- MIA-LIM\n- LA 2481 (15:55-21:40 hrs)","FDS","FDS","LCK B787\n- LIM-SCL\n- LA 2697 (09:35-13:00 hrs)\nLCK B787\n- SCL-LIM\n- LA 2696 (16:00-19:45 hrs)","Reent A320F + Pasajero A320F\nLIM-TPP-LIM\nLA 2301 (15:40-17:10 hrs)\nLA 2300 (17:50-19:15 hrs)","CURSO 50% \nDÍA 5","FERIADO","RTI: PRÁCTICA\nA320F / B767\n(08:30-17:30 hrs)\nINS APOYO TM A320F","FDS","FDS","LCK B787\n- LIM-SCL\n- LA 2697 (09:35-13:00 hrs)\nLCK B787\n- SCL-LIM\n- LA 2696 (16:00-19:45 hrs)","FERIADO","FERIADO","Chequeo DGAC B767\n- LIM-SCL\n- LA 2413 (12:05-15:35 hrs)\nHabilitación B767*\n- SCL-LIM\n- LA 2412 (17:00-20:50 hrs)","HO FILE\nTARDE"],"bg":["#999999","#ffd966","#d9ead3","#0000ff","#0000ff","#999999","#9fc5e8","#e88888","#999999","#ffff00","#0000ff","#0000ff","#e88888","#d9d9d9","#ffc000","#ffc000","#ffc000","#0000ff","#0000ff","#e88888","#f7caac","#ffe599","#0000ff","#cce0f4","#0000ff","#0000ff","#e88888","#0000ff","#0000ff","#ffc000","#999999"],"fg":["#000000","#000000","#000000","#ffffff","#ffffff","#000000","#000000","#000000","#000000","#000000","#ffffff","#ffffff","#000000","#000000","#000000","#000000","#000000","#ffffff","#ffffff","#000000","#000000","#000000","#ffffff","#000000","#ffffff","#ffffff","#000000","#ffffff","#ffffff","#000000","#000000"]},{"bp":"1271571","nombre":"Christian Rondon","dias":["HO FILE","HO FILE\nENTREVISTAS","RTI: PRÁCTICA\nA320F / B767 / B787\n(08:30-17:30 hrs)\nINS APOYO TM A320F","FDS","FDS","RTI: PRÁCTICA CPL\nA320F\n(08:30-17:30 hrs)\nINS TITULAR","BAJADA TTT SVC (TC)","HO FILE","Recalifcación B787\n- LIM-SCL\n- LA 2697 (09:35-13:00 hrs)\nHabilitación B787*\n- SCL-LIM\n- LA 2696 (16:00-19:45 hrs)","REUNIÓN INSTRUCTORES","FDS","FDS","HO FILE","LCK A320F\nLIM-CUZ-LIM\nLA 2028 (13:25-14:50 hrs)\nLA 2029 (15:30-17:05 hrs)","HO  FILE\nADM","Habilitación B767*\n- LIM-SCL\n- LA 2413 (12:05-15:35 hrs)\nLCK B767\n- SCL-LIM\n- LA 2412 (17:00-20:50 hrs)","HO FILE\nTARDE","FDS","FDS","HB6\nCurso B767\n(08:30-17:30hrs)","HB6\nCurso B767\n(08:30-17:30hrs)","ADMINISTRATIVO: OFICINA","FERIADO","BACK UP JORGE BODERO","FDS","FDS","BACK UP JORGE BODERO","FERIADO","FERIADO","LCK A320F\nLIM-CUZ-LIM\nLA 2013 (08:40-10:00 hrs)\nLA 2014 (10:40-12:15 hrs)\nLCK A320F\nLIM-TPP-LIM\nLA 2087 (14:00-15:30 hrs)\nLA 2088 (16:10-17:35 hrs)","HB6\nCurso B767\n(08:30-17:30hrs)"],"bg":["#999999","#999999","#cce0f4","#0000ff","#0000ff","#cce0f4","#9fc5e8","#999999","#e88888","#ffff00","#0000ff","#0000ff","#999999","#f7caac","#999999","#ffc000","#999999","#0000ff","#0000ff","#a8d08d","#a8d08d","#999999","#0000ff","#ffffff","#0000ff","#0000ff","#ffffff","#0000ff","#0000ff","#f7caac","#a8d08d"],"fg":["#000000","#000000","#000000","#ffffff","#ffffff","#000000","#000000","#000000","#000000","#000000","#ffffff","#ffffff","#000000","#000000","#000000","#000000","#000000","#ffffff","#ffffff","#000000","#000000","#000000","#ffffff","#000000","#ffffff","#ffffff","#000000","#ffffff","#ffffff","#000000","#000000"]},{"bp":"2843319","nombre":"Karen Santa Cruz","dias":["PREPARACIÓN IOSA 2026","BAJADA CRM","Habilitación B787 (CST)\n- LIM-SCL\n- LA 2697 (09:35-13:00 hrs)\nHabilitación B787 (CST)\n- SCL-LIM\n- LA 2696 (16:00-19:45 hrs)","DO","DO","Vuelo Auditoría\n- LIM-LAX\n- LA 2476 (12:00-21:00 hrs)","Vuelo Auditoría\n- LAX-LIM\n- LA 2477 (23:30-08:05 hrs)","Blanco","BAJADA TTT SVC (JSB)","REUNIÓN INSTRUCTORES","DO","DO","Habilitación B787 (CST)\n- LIM-SCL\n- LA 2697 (09:35-13:00 hrs)\nHabilitación B787 (CST)\n- SCL-LIM\n- LA 2696 (16:00-19:45 hrs)","HO FILE\nTARDE","LCK A320F + HAB A320F*\nLIM-CIX-LIM\n2312/2313","Chequeo DGAC B767\n- LIM-SCL\n- LA 2413 (12:05-15:35 hrs)\nChequeo DGAC B767\n- SCL-LIM\n- LA 2412 (17:00-20:50 hrs)","HO FILE\nTARDE","DO","DO","VACACIONES","VACACIONES","VACACIONES","VACACIONES","VACACIONES","VACACIONES","VACACIONES","VACACIONES","VACACIONES","VACACIONES","VACACIONES","VACACIONES"],"bg":["#ffff00","#ffd966","#e88888","#ffffff","#ffffff","#f6b26b","#f6b26b","#f6b26b","#b6d7a8","#ffff00","#ffffff","#ffffff","#e88888","#999999","#f7caac","#ffc000","#999999","#ffffff","#ffffff","#ffffcc","#ffffcc","#ffffcc","#ffffcc","#ffffcc","#ffffcc","#ffffcc","#ffffcc","#ffffcc","#ffffcc","#ffffcc","#ffff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Acurio","dias":["HO FILE PM","BAJADA CRM","Habilitación B787 (CST)\n- LIM-SCL\n- LA 2697 (09:35-13:00 hrs)\nHabilitación B787 (CST)\n- SCL-LIM\n- LA 2696 (16:00-19:45 hrs)","DO","DO","LCK A320F + Habilitación A320F*\nLIM-CUZ-LIM\nLA 2028 (13:25-14:50 hrs)\nLA 2029 (15:30-17:05 hrs)","Blanco","LCK B767\n- LIM-MIA\n- LA 2480 (00:15-06:20 hrs)","Habilitación B767*\n- MIA-LIM\n- LA 2695 (16:10-22:00 hrs)","REUNIÓN INSTRUCTORES\nTARDE","DO","DO","Blanco","LCK B767\n- LIM-MIA\n- LA 2480 (00:15-06:20 hrs)","Chequeo LATAM B767\n- MIA-LIM\n- LA 2481 (15:55-21:40 hrs)","HO FILE\nTARDE","Inicial G8\nTaller de Servicio\nDía 2","DO","DO","Renovación IDE B767\n- LIM-MIA\n- LA 2698 (08:15-14:20 hrs)","Renovación IDE B767\n- MIA-LIM\n- LA 2695 (16:10-22:00 hrs)","HO FILE\nPM","DO","DO","DO","DO","HO FILE","DO","DO","LCK B767\n- LIM-SCL\n- LA 2413 (12:05-15:35 hrs)\nLCK B767\n- SCL-LIM\r\n- LA 2412 (17:00-20:50 hrs)","HO FILE\nTARDE"],"bg":["#999999","#ffd966","#e88888","#ffffff","#ffffff","#f7caac","#ffc000","#ffc000","#ffc000","#ffff00","#ffffff","#ffffff","#ffc000","#ffc000","#ffc000","#999999","#ff4b4f","#ffffff","#ffffff","#ffc000","#ffc000","#999999","#ffffff","#ffffff","#ffffff","#ffffff","#999999","#ffffff","#ffffff","#ffc000","#999999"],"fg":["#000000","#000000","#000000","#000000","#000000","#000000","#000000","#000000","#000000","#000000","#000000","#000000","#000000","#000000","#000000","#000000","#ffffff","#000000","#000000","#000000","#000000","#000000","#000000","#000000","#000000","#000000","#000000","#000000","#000000","#000000","#000000"]},{"bp":"29530","nombre":"Jazmin Guerra","dias":["Reentrenamiento A320F (Alumna)\nLIM-CIX-LIM\nLA2274 (09:35-11:10 hrs)\nLA2275 (11:45-13:05 hrs)","BAJADA CRM","Reent A320F + Pasajero A320F\nLIM-CIX-LIM\nLA2274 (09:35-11:10 hrs)\nLA2275 (11:45-13:05 hrs)","DO","DO","RTI: PRÁCTICA CPL\nA320F\n(08:30-17:30 hrs)\nINS APOYO","LCK A320F\r\nLIM-CUZ-LIM\r\nLA 2013 (08:40-10:00 hrs)\r\nLA 2014 (10:40-12:15 hrs)\r\nLCK A320F\r\nLIM-CUZ-LIM\r\nLA 2028 (13:25-14:50 hrs)\r\nLA 2029 (15:30-17:05 hrs)","HO FILE","LCK A320F\nLIM-CUZ-LIM\nLA 2007 (09:10-10:35 hrs)\nLA 2008 (11:20-12:55 hrs)","REUNIÓN INSTRUCTORES","DO","DO","LCK A320F\nLIM-CUZ-LIM\nLA 2013 (08:40-10:00 hrs)\nLA 2014 (10:40-12:15 hrs)","LCK A320F ALUMNO (CC)\nLIM-PIU-LIM\nLA2308 (13:00-14:45 hrs)\nLA2309 (15:25-16:55 hrs)","Habilitación B767 (CCM)\n- LIM-ATL\n- LA 2482 (12:05-20:35 hrs)","Habilitación B767 (CCM)\n- ATL-LIM\n- LA 2483 (23:15-05:00 hrs)","Blanco","DO","DO","TALLER VOLUNTARIO DE SEGURIDAD","LCK A320F\nLIM-CUZ-LIM\nLA 2013 (08:40-10:00 hrs)\nLA 2014 (10:40-12:15 hrs)","Inicial G8\nTaller de Servicio\nDía 5","DO","DO","DO","DO","TALLER VOLUNTARIO DE SEGURIDAD","DO","DO","Reva de Servicio\n(08:30-17:30 hrs)\nDÍA 1\nSVC DE JSBS","LCK B767\n- LIM-SCL\n- LA 2413 (12:05-15:35 hrs)\nLCK B767\n- SCL-LIM\r\n- LA 2412 (17:00-20:50 hrs)"],"bg":["#f7caac","#ffd966","#f7caac","#ffffff","#ffffff","#cce0f4","#f7caac","#999999","#f7caac","#ffff00","#ffffff","#ffffff","#f7caac","#f7caac","#ffc000","#ffc000","#ffc000","#ffffff","#ffffff","#ffff00","#f7caac","#ff4b4f","#ffffff","#ffffff","#ffffff","#ffffff","#ffff00","#ffffff","#ffffff","#2f5496","#ffc000"],"fg":["#000000","#000000","#000000","#000000","#000000","#000000","#000000","#000000","#000000","#000000","#000000","#000000","#000000","#000000","#000000","#000000","#000000","#000000","#000000","#000000","#000000","#ffffff","#000000","#000000","#000000","#000000","#000000","#000000","#000000","#ffffff","#000000"]},{"bp":"3217561","nombre":"Claudia Flores","dias":["PREPARACIÓN IOSA 2026","BAJADA TTT SVC (TC)","AUDITORÍA PRO CAB","DO","DO","LCK B767\n- LIM-MIA\n- LA 2694 (13:30-19:35 hrs)","Chequeo LATAM B767\n- MIA-LIM\n- LA 2699 (23:15-05:00 hrs)","Blanco","BAJADA TTT SVC (JSB)","REUNIÓN INSTRUCTORES","DO","DO","HO FILE","Habilitación B787 (CST)\n- LIM-SCL\n- LA 2697 (09:35-13:00 hrs)\nHabilitación B787 (CST)\n- SCL-LIM\n- LA 2696 (16:00-19:45 hrs)","RESERVA IET\nTARDE","Inicial G8 Chequeo LATAM\n    LIM-TBPLIM\nLA2052 10:15-12:15\nLA2051 12:55-14:35","Chequeo LATAM B767 + Reentrenamiento B767\n- LIM-SCL\n- LA 2413 (12:05-15:35 hrs)\nChequeo DGAC B767*\n- SCL-LIM\n- LA 2412 (17:00-20:50 hrs)","DO","DO","Renovación IDE B767\n- LIM-MIA\n- LA 2698 (08:15-14:20 hrs)","Renovación IDE B767\n- MIA-LIM\n- LA 2695 (16:10-22:00 hrs)","HO FILE\nPM","DO","DO","DO","DO","HO FILE","DO","DO","PREPARACIÓN IOSA 2026","PREPARACIÓN IOSA 2026"],"bg":["#ffff00","#9fc5e8","#ffff00","#ffffff","#ffffff","#ffc000","#ffc000","#ffc000","#b6d7a8","#ffff00","#ffffff","#ffffff","#999999","#e88888","#d9d9d9","#ff4b4f","#ffc000","#ffffff","#ffffff","#ffc000","#ffc000","#999999","#ffffff","#ffffff","#ffffff","#ffffff","#999999","#ffffff","#ffffff","#ffff00","#ffff00"],"fg":["#000000","#000000","#000000","#000000","#000000","#000000","#000000","#000000","#000000","#000000","#000000","#000000","#000000","#000000","#000000","#ffffff","#000000","#000000","#000000","#000000","#000000","#000000","#000000","#000000","#000000","#000000","#000000","#000000","#000000","#000000","#000000"]},{"bp":"71348","nombre":"Karla Moz","dias":["LP","LP","LP","DO","DO","LP","LP","LP","LP","REUNIÓN INSTRUCTORES","DO","DO","LP","LP","LP","LP","LP","DO","DO","LP","LP","LP","DO","LP","DO","DO","LP","DO","DO","LP","LP"],"bg":["#ffffff","#ffffff","#ffffff","#ffffff","#ffffff","#ffffff","#ffffff","#ffffff","#ffffff","#ffff00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Dávila","dias":["RTI: VIRTUAL\nA320F / B767 / B787\n(08:30-17:30 hrs)\nINS TITULAR","RTI: PRÁCTICA\nA320F / B767 / B787\n(08:30-17:30 hrs)\nINS TITULAR","RTI: PRÁCTICA\nA320F / B767 / B787\n(08:30-17:30 hrs)\nINS TITULAR","DO","DO","RTI","RTI: VIRTUAL\nA320F / B767 / B787\n(08:30-17:30 hrs)\nINS TITULAR\n*Se habilita","RTI: PRÁCTICA\nA320F / B767 / B787\n(08:30-17:30 hrs)\nINS TITULAR\n*Se habilita","Habilitación B787 (CCM)\n- LIM-SCL\n- LA 2697 (09:35-13:00 hrs)\nHabilitación B787 (CCM)\n- SCL-LIM\n- LA 2696 (16:00-19:45 hrs)","REUNIÓN INSTRUCTORES\nTARDE","DO","DO","TALLER VOLUNTARIO DE SEGURIDAD","CURSO 50% \nDÍA 1","CURSO 50% \nDÍA 2","RTI: PRÁCTICA\nA320F / B767\n(08:30-17:30 hrs)\nINS TITULAR\n*Se habilita","RTI","DO","DO","HO FILE","Inicial G8\nTaller de Servicio\nDía 4","HO FILE","DO","Reva de Servicio\n(08:30-17:30 hrs)\nDÍA 1\nTC","DO","DO","DO","DO","DO","Reva de Servicio\n(08:30-17:30 hrs)\nDÍA 1\nSVC DE TCS","Reva de Servicio\n(08:30-17:30 hrs)\nDÍA 1\nSVC 1 DE TCS"],"bg":["#cce0f4","#cce0f4","#cce0f4","#ffffff","#ffffff","#ffffff","#cce0f4","#cce0f4","#e88888","#ffff00","#ffffff","#ffffff","#ffff00","#ffe599","#ffe599","#cce0f4","#ffffff","#ffffff","#ffffff","#999999","#ff4b4f","#999999","#ffffff","#2f5496","#ffffff","#ffffff","#ffffff","#ffffff","#ffffff","#2f5496","#2f5496"],"fg":["#000000","#000000","#000000","#000000","#000000","#000000","#000000","#000000","#000000","#000000","#000000","#000000","#000000","#000000","#000000","#000000","#000000","#000000","#000000","#000000","#ffffff","#000000","#000000","#ffffff","#000000","#000000","#000000","#000000","#000000","#ffffff","#ffffff"]},{"bp":"2369641","nombre":"Elizabeth Torres","dias":["Reent A320F + Pasajero A320F\nLIM-CIX-LIM\nLA2274 (09:35-11:10 hrs)\nLA2275 (11:45-13:05 hrs)","HO FILE\nENTREVISTAS","LCK A320F\nLIM-CUZ-LIM\nLA 2013 (08:40-10:00 hrs)\nLA 2014 (10:40-12:15 hrs)\nLCK A320F + Habilitación A320F*\nLIM-CUZ-LIM\nLA 2028 (13:25-14:50 hrs)\nLA 2029 (15:30-17:05 hrs)","DO","DO","LCK A320F\nLIM-TPP-LIM\nLA 2087 (14:00-15:30 hrs)\nLA 2088 (16:10-17:35 hrs)","INSTRUCTOR\nCURSO INICIAL B767\n INSPECTOR DGAC","LCK A320F\r\nLIM-AQP-LIM\r\nLA 2123 (09:15-10:50 hrs)\r\nLA 2124 (11:35-13:10 hrs)\r\nLCK A320F\r\nLIM-CJA-LIM\r\nLA 2295 (14:05-15:30 hrs)\r\nLA 2294 (16:10-17:15 hrs)","BAJADA TTT SVC (JSB)\nINS","REUNIÓN INSTRUCTORES","DO","DO","Inicial G8 Chequeo LATAM\n    LIM-TCQ-LIM\nLA2245 08:15-10:05\nLA2244 10:45-12:40","HO FILE\nASCENSO JSB AM","HO FILE","RECA 50% A320F + DGAC G8\n(Vigilancia DGAC)\nLIM-CUZ-LIM\nLA 2013 (08:40-10:00 hrs)\nLA 2014 (10:40-12:15 hrs)\nRecalificación A320F\nLIM-CUZ-LIM\nLA 2028 (13:25-14:50 hrs)\nLA 2029 (15:30-17:05 hrs)","Reva de Servicio\n(08:30-17:30 hrs)\nDÍA 1\nTC","DO","DO","LCK A320F\r\nLIM-CUZ-LIM\r\nLA 2013 (08:40-10:00 hrs)\r\nLA 2014 (10:40-12:15 hrs)\r\nLCK A320F\r\nLIM-CUZ-LIM\r\nLA 2028 (13:25-14:50 hrs)\r\nLA 2029 (15:30-17:05 hrs)","Recalificación B767 \n(Avión Energizado)","LCK A320F\r\nLIM-CUZ-LIM\r\nLA 2013 (08:40-10:00 hrs)\r\nLA 2014 (10:40-12:15 hrs)\r\nLCK A320F\r\nLIM-CUZ-LIM\r\nLA 2028 (13:25-14:50 hrs)\r\nLA 2029 (15:30-17:05 hrs)","DO","DO","DO","DO","Curso Estandarización","DO","DO","Reent A320F + Habilitación A320F*\nLIM-CUZ-LIM\nLA 2007 (09:10-10:35 hrs)\nLA 2008 (11:20-12:55 hrs)","CURSO 50%"],"bg":["#f7caac","#999999","#f7caac","#ffffff","#ffffff","#f7caac","#d9ead3","#f7caac","#b6d7a8","#ffff00","#ffffff","#ffffff","#ff4b4f","#999999","#999999","#f7caac","#2f5496","#ffffff","#ffffff","#f7caac","#ffc000","#f7caac","#ffffff","#ffffff","#ffffff","#ffffff","#ffff00","#ffffff","#ffffff","#f7caac","#ffe599"],"fg":["#000000","#000000","#000000","#000000","#000000","#000000","#000000","#000000","#000000","#000000","#000000","#000000","#ffffff","#000000","#000000","#000000","#ffffff","#000000","#000000","#000000","#000000","#000000","#000000","#000000","#000000","#000000","#000000","#000000","#000000","#000000","#000000"]},{"bp":"2369624","nombre":"Patricia Najar","dias":["PREPARACIÓN IOSA 2026","HO FILE","HO FILE","DO","DO","Situaciones de Emergencia A320F\nTripulación de Mando\nLP\n(08:30-17:30 hrs)","BAJADA TTT SVC (TC)","HO FILE","HO FILE","REUNIÓN INSTRUCTORES","DO","DO","Inicial G8 Chequeo LATAM\n    LIM-TPP-LIM\nLA2085 08:25-09:55\nLA2086 10:40-12:00\nLIM-AQP-LIM\nLA2043 12:50-14:25\nLA2044 15:00-16:35","Inicial G8 Chequeo LATAM\n    LIM-TCQ-LIM\nLA2245 13:45-15:40\nLA2244 16:20-18:15","Inicial G8                                                    Chequeo DGAC + HAB A320F*\n    LIM-TPP-LIM\nLA2087 14:00-15:30\nLA2088 16:10-17:35","LCK ALUMNO B767 (CCM)\n- LIM-SCL\n- LA 2413 (12:05-15:35 hrs)\nLCK ALUMNO B767 (CCM)\n- SCL-LIM\n- LA 2412 (17:00-20:50 hrs)","CURSO 50% PM\nDÍA 3","DO","DO","Inicial G8\nTaller de Servicio\nDía 3","Reva de Servicio\n(08:30-17:30 hrs)\nDÍA 1\nTC","REU EMBAJADORES","DO","DO","DO","DO","Inicial G8\nTaller de Servicio\nRRVV","DO","DO","PREPARACIÓN IOSA 2026","PREPARACIÓN IOSA 2026"],"bg":["#ffff00","#999999","#999999","#ffffff","#ffffff","#ff4b4f","#9fc5e8","#999999","#999999","#ffff00","#ffffff","#ffffff","#ff4b4f","#ff4b4f","#ff4b4f","#ffc000","#ffe599","#ffffff","#ffffff","#ff4b4f","#2f5496","#ffff00","#ffffff","#ffffff","#ffffff","#ffffff","#ff4b4f","#ffffff","#ffffff","#ffff00","#ffff00"],"fg":["#000000","#000000","#000000","#000000","#000000","#ffffff","#000000","#000000","#000000","#000000","#000000","#000000","#ffffff","#ffffff","#ffffff","#000000","#000000","#000000","#000000","#ffffff","#ffffff","#000000","#000000","#000000","#000000","#000000","#ffffff","#000000","#000000","#000000","#000000"]},{"bp":"3134911","nombre":"Javier Zapata","dias":["HO FILE","BAJADA CRM","LCK B767\n- LIM-SCL\n- LA 2413 (12:20-15:45 hrs)\nLCK B767\n- SCL-LIM\n- LA 2412 (17:10-20:50 hrs)","DO","DO","LCK B767\n- LIM-MIA\n- LA 2698 (08:15-14:20 hrs)","LCK B767\n- MIA-LIM\n- LA 2695 (16:10-22:00 hrs)","HO FILE PM","HABILITACIÓN A320F (CCM)\nLIM-UIO-LIM\nLA 2382 (08:45-11:05 hrs)\nLA 2383 (12:15-14:30 hrs)","REUNIÓN INSTRUCTORES","DO","DO","HANDS ON B767","HO FILE","Reva de Servicio\n(08:30-17:30 hrs)\nDÍA 1\nTC","Reva de Servicio\n(08:30-17:30 hrs)\nDÍA 1\nTC","LCK B767\n- LIM-SCL\n- LA 2413 (12:05-15:35 hrs)\nLCK B767\n- SCL-LIM\r\n- LA 2412 (17:00-20:50 hrs)","DO","DO","LCK B767\n- LIM-MIA\n- LA 2694 (13:30-19:35 hrs)","Reentrenamiento B767\n- MIA-LIM\n- LA 2699 (23:15-05:00 hrs)","Blanco","DO","DO","DO","DO","HO FILE","DO","DO","BAJADA TTT SVC (TC)\nINSTRUCTOR","Reva de Servicio\n(08:30-17:30 hrs)\nDÍA 1\nSVC 2 DE TCS"],"bg":["#999999","#ffd966","#ffc000","#ffffff","#ffffff","#ffc000","#ffc000","#999999","#f4cccc","#ffff00","#ffffff","#ffffff","#ffff00","#999999","#2f5496","#2f5496","#ffc000","#ffffff","#ffffff","#ffc000","#ffc000","#ffc000","#ffffff","#ffffff","#ffffff","#ffffff","#999999","#ffffff","#ffffff","#9fc5e8","#2f5496"],"fg":["#000000","#000000","#000000","#000000","#000000","#000000","#000000","#000000","#000000","#000000","#000000","#000000","#000000","#000000","#ffffff","#ffffff","#000000","#000000","#000000","#000000","#000000","#000000","#000000","#000000","#000000","#000000","#000000","#000000","#000000","#000000","#ffffff"]},{"bp":"3750335","nombre":"Jefferson Mendez","dias":["Inicial G8","BAJADA CRM","HO FILE","DO","DO","Blanco","LCK B767\n- LIM-MIA\n- LA 2480 (00:15-06:20 hrs)","Habilitación B767*\n- MIA-LIM\n- LA 2481 (15:55-21:40 hrs)","HO FILE PM","REUNIÓN INSTRUCTORES","DO","DO","HO FILE","Blanco","LCK B767\n- LIM-MIA\n- LA 2480 (00:15-06:20 hrs)","Chequeo LATAM B767\n- MIA-LIM\n- LA 2695 (16:10-22:00 hrs)","HO FILE\nTARDE","DO","DO","Blanco","LCK B767\n- LIM-MIA\n- LA 2480 (00:15-06:20 hrs)","Pasajero B767*\n- MIA-LIM\n- LA 2481 (15:55-21:40 hrs)","DO","DO","DO","DO","Hab A320F (CST) + Pasajero A320F\nLIM-CUZ-LIM\nLA 2028 (13:25-14:50 hrs)\nLA 2029 (15:30-17:05 hrs)","DO","DO","BAJADA TTT SVC (TC)","HO FILE"],"bg":["#ff4b4f","#ffd966","#999999","#ffffff","#ffffff","#ffc000","#ffc000","#ffc000","#999999","#ffff00","#ffffff","#ffffff","#999999","#ffc000","#ffc000","#ffc000","#999999","#ffffff","#ffffff","#ffc000","#ffc000","#ffc000","#ffffff","#ffffff","#ffffff","#ffffff","#f7caac","#ffffff","#ffffff","#9fc5e8","#999999"],"fg":["#ffffff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3852423","nombre":"Gabriela Ungaro","dias":["Blanco","LCK B767\n- LIM-MIA\n- LA 2480 (00:15-06:20 hrs)","Habilitación 767*\n- MIA-LIM\n- LA 2481 (15:55-21:40 hrs)","DO","DO","HO FILE","BAJADA TTT SVC (TC)","HO FILE","RTI: PRÁCTICA\nA320F / B767 / B787\n(08:30-17:30 hrs)\nINS APOYO","REUNIÓN INSTRUCTORES","DO","DO","LCK B767\n- LIM-MIA\n- LA 2694 (13:30-19:35 hrs)","Habilitación B767*\n- MIA-LIM\n- LA 2695 (16:10-22:00 hrs)","LCK A320F ALUMNA (CC)\nLIM-CIX-LIM\n2312/2313","RTI: PRÁCTICA\nA320F / B767\n(08:30-17:30 hrs)\nINS APOYO TM B767","CURSO REFRESCO IDE","DO","DO","HABILITACIÓN A320F (CCM)\nLIM-CUZ-AQP-LIM\nLA 2005 (06:00-07:20 hrs)\nLA 2328 (08:00-09:05 hrs)\nLA 2104 (09:45-11:20 hrs)","Reva de Servicio\n(08:30-17:30 hrs)\nDÍA 1\nSVC DE JSBS","RTI: PRÁCTICA\nA320F / B767\n(08:30-17:30 hrs)\nINS TITULAR","DO","DO","DO","DO","CURSO 50%","DO","DO","ACOMPAÑAMIENTO DE SERVICIO \nLIM-CUZ-PEM-CUZ-LIM\nLA 2077 (09:45-11:10 hrs)\nLA 2358 (11:50-12:45 hrs)\nLA 2359 (13:25-14:10 hrs)\nLA 2029 (15:30-17:05 hrs)","LCK ALUMNO B767 (CCM)\n- LIM-SCL\n- LA 2413 (12:05-15:35 hrs)\nLCK ALUMNO B767 (CCM)\n- SCL-LIM\n- LA 2412 (17:00-20:50 hrs)"],"bg":["#ffc000","#ffc000","#ffc000","#ffffff","#ffffff","#999999","#9fc5e8","#999999","#cce0f4","#ffff00","#ffffff","#ffffff","#ffc000","#ffc000","#f7caac","#cce0f4","#d5a6bd","#ffffff","#ffffff","#f4cccc","#2f5496","#cce0f4","#ffffff","#ffffff","#ffffff","#ffffff","#ffe599","#ffffff","#ffffff","#f7caac","#ffc000"],"fg":["#000000","#000000","#000000","#000000","#000000","#000000","#000000","#000000","#000000","#000000","#000000","#000000","#000000","#000000","#000000","#000000","#000000","#000000","#000000","#000000","#ffffff","#000000","#000000","#000000","#000000","#000000","#000000","#000000","#000000","#000000","#000000"]},{"bp":"2604360","nombre":"Mariella Carrasco","dias":["PREPARACIÓN IOSA 2026","HO FILE","BAJADA TTT SVC (JSB)","DO","DO","RTI","RTI\n*Alumna*","RTI","RTI: PRÁCTICA\nA320F / B767 / B787\n(08:30-17:30 hrs)\nINS TITULAR\n*Se habilita","REUNIÓN INSTRUCTORES","DO","DO","LCK B767\n- LIM-MIA\n- LA 2698 (08:15-14:20 hrs)","Reentrenamiento B767\n- MIA-LIM\n- LA 2699 (23:15-05:00 hrs)","Blanco","HABILITACIÓN A320F (CCM)\nLIM-CUZ-AQP-LIM\nLA 2005 (06:00-07:20 hrs)\nLA 2328 (08:00-09:05 hrs)\nLA 2104 (09:45-11:20 hrs)","CURSO REFRESCO IDE","DO","DO","LCK B767 (Vigilancia DGAC - LE)\n- LIM-MIA\n- LA 2698 (08:15-14:20 hrs)","Habilitación B767\n- MIA-LIM\n- LA 2695 (16:10-22:00 hrs)","HO FILE\nPM","DO","RTI: PRÁCTICA\nA320F / B767\n(08:30-17:30 hrs)\nINS APOYO","DO","DO","DO","DO","DO","PREPARACIÓN IOSA 2026","PREPARACIÓN IOSA 2026"],"bg":["#ffff00","#999999","#b6d7a8","#ffffff","#ffffff","#ffffff","#ffffff","#ffffff","#cce0f4","#ffff00","#ffffff","#ffffff","#ffc000","#ffc000","#ffc000","#f4cccc","#d5a6bd","#ffffff","#ffffff","#ffc000","#ffc000","#999999","#ffffff","#cce0f4","#ffffff","#ffffff","#ffffff","#ffffff","#ffffff","#ffff00","#ffff00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2823133","nombre":"Cesar Campos","dias":["VACACIONES","VACACIONES","VACACIONES","VACACIONES","VACACIONES","VACACIONES","VACACIONES","VACACIONES","VACACIONES","VACACIONES","VACACIONES","VACACIONES","VACACIONES","VACACIONES","VACACIONES","CUMP.","RTI: PRÁCTICA\nA320F / B767\n(08:30-17:30 hrs)\nINS APOYO","DO","DO","HO FILE","RTI: VIRTUAL\nA320F / B767\n(08:30-17:30 hrs)\nINS TITULAR 1 RTI","REU EMBAJADORES","DO","RTI: PRÁCTICA\nA320F / B767\n(08:30-17:30 hrs)\nINS TITULAR","DO","DO","Inicial G8\nTaller de Servicio\nRRVV","DO","DO","Inicial G9","Inicial G9"],"bg":["#ffffcc","#ffffcc","#ffffcc","#ffffcc","#ffffcc","#ffffcc","#ffffcc","#ffffcc","#ffffcc","#ffffcc","#ffffcc","#ffffcc","#ffffcc","#ffffcc","#ffffcc","#2f5496","#cce0f4","#ffffff","#ffffff","#999999","#cce0f4","#ffff00","#ffffff","#cce0f4","#ffffff","#ffffff","#ff4b4f","#ffffff","#ffffff","#3d85c6","#3d85c6"],"fg":["#000000","#000000","#000000","#000000","#000000","#000000","#000000","#000000","#000000","#000000","#000000","#000000","#000000","#000000","#000000","#ffffff","#000000","#000000","#000000","#000000","#000000","#000000","#000000","#000000","#000000","#000000","#ffffff","#000000","#000000","#ffffff","#ffffff"]},{"bp":"3189967","nombre":"Kevin Segovia","dias":["PREPARACIÓN IOSA 2026","BAJADA TTT SVC (TC)","RTI: PRÁCTICA\nA320F / B767 / B787\n(08:30-17:30 hrs)\nINS APOYO","DO","DO","HO FILE","Habilitación B767 (CCM)\n- LIM-ATL\n- LA 2482 (12:05-20:35 hrs)","Habilitación B767 (CCM)\n- ATL-LIM\n- LA 2483 (23:15-05:00 hrs)","Blanco","REUNIÓN INSTRUCTORES","DO","DO","TALLER VOLUNTARIO DE SEGURIDAD","Reva de Servicio\n(08:30-17:30 hrs)\nDÍA 1\nTC","HO FILE","RTI: PRÁCTICA\nA320F / B767\n(08:30-17:30 hrs)\nINS APOYO","RTI: PRÁCTICA\nA320F / B767\n(08:30-17:30 hrs)\nINS APOYO TM A320F","DO","DO","TALLER VOLUNTARIO DE SEGURIDAD","CURSO 50% \nDÍA 4","RTI: PRÁCTICA\nA320F / B767\n(08:30-17:30 hrs)\nINS APOYO","DO","DO","DO","DO","HO FILE","DO","DO","PREPARACIÓN IOSA 2026","PREPARACIÓN IOSA 2026"],"bg":["#ffff00","#9fc5e8","#cce0f4","#ffffff","#ffffff","#999999","#ffc000","#ffc000","#ffc000","#ffff00","#ffffff","#ffffff","#ffff00","#2f5496","#999999","#cce0f4","#cce0f4","#ffffff","#ffffff","#ffff00","#ffe599","#cce0f4","#ffffff","#ffffff","#ffffff","#ffffff","#999999","#ffffff","#ffffff","#ffff00","#ffff00"],"fg":["#000000","#000000","#000000","#000000","#000000","#000000","#000000","#000000","#000000","#000000","#000000","#000000","#000000","#ffffff","#000000","#000000","#000000","#000000","#000000","#000000","#000000","#000000","#000000","#000000","#000000","#000000","#000000","#000000","#000000","#000000","#000000"]},{"bp":"2415373","nombre":"Milagros Salas","dias":["CURSO 50%","BAJADA TTT SVC (TC)","Habilitación B767 (CC)\n- LIM-SCL\n- LA 2413 (12:20-15:45 hrs)\nHabilitación B767 (CC)\n- SCL-LIM\n- LA 2412 (17:10-20:50 hrs)","DO","DO","HO FILE\nACTIVIDAD COMUNICACIONES\nCHECK IN LATAM","HO FILE","HO FILE","Inicial G8\nTaller de Servicio\nDía 1","REUNIÓN INSTRUCTORES","DO","DO","HO FILE","RTI","RTI: VIRTUAL\nA320F / B767\n(08:30-17:30 hrs)\nINS TITULAR\n*Se habilita","RTI: PRÁCTICA\nA320F / B767\n(08:30-17:30 hrs)\nINS APOYO TM A320F","RTI: PRÁCTICA\nA320F / B767\n(08:30-17:30 hrs)\nINS TITULAR\n*Se habilita","DO","DO","RTI","RTI: VIRTUAL\nA320F / B767\n(08:30-17:30 hrs)\nINS TITULAR 2 RTI","RTI: PRÁCTICA\nA320F / B767\n(08:30-17:30 hrs)\nINS APOYO TM A320F","DO","DO","DO","DO","TALLER VOLUNTARIO DE SEGURIDAD","DO","DO","Inicial G8\nGraduación","HO FILE"],"bg":["#ffe599","#9fc5e8","#ffc000","#ffffff","#ffffff","#ffe599","#999999","#999999","#ff4b4f","#ffff00","#ffffff","#ffffff","#999999","#ffffff","#cce0f4","#cce0f4","#cce0f4","#ffffff","#ffffff","#ffffff","#cce0f4","#cce0f4","#ffffff","#ffffff","#ffffff","#ffffff","#ffff00","#ffffff","#ffffff","#ff4b4f","#999999"],"fg":["#000000","#000000","#000000","#000000","#000000","#000000","#000000","#000000","#ffffff","#000000","#000000","#000000","#000000","#000000","#000000","#000000","#000000","#000000","#000000","#000000","#000000","#000000","#000000","#000000","#000000","#000000","#000000","#000000","#000000","#ffffff","#000000"]},{"bp":"2440915","nombre":"Judith Fernandez","dias":["CURSO 50% \nAPOYO","BAJADA TTT SVC (TC)\nINS","BAJADA TTT SVC (JSB)\nINS","DO","DO","HO FILE","Ditching Presencial A320F + HANDS ON\nTripulación de Mando\nLP\n(08:30-17:30 hrs)","HO FILE","RTI: PRÁCTICA\nA320F / B767 / B787\n(08:30-17:30 hrs)\nINS APOYO TM A320F","REUNIÓN INSTRUCTORES","DO","DO","Inicial G9","Inicial G9","Inicial G9","Inicial G9","Inicial G9","DO","DO","Inicial G9","Inicial G9","Inicial G9","DO","DO","DO","DO","Inicial G9","DO","DO","ACOMPAÑAMIENTO DE SERVICIO LIM-JAU-LIM\nLA 2219 (12:05-13:05 hrs)\nLA 2220 (13:40-14:35 hrs)","HO FILE"],"bg":["#ffe599","#9fc5e8","#b6d7a8","#ffffff","#ffffff","#999999","#ff4b4f","#999999","#cce0f4","#ffff00","#ffffff","#ffffff","#3d85c6","#3d85c6","#3d85c6","#3d85c6","#3d85c6","#ffffff","#ffffff","#3d85c6","#3d85c6","#3d85c6","#ffffff","#ffffff","#ffffff","#ffffff","#3d85c6","#ffffff","#ffffff","#f7caac","#999999"],"fg":["#000000","#000000","#000000","#000000","#000000","#000000","#ffffff","#000000","#000000","#000000","#000000","#000000","#ffffff","#ffffff","#ffffff","#ffffff","#ffffff","#000000","#000000","#ffffff","#ffffff","#ffffff","#000000","#000000","#000000","#000000","#ffffff","#000000","#000000","#000000","#000000"]},{"bp":"3796947","nombre":"Rafael Nieto","dias":["SICK","SICK","SICK","DO","DO","SICK","SICK","SICK","SICK","REUNIÓN INSTRUCTORES","DO","DO","SICK","SICK","SICK","SICK","SICK","DO","DO","SICK","SICK","SICK","FERIADO","SICK","DO","DO","SICK","FERIADO","FERIADO","SICK","SICK"],"bg":["#ffffff","#ffffff","#ffffff","#ffffff","#ffffff","#ffffff","#ffffff","#ffffff","#ffffff","#ffff00","#ffffff","#ffffff","#ffffff","#ffffff","#ffffff","#ffffff","#ffffff","#ffffff","#ffffff","#ffffff","#ffffff","#ffffff","#0000ff","#ffffff","#ffffff","#ffffff","#ffffff","#0000ff","#0000ff","#ffffff","#ffffff"],"fg":["#000000","#000000","#000000","#000000","#000000","#000000","#000000","#000000","#000000","#000000","#000000","#000000","#000000","#000000","#000000","#000000","#000000","#000000","#000000","#000000","#000000","#000000","#ffffff","#000000","#000000","#000000","#000000","#ffffff","#ffffff","#000000","#000000"]},{"bp":"3841387","nombre":"Gianfranco Celiz","dias":["Inicial G8","BAJADA CRM\nINS","HO FILE","DO","DO","HO FILE","BAJADA TTT SVC (TC)\nINS","HO FILE","HABILITACIÓN A320F (CCM)\n- LIM-SCL\n- LA 2413 (12:05-15:35 hrs)\nHABILITACIÓN A320F (CCM)\n- SCL-LIM\n- LA 2412 (17:00-20:50 hrs)","REUNIÓN INSTRUCTORES\nTARDE","DO","DO","Reentrenamiento A320F\r\nLIM-AQP-LIM\r\nLA 2123 (09:15-10:50 hrs)\r\nLA 2124 (11:35-13:10 hrs)\r\nReentrenamiento A320F\r\nLIM-CJA-LIM\r\nLA 2295 (14:05-15:30 hrs)\r\nLA 2294 (16:10-17:15 hrs)","RTI: VIRTUAL\nA320F / B767\n(08:30-17:30 hrs)\nINS TITULAR","VACACIONES","VACACIONES","VACACIONES","VACACIONES","VACACIONES","VACACIONES","VACACIONES","VACACIONES","VACACIONES","VACACIONES","VACACIONES","VACACIONES","VACACIONES","VACACIONES","VACACIONES","VACACIONES","VACACIONES"],"bg":["#ff4b4f","#ffd966","#999999","#ffffff","#ffffff","#999999","#9fc5e8","#999999","#f4cccc","#ffff00","#ffffff","#ffffff","#f7caac","#cce0f4","#ffffcc","#ffffcc","#ffffcc","#ffffcc","#ffffcc","#ffffcc","#ffffcc","#ffffcc","#ffffcc","#ffffcc","#ffffcc","#ffffcc","#ffffcc","#ffffcc","#ffffcc","#ffffcc","#ffffcc"],"fg":["#ffffff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]}</t>
  </si>
  <si>
    <t>{"mes":"2026-08","fuente":"08 - Rol de Instructores LP - AUG 2026","hoja":"AGOSTO","instructores":[{"bp":"2713993","nombre":"Fiorella Ruiz","dias":["FDS","FDS","LCK B787\n- LIM-SCL\n- LA 2697 (09:35-13:00 hrs)\nHabilitación B787\n- SCL-LIM\n- LA 2696 (16:00-19:45 hrs)","HO FILE\nTARDE","Inicial G9","FERIADO","LCK B767\n- LIM-SCL\n- LA 2413 (12:05-15:45 hrs)\nLCK B767\n- SCL-LIM\n- LA 2412 (17:10-21:00 hrs)","FDS","FDS","RTI","RTI: VIRTUAL G1\nA320F / B767 / B787\n(08:30-17:30 hrs)\nINS TITULAR\n*Se habilita","RTI: PRÁCTICA G1\nA320F / B767 / B787\n(08:30-17:30 hrs)\nINS TITULAR\n*Se habilita","RTI: PRÁCTICA G1\nA320F / B767 / B787\n(08:30-17:30 hrs)\nINS TITULAR\n*Se habilita","REUNIÓN INSTRUCTORES","FDS","FDS","HO","Blanco","LCK B767\n- LIM-MIA\n- LA 2480 (00:15-06:20 hrs)","Habilitación B767 \n- MIA-LIM\n- LA 2695 (16:10-22:00 hrs)","HO TARDE","FDS","FDS","PREPARACIÓN IOSA 2026","PREPARACIÓN IOSA 2026","RTI: PRÁCTICA\nA320F / B767 / B787\n(08:30-17:30 hrs)\nINS APOYO","RTI: PRÁCTICA\nA320F / B767 / B787\n(08:30-17:30 hrs)\nINS APOYO TM B787","RTI","FDS","FDS","LCK B787 ALUMNA\n- LIM-SCL\n- LA 2697 (09:35-13:00 hrs)\nHabilitación B787*\n- SCL-LIM\n- LA 2696 (16:00-19:45 hrs)"],"bg":["#0000ff","#0000ff","#e88888","#999999","#3d85c6","#0000ff","#ffc000","#0000ff","#0000ff","#ffffff","#cce0f4","#cce0f4","#cce0f4","#ffff00","#0000ff","#0000ff","#d9d9d9","#ffc000","#ffc000","#ffc000","#d9d9d9","#0000ff","#0000ff","#ffff00","#ffff00","#cce0f4","#cce0f4","#ffffff","#0000ff","#0000ff","#e88888"],"fg":["#ffffff","#ffffff","#000000","#000000","#ffffff","#ffffff","#000000","#ffffff","#ffffff","#000000","#000000","#000000","#000000","#000000","#ffffff","#ffffff","#000000","#000000","#000000","#000000","#000000","#ffffff","#ffffff","#000000","#000000","#000000","#000000","#000000","#ffffff","#ffffff","#000000"]},{"bp":"2396710","nombre":"Sebastian Correa","dias":["FDS","FDS","Habilitación B767\n- LIM-MIA\n- LA 2694 (13:30-19:35 hrs)","Habilitación B767*\n- MIA-LIM\n- LA 2695 (16:10-22:00 hrs)","HO FILE\nTARDE","FERIADO","BIANUAL IDE - HAB IDE\nLIM-AQP-LIM\nLA 2331 (10:00-11:30 hrs)\nLA 2332 (12:05-13:40 hrs)","FDS","FDS","Revisión de Servicio + HAB\nLA2111 LIM AQP (11:40 - 13:10)\nLA2321 AQP CUZ (14:00 - 14:55)\nLA2029 CUZ LIM","Reva de Servicio\n(08:30-17:30 hrs)\nDÍA 1\nSVC DE TCS","RTI: PRÁCTICA G1\nA320F / B767 / B787\n(08:30-17:30 hrs)\nINS APOYO","Reentrenamiento A320F\nLIM-PIU-LIM\nLA2306 (09:35-11:15 hrs)\nLA2307 (11:55-13:15 hrs)","REUNIÓN INSTRUCTORES","FDS","FDS","LCK B787\n- LIM-SCL\n- LA 2697 (09:35-13:00 hrs)\nHabilitación B787*\n- SCL-LIM\n- LA 2696 (16:00-19:45 hrs)","HO FILE","HO FILE","LCK B787\n- LIM-SCL\n- LA 2697 (09:35-13:00 hrs)\nLCK B787\n- SCL-LIM\n- LA 2696 (16:00-19:45 hrs)","HO FILE\nTARDE","FDS","FDS","RTI","RTI: VIRTUAL\nA320F / B767 / B787\n(08:30-17:30 hrs)\nINS TITULAR\n*Se habilita","RTI: PRÁCTICA\nA320F / B767 / B787\n(08:30-17:30 hrs)\nINS TITULAR\n*Se habilita","RTI: PRÁCTICA\nA320F / B767 / B787\n(08:30-17:30 hrs)\nINS TITULAR\n*Se habilita","RTI","FDS","FDS","LCK B787\n- LIM-SCL\n- LA 2697 (09:35-13:00 hrs)\nLCK B787\n- SCL-LIM\n- LA 2696 (16:00-19:45 hrs)"],"bg":["#0000ff","#0000ff","#ffc000","#ffc000","#999999","#0000ff","#ffffff","#0000ff","#0000ff","#f7caac","#2f5496","#cce0f4","#f7caac","#ffff00","#0000ff","#0000ff","#e88888","#999999","#d9d9d9","#e88888","#999999","#0000ff","#0000ff","#ffffff","#cce0f4","#cce0f4","#cce0f4","#ffffff","#0000ff","#0000ff","#e88888"],"fg":["#ffffff","#ffffff","#000000","#000000","#000000","#ffffff","#000000","#ffffff","#ffffff","#000000","#ffffff","#000000","#000000","#000000","#ffffff","#ffffff","#000000","#000000","#000000","#000000","#000000","#ffffff","#ffffff","#000000","#000000","#000000","#000000","#000000","#ffffff","#ffffff","#000000"]},{"bp":"1271571","nombre":"Christian Rondon","dias":["FDS","FDS","VACACIONES","VACACIONES","VACACIONES","VACACIONES","VACACIONES","VACACIONES","VACACIONES","LCK B767\n- LIM-MIA\n- LA 2694 (13:30-19:35 hrs)","Blanco","Habilitación B767\n- MIA-LIM\n- LA 2699 (23:15-05:00 hrs)","RTI: PRÁCTICA\nA320F \n(08:30-17:30 hrs)\nINS APOYO TM B767","REUNIÓN INSTRUCTORES","FDS","FDS","HB6 CPL\nCurso B767\n(08:30-17:30hrs)","HB6 CPL\nCurso B767\n(08:30-17:30hrs)","HB6 CPL\nCurso B767\n(08:30-17:30hrs)","HABILITACIÓN A320F\nLIM AYP LIM\nLA 2333 (07:37-08:37 hrs)\nLA 2334 (09:22-10:21 hrs)","Curso Instructor B787 (VIRTUAL)","FDS","FDS","LCK B767\n- LIM-MIA\n- LA 2698 (08:15-14:20 hrs)","Blanco","Habilitación B767*\n- MIA-LIM\n- LA 2699 (23:15-05:00 hrs)","Entrevistas","LCK B787\n- LIM-SCL\n- LA 2697 (09:35-13:00 hrs)\nReentrenamiento B787\n- SCL-LIM\n- LA 2696 (16:00-19:45 hrs)","FDS","FDS","HANDS ON B767\nLA2476 LIM LAX (12:00 HRS)"],"bg":["#0000ff","#0000ff","#ffffcc","#ffffcc","#ffffcc","#ffffcc","#ffffcc","#ffffcc","#ffffcc","#ffc000","#ffc000","#ffc000","#cce0f4","#ffff00","#0000ff","#0000ff","#a8d08d","#a8d08d","#a8d08d","#f7caac","#00ffff","#0000ff","#0000ff","#ffc000","#ffc000","#ffc000","#d9d9d9","#e88888","#0000ff","#0000ff","#ffff00"],"fg":["#ffffff","#ffffff","#000000","#000000","#000000","#000000","#000000","#000000","#000000","#000000","#000000","#000000","#000000","#000000","#ffffff","#ffffff","#000000","#000000","#000000","#000000","#000000","#ffffff","#ffffff","#000000","#000000","#000000","#000000","#000000","#ffffff","#ffffff","#000000"]},{"bp":"2843319","nombre":"Karen Santa Cruz","dias":["DO","DO","EXP RECIENTE CST B787","HO TARDE","HO FILE","DO","DO","DO","DO","LCK A320F\r\nLIM-CUZ-LIM\r\nLA 2013 (08:40-10:00 hrs)\r\nLA 2014 (10:35-12:10 hrs)\r\nLCK A320F\r\nLIM-CIX-LIM\r\nLA 2270 (13:05-14:35 hrs)\r\nLA 2271 (15:10-16:30 hrs)","Entrevistas","LCK A320F\nLIM-AQP-LIM\nLA 2123 (09:15-10:45 hrs)\nLA 2124 (11:30-13:05 hrs)","BAJADA TTT SVC (TC)\nALUMNO","REUNIÓN INSTRUCTORES","DO","DO","LCK B767\n- LIM-MIA\n- LA 2698 (08:15-14:20 hrs)","Blanco","Habilitación B767\n- MIA-LIM\n- LA 2699 (23:15-05:00 hrs)","LCK A320F\r\nLIM-AQP-LIM\r\nLA 2123 (09:05-10:35 hrs)\r\nLA 2124 (11:20-12:55 hrs)\r\nLCK A320F\r\nLIM-AQP-LIM\r\nLA 2055 (14:00-15:30 hrs)\r\nLA 2056 (16:10-17:50 hrs)","Curso INS B787 (VIRTUAL)","DO","DO","PREPARACIÓN IOSA 2026","PREPARACIÓN IOSA 2026","LCK A320F\nLIM-CIX-LIM\nLA 2270 (13:05-14:35 hrs)\nLA 2271 (15:10-16:30 hrs)","RTI: PRÁCTICA\nA320F / B767 / B787\n(08:30-17:30 hrs)\nINS APOYO","LCK ALUMNA NB\nLIM-CJA-LIM\nLA 2295 (14:10-15:30 hrs)\nLA 2294 (16:10-17:15 hrs)","DO","DO","LCK A320F\nLIM-CUZ-LIM\nLA 2007 (09:10-10:35 hrs)\nLA 2008 (11:20-12:55 hrs)\nLCK A320F\nLIM-AQP-LIM\nLA 2055 (13:55-15:25 hrs)\nLA 2056 (16:10-17:50 hrs)"],"bg":["#ffffff","#ffffff","#e88888","#d9d9d9","#999999","#ffffff","#ffffff","#ffffff","#ffffff","#f7caac","#d9d9d9","#f7caac","#d5a6bd","#ffff00","#ffffff","#ffffff","#ffc000","#ffc000","#ffc000","#f7caac","#00ffff","#ffffff","#ffffff","#ffff00","#ffff00","#f7caac","#cce0f4","#f7caac","#ffffff","#ffffff","#f7caa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Acurio","dias":["DO","DO","HO FILE","Reva de Servicio\n(08:30-17:30 hrs)\nDÍA 1\nSVC DE TCS","Inicial G8\nChequeo LATAM","DO","DO","DO","DO","CURSO ASCENSO","CURSO ASCENSO","CURSO ASCENSO","RTI: PRÁCTICA G1\nA320F / B767 / B787\n(08:30-17:30 hrs)\nINS APOYO","REUNIÓN INSTRUCTORES","DO","DO","TALLER VOLUNTARIO DE SEGURIDAD","Inicial G9","Inicial G9","CURSO ASCENSO","Curso INS B787 (VIRTUAL)","DO","DO","TALLER VOLUNTARIO DE SEGURIDAD","Blanco","LCK B767\n- LIM-MIA\n- LA 2480 (00:15-06:20 hrs)","Reentrenamiento B767*\n- MIA-LIM\n- LA 2695 (16:10-22:00 hrs)","HO PM\nTARDE","DO","DO","Reentrenamiento A320F\n+ HAB\nLIM-PIU-LIM\nLA 2306 (09:30-11:15 hrs)\nLA 2307 (11:55-13:25 hrs)"],"bg":["#ffffff","#ffffff","#999999","#2f5496","#ff4b4f","#ffffff","#ffffff","#ffffff","#ffffff","#bf9000","#bf9000","#bf9000","#cce0f4","#ffff00","#ffffff","#ffffff","#ffff00","#3d85c6","#3d85c6","#bf9000","#00ffff","#ffffff","#ffffff","#ffff00","#ffc000","#ffc000","#ffc000","#d9d9d9","#ffffff","#ffffff","#f7caac"],"fg":["#000000","#000000","#000000","#ffffff","#ffffff","#000000","#000000","#000000","#000000","#ffffff","#ffffff","#ffffff","#000000","#000000","#000000","#000000","#000000","#ffffff","#ffffff","#ffffff","#000000","#000000","#000000","#000000","#000000","#000000","#000000","#000000","#000000","#000000","#000000"]},{"bp":"29530","nombre":"Jazmin Guerra","dias":["DO","DO","Blanco","LCK B767\n- LIM-MIA\n- LA 2480 (00:15-06:20 hrs)","Habilitación  B767*\n- MIA-LIM\n- LA 2481 (15:55-21:40 hrs)","DO","DO","DO","DO","HO FILE","Habilitación B787\n- LIM-SCL\n- LA 2697 (09:35-13:00 hrs)\n\n- SCL-LIM\n- LA 2696 (16:00-19:45 hrs)\"","HO FILE\nTARDE","BAJADA TTT SVC (TC)\nALUMNO","REUNIÓN INSTRUCTORES","DO","DO","Blanco","LCK B767\n- LIM-MIA\n- LA 2480 (00:15-06:20 hrs)","Habilitación B767\n- MIA-LIM\n- LA 2481 (15:55-21:40 hrs)","Reentrenamiento A320F\nLIM-CJA-LIM\nLA2297 (15:15-16:35 hrs)\nLA2296 (17:20-18:25 hrs)","Curso INS B787 (VIRTUAL)","DO","DO","Blanco","LCK B767\n- LIM-MIA\n- LA 2480 (00:15-06:20 hrs)","Habilitación B767*\n- MIA-LIM\n- LA 2481 (15:55-21:40 hrs)","HO TARDE","HO","DO","DO","Recalificación A320F\nLIM-CIX-LIM\nLA2274 (09:35-11:10 hrs)\n LA2275 (11:45-13:05 hrs)"],"bg":["#ffffff","#ffffff","#ffc000","#ffc000","#ffc000","#ffffff","#ffffff","#ffffff","#ffffff","#999999","#e88888","#999999","#d5a6bd","#ffff00","#ffffff","#ffffff","#ffc000","#ffc000","#ffc000","#f7caac","#00ffff","#ffffff","#ffffff","#ffc000","#ffc000","#ffc000","#d9d9d9","#d9d9d9","#ffffff","#ffffff","#f7caa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3217561","nombre":"Claudia Flores","dias":["DO","DO","HO FILE","HO FILE","REFUERZO REALIDAD VIRTUAL \nALUMNO","DO","RTI: PRÁCTICA\nA320F / B767\n(08:30-17:30 hrs)\nINS APOYO","DO","DO","LCK B767\n- LIM-MIA\n- LA 2698 (08:15-14:20 hrs)","Habilitación B767\n- MIA-LIM\n- LA 2695 (16:10-22:00 hrs)","HO TARDE","BAJADA TTT SVC (TC)\nINSTRUCTOR","REUNIÓN INSTRUCTORES","DO","DO","DO","DO","HO FILE","REU EMBAJADORES","Curso INS B787 (VIRTUAL)","DO","DO","PREPARACIÓN IOSA 2026","PREPARACIÓN IOSA 2026","Blanco","LCK B767\n- LIM-MIA\n- LA 2480 (00:15-06:20 hrs)","Reentrenamiento B767\n- MIA-LIM\n- LA 2481 (15:55-21:40 hrs)","DO","DO","Habilitación A320F\nLA2382/2383\nLIM UIO (08:45 - 11:15)\nUIO LIM (12:15 - 14:30)"],"bg":["#ffffff","#ffffff","#999999","#999999","#fff2cc","#ffffff","#cce0f4","#ffffff","#ffffff","#ffc000","#ffc000","#d9d9d9","#d5a6bd","#ffff00","#ffffff","#ffffff","#ffffff","#ffffff","#d9d9d9","#ffff00","#00ffff","#ffffff","#ffffff","#ffff00","#ffff00","#ffc000","#ffc000","#ffc000","#ffffff","#ffffff","#f7caa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LP","LP","LP","LP","LP","DO","LP","LP","LP","LP","LP","LP","LP","LP","LP","LP","LP","LP","LP","LP","LP","LP","LP","LP","LP","LP","LP","LP","LP","LP","LP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Dávila","dias":["DO","DO","Habilitación B767\n- LIM - ATL\n- LA 2482 (12:01-20:12 hrs)","Habilitación B767\n- ATL - LIM\n- LA 2483 (23:14-04:54 hrs)","HAB WB","DO","Habilitación A320F\nLA2184/2183\nLIM AYP (10:35 - 11:45)\nAYP LIM (12:25 - 13:15)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],"bg":["#ffffff","#ffffff","#ffc000","#ffc000","#ffc000","#ffffff","#f7caac","#ffffcc","#ffffcc","#ffffcc","#ffffcc","#ffffcc","#ffffcc","#ffffcc","#ffffcc","#ffffcc","#ffffcc","#ffffcc","#ffffcc","#ffffcc","#ffffcc","#ffffcc","#ffffcc","#ffffcc","#ffffcc","#ffffcc","#ffffcc","#ffffcc","#ffffcc","#ffffcc","#ffff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2369641","nombre":"Elizabeth Torres","dias":["DO","DO","HO FILE","HO FILE","HO FILE","DO","HABILITACIÓN B767\n- LIM-SCL LIM\n- LA 2413 (12:05-15:45 hrs)\n- LA 2412 (17:10-21:00 hrs)","DO","DO","TALLER VOLUNTARIO DE SEGURIDAD","RTI: VIRTUAL G2\nA320F / B767\n(08:30-17:30 hrs)\nINS TITULAR","Reva de Servicio\n(08:30-17:30 hrs)\nDÍA 1\nSVC DE TCS","BIANUAL INSTRUCTOR\nLIM-AQP-LIM\nLA 2109 (10:30-12:00 hrs)\nLA 2108 (12:40-14:15 hrs)","REUNIÓN INSTRUCTORES","DO","DO","REFUERZO REALIDAD VIRTUAL \nALUMNO","Inicial G9","Inicial G9","HO FILE","HO TARDE","DO","DO","Reentrenamiento A320F + Hab A320F\nLIM-CUZ-LIM\nLA 2013 (08:40-10:00 hrs)\nLA 2014 (10:35-12:10 hrs)\nLCK A320F\nLIM-CIX-LIM\nLA 2270 (13:05-14:35 hrs)\nLA 2271 (15:10-16:30 hrs)","HO FILE","Reva de Servicio\n(08:30-17:30 hrs)\nDÍA 1\nSVC DE TCS","DM","HO","DO","DO","LCK A320F\r\nLIM-AQP-LIM\r\nLA 2123 (09:15-10:45 hrs)\r\nLA 2124 (11:30-13:05 hrs)\r\nLCK A320F\r\nLIM-CJA-LIM\r\nLA 2295 (14:10-15:30 hrs)\r\nLA 2294 (16:10-17:15 hrs)"],"bg":["#ffffff","#ffffff","#999999","#999999","#999999","#ffffff","#ffc000","#ffffff","#ffffff","#ffff00","#cce0f4","#2f5496","#ffffff","#ffff00","#ffffff","#ffffff","#fff2cc","#3d85c6","#3d85c6","#999999","#d9d9d9","#ffffff","#ffffff","#f7caac","#999999","#2f5496","#d9d9d9","#d9d9d9","#ffffff","#ffffff","#f7caac"],"fg":["#000000","#000000","#000000","#000000","#000000","#000000","#000000","#000000","#000000","#000000","#000000","#ffffff","#000000","#000000","#000000","#000000","#000000","#ffffff","#ffffff","#000000","#000000","#000000","#000000","#000000","#000000","#ffffff","#000000","#000000","#000000","#000000","#000000"]},{"bp":"2369624","nombre":"Patricia Najar","dias":["VACACIONES","VACACIONES","VACACIONES","VACACIONES","VACACIONES","VACACIONES","VACACIONES","DO","DO","LCK A320F\r\nLIM-AQP-LIM\r\nLA 2123 (09:15-10:45 hrs)\r\nLA 2124 (11:30-13:05 hrs)\r\nLCK A320F\r\nLIM-CJA-LIM\r\nLA 2295 (14:10-15:30 hrs)\r\nLA 2294 (16:10-17:15 hrs)","Blanco","LCK B767\n- LIM-MIA\n- LA 2480 (00:15-06:20 hrs)","Habilitación B767*\n- MIA-LIM\n- LA 2695 (16:10-22:00 hrs)","REUNIÓN INSTRUCTORES\nTARDE","DO","DO","LCK B767\n- LIM-MIA\n- LA 2694 (13:30-19:35 hrs)","Habilitación B767*\n- MIA-LIM\n- LA 2695 (16:10-22:00 hrs)","HO FILE PM","RTI: PRÁCTICA\nA320F / B767\n(08:30-17:30 hrs)\nINS APOYO","BIANUAL INSTRUCTOR\r\nLIM-AQP-LIM\r\nLA 2109 (10:30-12:00 hrs)\r\nLA 2108 (12:40-14:15 hrs)","DO","DO","PREPARACIÓN IOSA 2026","PREPARACIÓN IOSA 2026","Auditoria ATL\r\n- LIM-ATL\r\n- LA 2482 (12:05-19:35 hrs)","Blanco","Auditoria ATL\r\n- ATL-LIM\r\n- LA 2483 (22:15-05:00 hrs)","DO","DO","HO FILE"],"bg":["#ffffcc","#ffffcc","#ffffcc","#ffffcc","#ffffcc","#ffffcc","#ffffcc","#ffffff","#ffffff","#f7caac","#ffc000","#ffc000","#ffc000","#ffff00","#ffffff","#ffffff","#ffc000","#ffc000","#d9d9d9","#cce0f4","#ffffff","#ffffff","#ffffff","#ffff00","#ffff00","#ffc000","#ffc000","#ffc000","#ffffff","#ffffff","#999999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3134911","nombre":"Javier Zapata","dias":["DO","DO","LCK B767\n- LIM-MIA\n- LA 2694 (13:30-19:35 hrs)","Habilitación B767\n- MIA-LIM\n- LA 2695 (16:10-22:00 hrs)","HO FILE\nTARDE","DO","Reva de Servicio\n(08:30-17:30 hrs)\nDÍA 1\nSVC DE TCS","DO","DO","DO","DO","DM","BIANUAL INSTRUCTOR\r\nLIM-AQP-LIM\r\nLA 2109 (10:30-12:00 hrs)\r\nLA 2108 (12:40-14:15 hrs)","REUNIÓN INSTRUCTORES","DO","DO","LCK A320F\nLIM-CUZ-LIM\nLA 2013 (08:40-10:00 hrs)\nLA 2014 (10:35-12:10 hrs)\nLCK A320F + HAB A320F\nLIM-CIX-LIM\nLA 2270 (13:05-14:35 hrs)\nLA 2271 (15:10-16:30 hrs)","Reentrenamiento A320F\nLIM-PIU-LIM\nLA 2306 (09:35-11:15 hrs)\nLA 2307 (11:55-13:25 hrs)","LCK A320F\nLIM-CUZ-LIM\nLA 2013 (08:40-10:00 hrs)\nLA 2014 (10:35-12:10 hrs)","DESAYUNO SAB","LCK B767\n- LIM-SCL\n- LA 2413 (12:05-15:45 hrs)\nLCK B767\n- SCL-LIM\n- LA 2412 (17:10-21:00 hrs)","DO","DO","LCK A320F\r\nLIM-AQP-LIM\r\nLA 2123 (09:15-10:45 hrs)\r\nLA 2124 (11:30-13:05 hrs)\r\nLCK A320F\r\nLIM-CJA-LIM\r\nLA 2295 (14:10-15:30 hrs)\r\nLA 2294 (16:10-17:15 hrs)","Inicial G9","Reva de Servicio\n(08:30-17:30 hrs)\nDÍA 1\nSVC DE JSBS","HO","LCK A320F\nChequeo de Vigilancia IPO\nLIM-CUZ-LIM\nLA 2007 (09:10-10:35 hrs)\nLA 2008 (11:20-12:55 hrs)\nLCK A320F\nLIM-CJA-LIM\nLA 2295 (14:10-15:30 hrs)\nLA 2294 (16:10-17:15 hrs)","DO","DO","REFUERZO REALIDAD VIRTUAL \nALUMNO"],"bg":["#ffffff","#ffffff","#ffc000","#ffc000","#999999","#ffffff","#2f5496","#ffffff","#ffffff","#ffffff","#ffffff","#999999","#ffffff","#ffff00","#ffffff","#ffffff","#f7caac","#f7caac","#f7caac","#ffff00","#ffc000","#ffffff","#ffffff","#f7caac","#3d85c6","#2f5496","#d9d9d9","#f7caac","#ffffff","#ffffff","#fff2cc"],"fg":["#000000","#000000","#000000","#000000","#000000","#000000","#ffffff","#000000","#000000","#000000","#000000","#000000","#000000","#000000","#000000","#000000","#000000","#000000","#000000","#000000","#000000","#000000","#000000","#000000","#ffffff","#ffffff","#000000","#000000","#000000","#000000","#000000"]},{"bp":"3750335","nombre":"Jefferson Mendez","dias":["DO","DO","LCK B767\n- LIM-MIA\n- LA 2698 (08:15-14:20 hrs)","Blanco","Vuelo de Acompañamiento B767\n- MIA-LIM\n- LA 2699 (23:15-05:00 hrs)","DO","DO","DO","DO","TALLER VOLUNTARIO DE SEGURIDAD","LCK A320F\nLIM-CUZ-LIM\nLA 2013 (08:40-10:00 hrs)\nLA 2014 (10:35-12:10 hrs)\nLCK A320F\nLIM-CIX-LIM\nLA 2270 (13:05-14:35 hrs)\nLA 2271 (15:10-16:30 hrs)","HANDS ON B767","RTI: PRÁCTICA\nB767 \n(08:30-17:30 hrs)\nINS APOYO TM A320F","REUNIÓN INSTRUCTORES","DO","DO","HANDS ON B767","LCK A320F\nLIM-CUZ-LIM\nLA 2013 (08:40-10:00 hrs)\nLA 2014 (10:35-12:10 hrs)","HO FILE","LCK A320F\r\nLIM-CUZ-LIM\r\nLA 2007 (09:10-10:35 hrs)\r\nLA 2008 (11:10-12:45 hrs)","BIANUAL INSTRUCTOR\r\nLIM-AQP-LIM\r\nLA 2109 (10:30-12:00 hrs)\r\nLA 2108 (12:40-14:15 hrs)","DO","DO","TALLER VOLUNTARIO DE SEGURIDAD","Reva de Servicio\n(08:30-17:30 hrs)\nDÍA 1\nSVC DE JSBS","Curso Estandarización","Reentrenamiento A320F\nLIM-CUZ-LIM\nLA2238 (10:10 - 11:35)\nLA2239 (12:10 - 13:45)\nJ.Bodero","LCK B767\n- LIM-SCL\n- LA 2413 (12:05-15:45 hrs)\nLCK B767\n- SCL-LIM\n- LA 2412 (17:10-21:00 hrs)","DO","DO","REFUERZO REALIDAD VIRTUAL \nALUMNO"],"bg":["#ffffff","#ffffff","#ffc000","#ffc000","#ffc000","#ffffff","#ffffff","#ffffff","#ffffff","#ffff00","#f7caac","#ffff00","#cce0f4","#ffff00","#ffffff","#ffffff","#ffff00","#f7caac","#999999","#f7caac","#ffffff","#ffffff","#ffffff","#ffff00","#2f5496","#ffff00","#f7caac","#ffc000","#ffffff","#ffffff","#fff2cc"],"fg":["#000000","#000000","#000000","#000000","#000000","#000000","#000000","#000000","#000000","#000000","#000000","#000000","#000000","#000000","#000000","#000000","#000000","#000000","#000000","#000000","#000000","#000000","#000000","#000000","#ffffff","#000000","#000000","#000000","#000000","#000000","#000000"]},{"bp":"3852423","nombre":"Gabriela Ungaro","dias":["DO","DO","HO FILE","LCK A320F\nLIM-CUZ-LIM\nLA 2007 (09:10-10:35 hrs)\nLA 2008 (11:20-12:55 hrs)","REFUERZO REALIDAD VIRTUAL \nALUMNO","DO","RTI: PRÁCTICA\nA320F / B767\n(08:30-17:30 hrs)\nINS TITULAR","VACACIONES","VACACIONES","VACACIONES","VACACIONES","VACACIONES","VACACIONES","VACACIONES","VACACIONES","VACACIONES","VACACIONES","VACACIONES","VACACIONES","VACACIONES","VACACIONES","VACACIONES","VACACIONES","LCK B767\n- LIM-MIA\n- LA 2694 (13:30-19:35 hrs)","Reentrenamiento B767*\n- MIA-LIM\n- LA 2695 (16:10-22:00 hrs)","HO TARDE","LCK A320F\nChequeo Vigilancia IPO \nLIM-CUZ-LIM\nLA 2007 (09:10-10:35 hrs)\nLA 2008 (11:10-12:45 hrs)\nLCK A320F\nLIM-AQP-LIM\nLA 2055 (14:00-15:30 hrs)\nLA 2056 (16:10-17:50 hrs)","Inicial G9","DO","DO","HO FILE"],"bg":["#ffffff","#ffffff","#999999","#f7caac","#fff2cc","#ffffff","#cce0f4","#ffffcc","#ffffcc","#ffffcc","#ffffcc","#ffffcc","#ffffcc","#ffffcc","#ffffcc","#ffffcc","#ffffcc","#ffffcc","#ffffcc","#ffffcc","#ffffcc","#ffffcc","#ffffcc","#ffc000","#ffc000","#d9d9d9","#f7caac","#3d85c6","#ffffff","#ffffff","#999999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ffffff","#000000","#000000","#000000"]},{"bp":"2604360","nombre":"Mariella Carrasco","dias":["DO","DO","LCK A320F\r\nLIM-CUZ-LIM\r\nLA 2013 (08:40-10:00 hrs)\r\nLA 2014 (10:35-12:10 hrs)\r\nLCK A320F\r\nLIM-CIX-LIM\r\nLA 2270 (13:05-14:35 hrs)\r\nLA 2271 (15:10-16:30 hrs)","LCK A320F\nLIM-AQP-LIM\nLA 2055 (13:55-15:25 hrs)\nLA 2056 (16:10-17:50 hrs)","REFUERZO REALIDAD VIRTUAL \nALUMNO","DO","DO","DO","DO","LCK A320F\r\nLIM-CIX-LIM\r\nLA 2274 (09:35-11:10 hrs)\r\nLA 2275 (11:45-13:05 hrs)\r\nLCK A320F\r\nLIM-TPP-LIM\r\nLA 2087 (14:00-15:30 hrs)\r\nLA 2088 (16:05-17:30 hrs)","HO FILE","LCK A320F\r\nLIM-CUZ-LIM\r\nLA 2013 (08:40-10:00 hrs)\r\nLA 2014 (10:35-12:10 hrs)\r\nLCK A320F\r\nLIM-CIX-LIM\r\nLA 2270 (13:05-14:35 hrs)\r\nLA 2271 (15:10-16:30 hrs)","LCK B767\n- LIM-SCL\n- LA 2413 (12:05-15:45 hrs)\nLCK B767\n- SCL-LIM\n- LA 2412 (17:10-21:00 hrs)","REUNIÓN INSTRUCTORES\nTARDE","DO","DO","LCK ALUMNA A320F\nLIM-CIX-LIM\nLA 2270 (13:05-14:35 hrs)\nLA 2271 (15:10-16:30 hrs)","Reva de Servicio\n(08:30-17:30 hrs)\nDÍA 1\nSVC DE TCS","Blanco","LCK B767\n- LIM-MIA\n- LA 2480 (00:15-06:20 hrs)","Habilitación B767*\n- MIA-LIM\n- LA 2481 (15:55-21:40 hrs)","DO","DO","PREPARACIÓN IOSA 2026","PREPARACIÓN IOSA 2026","LCK A320F\nLIM-CUZ-LIM\nLA 2013 (08:40-10:00 hrs)\nLA 2014 (10:35-12:10 hrs)","LCK A320F\nLIM-TPP-LIM\nLA 2087 (14:25-15:50 hrs)\nLA 2088 (16:30-17:55 hrs)","HO","DO","DO","HO FILE"],"bg":["#ffffff","#ffffff","#f7caac","#f7caac","#fff2cc","#ffffff","#ffffff","#ffffff","#ffffff","#f7caac","#999999","#f7caac","#ffc000","#ffff00","#ffffff","#ffffff","#f7caac","#2f5496","#ffc000","#ffc000","#ffc000","#ffffff","#ffffff","#ffff00","#ffff00","#f7caac","#f7caac","#d9d9d9","#ffffff","#ffffff","#999999"],"fg":["#000000","#000000","#000000","#000000","#000000","#000000","#000000","#000000","#000000","#000000","#000000","#000000","#000000","#000000","#000000","#000000","#000000","#ffffff","#000000","#000000","#000000","#000000","#000000","#000000","#000000","#000000","#000000","#000000","#000000","#000000","#000000"]},{"bp":"2823133","nombre":"Cesar Campos","dias":["DO","DO","Inicial G9","Inicial G9","HO FILE","DO","DO","DO","DO","LCK ALUMNO\nHAB\n\nLA2270 LIM CIX (13:05-14:35)\nLA2271 CIX LIM (15:10 - 16:30)","HO FILE","RTI: PRÁCTICA G2\nA320F / B767\n(08:30-17:30 hrs)\nINS APOYO","BAJADA TTT SVC (TC)\nALUMNO","REUNIÓN INSTRUCTORES","DO","DO","REFUERZO REALIDAD VIRTUAL \nINSTRUCTOR\n\n----\n\nTALLER VOLUNTARIO RRVV TC","TALLER DE SERVICIO AM\nTALLER HIGH RANK PM","HO FILE","RTI: PRÁCTICA\nA320F / B767\n(08:30-17:30 hrs)\nINS APOYO TM A320F","RTI: PRÁCTICA\nA320F / B767\n(08:30-17:30 hrs)\nINS TITULAR","DO","DO","Habilitación B767\n- LIM - ATL\n- LA 2482 (12:05-20:35 hrs)","Habilitación B767\n- ATL - LIM\n- LA 2483 (23:15-05:01 hrs)","HAB WB","BAJADA TTT SVC (JSB)\nALUMNO","RTI: PRÁCTICA\nA320F / B767\n(08:30-17:30 hrs)\nINS TITULAR","DO","DO","REFUERZO REALIDAD VIRTUAL \nINSTRUCTOR"],"bg":["#ffffff","#ffffff","#3d85c6","#3d85c6","#999999","#ffffff","#ffffff","#ffffff","#ffffff","#f7caac","#999999","#cce0f4","#d5a6bd","#ffff00","#ffffff","#ffffff","#fff2cc","#d0e0e3","#999999","#cce0f4","#cce0f4","#ffffff","#ffffff","#ffc000","#ffc000","#ffc000","#d9ead3","#cce0f4","#ffffff","#ffffff","#fff2cc"],"fg":["#000000","#000000","#ffffff","#ffffff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3189967","nombre":"Kevin Segovia","dias":["DO","DO","HO FILE","RTI: VIRTUAL\nA320F / B767\n(08:30-17:30 hrs)\nINS TITULAR","REFUERZO REALIDAD VIRTUAL \nINSTRUCTOR","DO","Inicial G9","DO","DO","HO FILE","DO","RTI: PRÁCTICA G2\nA320F / B767\n(08:30-17:30 hrs)\nINS TITULAR","TALLER DE SERVICIO AM\nTALLER HIGH RANK PM","REUNIÓN INSTRUCTORES","DO","VACACIONES","VACACIONES","VACACIONES","VACACIONES","VACACIONES","VACACIONES","VACACIONES","VACACIONES","VACACIONES","VACACIONES","VACACIONES","VACACIONES","VACACIONES","VACACIONES","VACACIONES","VACACIONES"],"bg":["#ffffff","#ffffff","#999999","#cce0f4","#fff2cc","#ffffff","#3d85c6","#ffffff","#ffffff","#999999","#ffffff","#cce0f4","#d0e0e3","#ffff00","#ffffff","#ffffcc","#ffffcc","#ffffcc","#ffffcc","#ffffcc","#ffffcc","#ffffcc","#ffffcc","#ffffcc","#ffffcc","#ffffcc","#ffffcc","#ffffcc","#ffffcc","#ffffcc","#ffffcc"],"fg":["#000000","#000000","#000000","#000000","#000000","#000000","#ffffff","#000000","#000000","#000000","#000000","#000000","#000000","#000000","#000000","#000000","#000000","#000000","#000000","#000000","#000000","#000000","#000000","#000000","#000000","#000000","#000000","#000000","#000000","#000000","#000000"]},{"bp":"2415373","nombre":"Milagros Salas","dias":["DO","DO","Curso 50%\nDía 8","Curso 50%\nDía 9","Reva de Servicio\n(08:30-17:30 hrs)\nDÍA 1\nSVC DE TCS","DO","DO","DO","DO","Inicial G9\nVisita Guiada","Inicial G9\nVisita Guiada","Inicial G9\nVisita Guiada","Inicial G8\nChequeo LATAM\nLA2071-LA2072\tLIM-TCQ-LIM\t10:30-13:00","REUNIÓN INSTRUCTORES","DO","DO","Habilitación NB\nLA2941 \nLIM BOG\n (08:51 - 11:50 HRS)","BOG LIM\nPS\nLA4906\nBOG LIM\n(11:54 - 14:49 HRS)","HO FILE","Inicial G9","HO","DO","DO","CERTIFICACIÓN INS EXTERNO\nAERODINÁMICA Y METEROLOGÍA","Reva de Servicio\n(08:30-17:30 hrs)\nDÍA 1\nSVC DE TCS","RTI: VIRTUAL\nA320F / B767\n(08:30-17:30 hrs)\nINS TITULAR","Entrevistas","RTI: PRÁCTICA\nA320F / B767\n(08:30-17:30 hrs)\nINS APOYO","DO","DO","HO FILE"],"bg":["#ffffff","#ffffff","#ff4b4f","#ff4b4f","#2f5496","#ffffff","#ffffff","#ffffff","#ffffff","#3d85c6","#3d85c6","#3d85c6","#ff4b4f","#ffff00","#ffffff","#ffffff","#f7caac","#f7caac","#999999","#3d85c6","#d9d9d9","#ffffff","#ffffff","#d0e0e3","#2f5496","#cce0f4","#d9d9d9","#cce0f4","#ffffff","#ffffff","#999999"],"fg":["#000000","#000000","#ffffff","#ffffff","#ffffff","#000000","#000000","#000000","#000000","#ffffff","#ffffff","#ffffff","#ffffff","#000000","#000000","#000000","#000000","#000000","#000000","#ffffff","#000000","#000000","#000000","#000000","#ffffff","#000000","#000000","#000000","#000000","#000000","#000000"]},{"bp":"2440915","nombre":"Judith Fernandez","dias":["VACACIONES","VACACIONES","VACACIONES","VACACIONES","VACACIONES","VACACIONES","VACACIONES","VACACIONES","VACACIONES","VACACIONES","VACACIONES","VACACIONES","VACACIONES","VACACIONES","VACACIONES","DO","HAB B767\n- LIM-ATL\n- LA 2482 (12:05-19:35 hrs)","HAB B767\n- ATL-LIM\n- LA 2483 (22:15-05:00 hrs)","HAB WB","Inicial G9","HO","DO","DO","CERTIFICACIÓN INS EXTERNO\nAERODINÁMICA Y METEROLOGÍA","Inicial G9","Inicial G9","BAJADA TTT SVC (JSB)\nINSTRUCTOR","HANGAR","DO","DO","HO FILE"],"bg":["#ffffcc","#ffffcc","#ffffcc","#ffffcc","#ffffcc","#ffffcc","#ffffcc","#ffffcc","#ffffcc","#ffffcc","#ffffcc","#ffffcc","#ffffcc","#ffffcc","#ffffcc","#ffffff","#ffc000","#ffc000","#ffc000","#3d85c6","#d9d9d9","#ffffff","#ffffff","#d0e0e3","#3d85c6","#3d85c6","#d9ead3","#999999","#ffffff","#ffffff","#999999"],"fg":["#000000","#000000","#000000","#000000","#000000","#000000","#000000","#000000","#000000","#000000","#000000","#000000","#000000","#000000","#000000","#000000","#000000","#000000","#000000","#ffffff","#000000","#000000","#000000","#000000","#ffffff","#ffffff","#000000","#000000","#000000","#000000","#000000"]},{"bp":"3796947","nombre":"Rafael Nieto","dias":["SICK","SICK","SICK","SICK","SICK","SICK","SICK","SICK","SICK","SICK","SICK","SICK","SICK","SICK","SICK","SICK","SICK","SICK","SICK","SICK","SICK","SICK","SICK","SICK","SICK","SICK","SICK","SICK","SICK","SICK","SICK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Celiz","dias":["VACACIONES","VACACIONES","VACACIONES","VACACIONES","VACACIONES","VACACIONES","VACACIONES","DO","DO","Habilitación B767\n- LIM-MIA\n- LA 2698 (08:15-14:20 hrs)","Habilitación B767\n- MIA-LIM\n- LA 2695 (16:10-22:00 hrs)","Curso 50%\nChequeo LATAM\n\nLA2312/LA2313 LIM-CIX-LIM\n15:30/19:10","HO","REUNIÓN INSTRUCTORES","DO","DO","TALLER VOLUNTARIO DE SEGURIDAD","RTI: VIRTUAL\nA320F / B767\n(08:30-17:30 hrs)\nINS TITULAR","RTI: VIRTUAL\nA320F / B767\n(08:30-17:30 hrs)\nINS TITULAR","RTI: PRÁCTICA\nA320F / B767\n(08:30-17:30 hrs)\nINS TITULAR","RTI: PRÁCTICA\nA320F / B767\n(08:30-17:30 hrs)\nINS APOYO","DO","DO","HO FILE","HO","Inicial G9","DM","RTI: PRÁCTICA\nA320F / B767\n(08:30-17:30 hrs)\nINS APOYO","DO","DO","HO FILE"],"bg":["#ffffcc","#ffffcc","#ffffcc","#ffffcc","#ffffcc","#ffffcc","#ffffcc","#ffffff","#ffffff","#ffc000","#ffc000","#ff4b4f","#d9d9d9","#ffff00","#ffffff","#ffffff","#ffff00","#cce0f4","#cce0f4","#cce0f4","#cce0f4","#ffffff","#ffffff","#999999","#d9d9d9","#3d85c6","#999999","#cce0f4","#ffffff","#ffffff","#999999"],"fg":["#000000","#000000","#000000","#000000","#000000","#000000","#000000","#000000","#000000","#000000","#000000","#ffffff","#000000","#000000","#000000","#000000","#000000","#000000","#000000","#000000","#000000","#000000","#000000","#000000","#000000","#ffffff","#000000","#000000","#000000","#000000","#000000"]}]}</t>
  </si>
  <si>
    <t>{"mes":"2026-09","fuente":"09 - Rol de Instructores LP - SEP - 2026","hoja":"SEPTIEMBRE","instructores":[{"bp":"2713993","nombre":"Fiorella Ruiz    (AUD)","dias":["RESERVA IET\nTARDE","HO AUD","LCK B767\n- LIM-SCL\n- LA 2413 (12:05-15:45 hrs)\nLCK B767\n- SCL-LIM\n- LA 2412 (17:10-21:00 hrs)","HO AUD (PM)","FDS","FDS","LCK A320F\r\nLIM-CUZ-LIM\r\nLA 2013 (08:35-09:55 hrs)\r\nLA 2014 (10:40-12:15 hrs)\r\nLCK A320F\r\nLIM-CUZ-LIM\r\nLA 2028 (13:25-14:45 hrs)\r\nLA 2029 (15:30-17:05 hrs)","Blanco","LCK B767\n- LIM-MIA\n- LA 2480 (00:15-06:20 hrs)","Habilitación B767*\n- MIA-LIM\n- LA 2695 (16:10-22:00 hrs)","REUNIÓN INSTRUCTORES\nTARDE","FDS","FDS","HO AUD","LCK A320F\nLIM-CUZ-LIM\nLA 2007 (09:10-10:30 hrs)\nLA 2008 (11:20-12:55 hrs)\nLCK A320F\nLIM-CJA-LIM\nLA 2295 (14:10-15:30 hrs)\nLA 2294 (16:10-17:15 hrs)","RTI: PRÁCTICA\nA320F / B767 / B787\n(08:30-17:30 hrs)\nINS APOYO\nGRUPO 4","Habilitación A320F (CST)\nLIM AYP LIM\nLA2184 (10:30-11:35)\nLA2183 (12:20-13:15)","LCK B767\n- LIM-SCL\n- LA 2413 (12:05-15:45 hrs)\nLCK B767\n- SCL-LIM\n- LA 2412 (17:10-21:00 hrs)","FDS","FDS","LCK B767\n- LIM-MIA\n- LA 2698 (08:30-15:30 hrs)","Blanco","LCK B767\n- MIA-LIM\n- LA 2699 (23:15-05:00 hrs)","AUDITORÍA IOSA CAB","LCK A320F\r\nLIM-CUZ-LIM\r\nLA 2013 (08:35-09:55 hrs)\r\nLA 2014 (10:40-12:15 hrs)\r\nLCK A320F\r\nLIM-CUZ-LIM\r\nLA 2028 (13:25-14:45 hrs)\r\nLA 2029 (15:30-17:05 hrs)","FDS","FDS","AUDITORÍA IOSA CAB","AUDITORÍA IOSA CAB","AUDITORÍA IOSA CAB"],"bg":["#d9d9d9","#999999","#ffc000","#999999","#0000ff","#0000ff","#f7caac","#ffc000","#ffc000","#ffc000","#ffff00","#0000ff","#0000ff","#999999","#f7caac","#cce0f4","#f7caac","#ffc000","#0000ff","#0000ff","#ffc000","#ffc000","#ffc000","#ffff00","#f7caac","#0000ff","#0000ff","#ffff00","#ffff00","#ffff00"],"fg":["#000000","#000000","#000000","#000000","#ffffff","#ffffff","#000000","#000000","#000000","#000000","#000000","#ffffff","#ffffff","#000000","#000000","#000000","#000000","#000000","#ffffff","#ffffff","#000000","#000000","#000000","#000000","#000000","#ffffff","#ffffff","#000000","#000000","#000000"]},{"bp":"2396710","nombre":"Sebastian Correa","dias":["VACACIONES","VACACIONES","VACACIONES","VACACIONES","VACACIONES","VACACIONES","VACACIONES","VACACIONES","VACACIONES","VACACIONES","VACACIONES","FDS","FDS","LCK B767\n- LIM-MIA\n- LA 2694 (13:30-19:35 hrs)","Blanco","Habilitación *\n- MIA-LIM\n- LA 2699 (23:15-05:00 hrs)","RTI: PRÁCTICA\nA320F / B767 / B787\n(08:30-17:30 hrs)\nINS APOYO TM B787\nGRUPO 4","LCK A320F + Habilitación A320F\r\nLIM-CUZ-LIM\r\nLA 2013 (08:35-09:55 hrs)\r\nLA 2014 (10:40-12:15 hrs)\r\nLCK A320F\r\nLIM-CUZ-LIM\r\nLA 2028 (13:25-14:45 hrs)\r\nLA 2029 (15:30-17:05 hrs)","FDS","FDS","Habilitación B767\n- LIM-SCL\n- LA 2497 (09:35-13:00 hrs)\n- SCL-LIM\n- LA 2496 (16:00-19:45 hrs)","HO PPT (PM)","Ditching Presencial A320F + HANDS ON\nTripulación de Mando\nLP\n(08:30-17:30 hrs)","LCK B787\n- LIM-SCL\n- LA 2697 (09:35-13:00 hrs)\nLCK B787\n- SCL-LIM\n- LA 2696 (16:00-19:45 hrs)","TALLER DE SERVICIO PM","FDS","FDS","LCK B787\n- LIM-SCL\n- LA 2697 (09:35-13:00 hrs)\nLCK B787\n- SCL-LIM\n- LA 2696 (16:00-19:45 hrs)","RESERVA IET\nTARDE","LCK A320F\r\nLIM-CUZ-LIM\r\nLA 2013 (08:35-09:55 hrs)\r\nLA 2014 (10:40-12:15 hrs)\r\nLCK A320F\r\nLIM-CUZ-LIM\r\nLA 2028 (13:25-14:45 hrs)\r\nLA 2029 (15:30-17:05 hrs)"],"bg":["#ffffcc","#ffffcc","#ffffcc","#ffffcc","#ffffcc","#ffffcc","#ffffcc","#ffffcc","#ffffcc","#ffffcc","#ffffcc","#0000ff","#0000ff","#ffc000","#ffc000","#ffc000","#cce0f4","#f7caac","#0000ff","#0000ff","#ffc000","#999999","#ff4b4f","#e88888","#00ff00","#0000ff","#0000ff","#e88888","#d9d9d9","#f7caac"],"fg":["#000000","#000000","#000000","#000000","#000000","#000000","#000000","#000000","#000000","#000000","#000000","#ffffff","#ffffff","#000000","#000000","#000000","#000000","#000000","#ffffff","#ffffff","#000000","#000000","#ffffff","#000000","#000000","#ffffff","#ffffff","#000000","#000000","#000000"]},{"bp":"1271571","nombre":"Christian Rondon (FOCAL)","dias":["REALIDAD VIRTUAL","HO FOCAL","LCK A320F\r\nLIM-CUZ-LIM\r\nLA 2013 (08:35-09:55 hrs)\r\nLA 2014 (10:40-12:15 hrs)\r\nLCK A320F + Habilitación A320F\r\nLIM-CUZ-LIM\r\nLA 2028 (13:25-14:45 hrs)\r\nLA 2029 (15:30-17:05 hrs)","Inicial G9\nAdoctrinamiento del explotador \nCesar Sanchez","FDS","FDS","LCK B787\n- LIM-SCL\n- LA 2697 (09:35-13:00 hrs)\nHabilitación B787\n- SCL-LIM\n- LA 2696 (16:00-19:45 hrs)","HO FOCAL (PM)","LCK B787\n- LIM-SCL\n- LA 2697 (09:35-13:00 hrs)\nLCK B787\n- SCL-LIM\n- LA 2696 (16:00-19:45 hrs)","HO FOCAL (PM)","REUNIÓN INSTRUCTORES","FDS","FDS","VACACIONES","VACACIONES","VACACIONES","VACACIONES","VACACIONES","VACACIONES","VACACIONES","VACACIONES","VACACIONES","VACACIONES","VACACIONES","VACACIONES","VACACIONES","VACACIONES","VACACIONES","VACACIONES","VACACIONES"],"bg":["#ffff00","#999999","#f7caac","#3d85c6","#0000ff","#0000ff","#e88888","#999999","#e88888","#999999","#ffff00","#0000ff","#0000ff","#ffffcc","#ffffcc","#ffffcc","#ffffcc","#ffffcc","#ffffcc","#ffffcc","#ffffcc","#ffffcc","#ffffcc","#ffffcc","#ffffcc","#ffffcc","#ffffcc","#ffffcc","#ffffcc","#ffffcc"],"fg":["#000000","#000000","#000000","#ffffff","#ffffff","#ffffff","#000000","#000000","#000000","#000000","#000000","#ffffff","#ffffff","#000000","#000000","#000000","#000000","#000000","#000000","#000000","#000000","#000000","#000000","#000000","#000000","#000000","#000000","#000000","#000000","#000000"]},{"bp":"2843319","nombre":"Karen Santa Cruz   (FOCAL- AUD)","dias":["REALIDAD VIRTUAL","LCK A320F\nLIM-CUZ-LIM\nLA 2013 (08:40-10:00 hrs)\nLA 2014 (10:40-12:15 hrs)","Recalificación A320F + Reentrenamiento A320F\nLIM-PIU-LIM\nLA2015 (10:55-12:40 hrs)\nLA2016 (13:20-14:55 hrs)","EXAMEN TEÓRICO DGAC 787","DO","DO","DO","DO","HO AUD","TALLER HIGK RANK AM","REUNIÓN INSTRUCTORES","DO","DO","HO FOCAL","LCK A320F\nLIM-PIU-LIM\nLA 2306 (09:30-11:15 hrs)\nLA 2307 (11:55-13:25 hrs)","HO FOCAL","CHEQUEO BI ANUAL INST B767\n- LIM-MIA\n- LA 2698 (08:15-14:20 hrs)","CHEQUEO BI ANUAL INST B767\n- MIA-LIM\n- LA 2481 (16:55-21:40 hrs)","DO","DO","TALLER VOLUNTARIO DE SEGURIDAD","Blanco","LCK B767\n- LIM-MIA\n- LA 2480 (00:15-06:20 hrs)","Reentrenamiento B767\n- MIA-LIM\n- LA 2695 (16:10-22:00 hrs)","HO FOCAL  (PM)","DO","DO","AUDITORÍA IOSA CAB","AUDITORÍA IOSA CAB","AUDITORÍA IOSA CAB"],"bg":["#ffff00","#f7caac","#f7caac","#ffff00","#ffffff","#ffffff","#ffffff","#ffffff","#999999","#00ff00","#ffff00","#ffffff","#ffffff","#999999","#f7caac","#999999","#ffe599","#ffe599","#ffffff","#ffffff","#ffff00","#ffc000","#ffc000","#ffc000","#999999","#ffffff","#ffffff","#ffff00","#ffff00","#ffff00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Acurio","dias":["HO NWL","LCK A320F\r\nLIM-PIU-LIM\r\nLA 2306 (09:30-11:15 hrs)\r\nLA 2307 (11:55-13:25 hrs)\r\nLCK A320F\r\nLIM-CUZ-LIM\r\nLA 2022 (14:30-15:50 hrs)\r\nLA 2025 (16:35-18:10 hrs)","HO NWL","EXAMEN TEÓRICO DGAC 787","DO","DO","LCK B767\n- LIM-MIA\n- LA 2694 (13:30-19:35 hrs)","Blanco","Habilitación B767*\n- MIA-LIM\n- LA 2699 (23:15-05:00 hrs)","HO NWL","REUNIÓN INSTRUCTORES","DO","DO","Blanco","LCK B767\n- LIM-MIA\n- LA 2480 (00:15-06:20 hrs)","Reentrenamiento B767\n- MIA-LIM\n- LA 2481 (15:55-21:40 hrs)","HO NWL (PM)","RTI: PRÁCTICA\nA320F / B767\n(08:30-17:30 hrs)\nINS APOYO\nGRUPO 5","DO","DO","TALLER VOLUNTARIO DE SEGURIDAD","DM","DM","REUNIÓN EMBAJADORES","DO","DO","DO","DO","Blanco","LCK B767\n- LIM-MIA\n- LA 2480 (00:15-06:20 hrs)"],"bg":["#999999","#f7caac","#999999","#ffff00","#ffffff","#ffffff","#ffc000","#ffc000","#ffc000","#999999","#ffff00","#ffffff","#ffffff","#ffc000","#ffc000","#ffc000","#999999","#cce0f4","#ffffff","#ffffff","#ffff00","#d9d9d9","#d9d9d9","#ffff00","#ffffff","#ffffff","#ffffff","#ffffff","#ffc000","#ffc000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29530","nombre":"Jazmin Guerra","dias":["LCK A320F\r\nLIM-CUZ-LIM\r\nLA 2013 (08:40-10:00 hrs)\r\nLA 2014 (10:40-12:15 hrs)\r\nLCK A320F\r\nLIM-CUZ-LIM\r\nLA 2028 (13:25-14:45 hrs)\r\nLA 2029 (15:30-17:05 hrs)","Inicial G9\nChequeo Latam\nLIM-TRU-LIM-TCQ-LIM\nLA 2045-2046-2067-2068\n(08:45 - 18:45)","HO NWL","EXAMEN TEÓRICO DGAC 787","DO","DO","DO","DO","LCK A320F + HAB \nLIM-CUZ-LIM\nLA 2013 (08:35-09:55 hrs)\nLA 2014 (10:40-12:15 hrs)\nLCK A320F\nLIM-CUZ-LIM\nLA 2028 (13:25-14:45 hrs)\nLA 2029 (15:30-17:05 hrs)","TALLER DE SERVICIO PM","REUNIÓN INSTRUCTORES","DO","DO","HO NWL","Blanco","LCK B767\n- LIM-MIA\n- LA 2480 (00:15-06:20 hrs)","Habilitación *\n- MIA-LIM\n- LA 2695 (16:10-22:00 hrs)","Habilitación A320F\nLIM-CJA-LIM\nLA 2295 (14:10-15:30 hrs)\nLA 2294 (16:10-17:15 hrs)","DO","DO","LCK A320F\nLIM-CUZ-LIM\nLA 2007 (09:10-10:30 hrs)\nLA 2008 (11:20-12:55 hrs)\nLCK A320F\nLIM-TPP-LIM\nLA 2087 (14:05-15:30 hrs)\nLA 2088 (16:05-17:30 hrs)","Curso Estandarización ( 13:30 - 17:30 PM)","CHEQUEO RENOVACIÓN IDE B767\nAVION ENERGIZADO","Habilitación B787\n- LIM-SCL\n- LA 2697 (09:35-13:00 hrs)\n- SCL-LIM\n- LA 2696 (16:00-19:45 hrs)","HO NWL  (PM)","DO","DO","LCK A320F\r\nLIM-CUZ-LIM\r\nLA 2013 (08:35-09:55 hrs)\r\nLA 2014 (10:40-12:15 hrs)\r\nLCK A320F\r\nLIM-CUZ-LIM\r\nLA 2028 (13:25-14:45 hrs)\r\nLA 2029 (15:30-17:05 hrs)","LCK A320F\r\nLIM-CIX-LIM\r\nLA 2274 (09:35-11:05 hrs)\r\nLA 2275 (11:45-13:05 hrs)\r\nLCK A320F\r\nLIM-CJA-LIM\r\nLA 2295 (14:10-15:30 hrs)\r\nLA 2294 (16:10-17:15 hrs)","Reva de Servicio\n(08:30-17:30 hrs)\nDÍA 1\nSVC DE JSBS"],"bg":["#f7caac","#3d85c6","#999999","#ffff00","#ffffff","#ffffff","#ffffff","#ffffff","#f7caac","#00ff00","#ffff00","#ffffff","#ffffff","#999999","#ffc000","#ffc000","#ffc000","#f7caac","#ffffff","#ffffff","#f7caac","#ffff00","#ffe599","#e88888","#999999","#ffffff","#ffffff","#f7caac","#f7caac","#2f5496"],"fg":["#000000","#ffffff","#000000","#000000","#000000","#000000","#000000","#000000","#000000","#000000","#000000","#000000","#000000","#000000","#000000","#000000","#000000","#000000","#000000","#000000","#000000","#000000","#000000","#000000","#000000","#000000","#000000","#000000","#000000","#ffffff"]},{"bp":"3217561","nombre":"Claudia Flores   (AUD)","dias":["AUDITORÍA\nLIM-MEX-LIM\nLA 2472 (08:45-14:50 hrs)","AUDITORÍA\nLIM-MEX-LIM\nLA 2471 (16:10-22:05 hrs)","HO AUD (PM)","EXAMEN TEÓRICO DGAC 787","DO","DO","Reentrenamiento A320F + Recalificación A320F\nLIM-PIU-LIM\nLA2306 (09:30-11:15 hrs)\nLA2307 (11:55-13:25 hrs)","LCK A320F\r\nLIM-CUZ-LIM\r\nLA 2013 (08:35-09:55 hrs)\r\nLA 2014 (10:40-12:15 hrs)\r\nLCK A320F\r\nLIM-CUZ-LIM\r\nLA 2028 (13:25-14:45 hrs)\r\nLA 2029 (15:30-17:05 hrs)","LCK A320F\nLIM-CJA-LIM\nLA 2295 (14:10-15:30 hrs)\nLA 2294 (16:10-17:15 hrs)","HO AUD","REUNIÓN INSTRUCTORES","DO","DO","HO AUD","HO AUD","VACACIONES","VACACIONES","VACACIONES","VACACIONES","VACACIONES","VACACIONES","VACACIONES","VACACIONES","VACACIONES","VACACIONES","VACACIONES","VACACIONES","VACACIONES","VACACIONES","VACACIONES"],"bg":["#f7caac","#f7caac","#999999","#ffff00","#ffffff","#ffffff","#f7caac","#f7caac","#f7caac","#999999","#ffff00","#ffffff","#ffffff","#999999","#999999","#ffffcc","#ffffcc","#ffffcc","#ffffcc","#ffffcc","#ffffcc","#ffffcc","#ffffcc","#ffffcc","#ffffcc","#ffffcc","#ffffcc","#ffffcc","#ffffcc","#ffff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LP","LP","LP","LP","LP","LP","LP","LP","LP","LP","LP","LP","LP","LP","LP","LP","LP","LP","LP","LP","LP","LP","LP","LP","LP","LP","LP","LP","LP","LP"],"bg":[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Dávila","dias":["HO PPT","HO PPT","Chequeo Latam B767 - CPL\n- LIM-MIA\n- LA2698 (08:15-15:20 hrs)","HABILITACIÓN B767\n- MIA-LIM\n- LA 2481 (15:55-21:40 hrs)","DO","DO","DO","DO","RTI: PRÁCTICA\nA320F / B767\n(08:30-17:30 hrs)\nINS TITULAR\nGRUPO 2","Reentrenamiento B767\n- LIM-SCL\n- LA 2413 (12:05-15:45 hrs)\nReentrenamiento B767\n- SCL-LIM\n- LA 2412 (17:10-21:00 hrs)","REUNIÓN INSTRUCTORES\nTARDE","DO","DO","Situaciones de Emergencia A320F\nTripulación de Mando\nLP\n(08:30-17:30 hrs)","Ditching Presencial A320F + HANDS ON\nTripulación de Mando\nLP\n(08:30-17:30 hrs)","RTI: PRÁCTICA\nA320F / B767 / B787\n(08:30-17:30 hrs)\nINS TITULAR\nGRUPO 4","RTI: PRÁCTICA\nA320F / B767 / B787\n(08:30-17:30 hrs)\nINS TITULAR\nGRIPO 4","RTI: PRÁCTICA\nA320F / B767\n(08:30-17:30 hrs)\nINS TITULAR\nGRUPO 5","DO","DO","CURSO ASCENSO","CURSO ASCENSO","CURSO ASCENSO","CURSO 50%","HANDS ON B787","DO","DO","LCK B787 ALUMNO + HAB\n- LIM-SCL\n- LA 2697 (09:35-15:00 hrs)\n- SCL-LIM\n- LA 2696 (17:50-19:40 hrs)","Reentrenamiento A320F\nLIM-TPP-LIM\nLA2301 (15:40 - 17:05 hrs)\nLA2300 (17:50 - 19:15 hrs)","HO PPT"],"bg":["#999999","#999999","#ffc000","#ffc000","#ffffff","#ffffff","#ffffff","#ffffff","#cce0f4","#ffc000","#ffff00","#ffffff","#ffffff","#ff4b4f","#ff4b4f","#cce0f4","#cce0f4","#cce0f4","#ffffff","#ffffff","#bf9000","#bf9000","#bf9000","#ff9900","#ffff00","#ffffff","#ffffff","#e88888","#f7caac","#999999"],"fg":["#000000","#000000","#000000","#000000","#000000","#000000","#000000","#000000","#000000","#000000","#000000","#000000","#000000","#ffffff","#ffffff","#000000","#000000","#000000","#000000","#000000","#ffffff","#ffffff","#ffffff","#000000","#000000","#000000","#000000","#000000","#000000","#000000"]},{"bp":"2369641","nombre":"Elizabeth Torres (FOCAL)","dias":["Blanco","LCK B767\n- LIM-MIA\n- LA 2480 (00:15-06:20 hrs)","LCK B767\n- MIA-LIM\n- LA 2695 (16:10-22:00 hrs)","Reentrenamiento A320F\nLIM-CJA-LIM\nLA2297 (15:15-16:35 hrs)\r\nLA2296 (17:20-18:25 hrs)","DO","DO","HO AUD","Reentrenamiento A320F\nLIM-PIU-LIM\nLA2306 (09:30-11:15 hrs)\nLA2307 (11:55-13:25 hrs)","ENTREVISTAS OLIVAR","RTI: PRÁCTICA\nA320F / B767\n(08:30-17:30 hrs)\nINS APOYO TM B767\nGRUPO 3","REUNIÓN INSTRUCTORES","DO","DO","DO","CUMP","VACACIONES","VACACIONES","VACACIONES","VACACIONES","VACACIONES","VACACIONES","VACACIONES","VACACIONES","VACACIONES","VACACIONES","VACACIONES","VACACIONES","VACACIONES","VACACIONES","VACACIONES"],"bg":["#ffc000","#ffc000","#ffc000","#f7caac","#ffffff","#ffffff","#999999","#f7caac","#999999","#a4c2f4","#ffff00","#ffffff","#ffffff","#ffffff","#ffc0cb","#ffffcc","#ffffcc","#ffffcc","#ffffcc","#ffffcc","#ffffcc","#ffffcc","#ffffcc","#ffffcc","#ffffcc","#ffffcc","#ffffcc","#ffffcc","#ffffcc","#ffff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2369624","nombre":"Patricia Najar (AUD)","dias":["VACACIONES","VACACIONES","VACACIONES","VACACIONES","VACACIONES","VACACIONES","VACACIONES","HO AUD","Inicial G9\nCHEQUEO LATAM\nLA2119 / LA2124 / LA2055 / LA2056\nLIM-AQP-LIM-AQP-LIM\n(8:30-17:50)","LCK B767\n- LIM-SCL\n- LA 2413 (12:05-15:45 hrs)\nLCK B767\n- SCL-LIM\n- LA 2412 (17:10-21:00 hrs)","REUNIÓN INSTRUCTORES\nTARDE","DO","DO","Habilitación A320F\nLIM-CUZ-LIM\nLA 2013 (08:35-09:55 hrs)\nLA 2014 (10:40-12:15 hrs)","HO AUD","AUDITORIA EN TIERRA PAU","HO AUD","Curso Estandarización ( 13:30 - 17:30 PM)","DO","DO","LCK A320F\r\nLIM-CIX-LIM\r\nLA 2274 (09:35-11:05 hrs)\r\nLA 2275 (11:45-13:05 hrs)\r\nLCK A320F\r\nLIM-CJA-LIM\r\nLA 2295 (14:10-15:30 hrs)\r\nLA 2294 (16:10-17:15 hrs)","Chequeo DGAC B767\nAvión Energizado","Blanco","LCK B767\n- LIM-MIA\n- LA 2480 (00:15-06:20 hrs)","Blanco","LCK B767\n- MIA-LIM\n- LA 2699 (15:55-21:40 hrs)\nPS","DO","DO","DO","DO"],"bg":["#ffffcc","#ffffcc","#ffffcc","#ffffcc","#ffffcc","#ffffcc","#ffffcc","#999999","#3d85c6","#ffc000","#ffff00","#ffffff","#ffffff","#f7caac","#999999","#ffff00","#999999","#ffff00","#ffffff","#ffffff","#f7caac","#e69138","#ffc000","#ffc000","#ffc000","#ffc000","#ffffff","#ffffff","#ffffff","#ffffff"],"fg":["#000000","#000000","#000000","#000000","#000000","#000000","#000000","#000000","#ffffff","#000000","#000000","#000000","#000000","#000000","#000000","#000000","#000000","#000000","#000000","#000000","#000000","#000000","#000000","#000000","#000000","#000000","#000000","#000000","#000000","#000000"]},{"bp":"3134911","nombre":"Javier Zapata","dias":["LCK A320F\r\nLIM-CIX-LIM\r\nLA 2274 (09:35-11:05 hrs)\r\nLA 2275 (11:45-13:05 hrs)\r\nLCK A320F\r\nLIM-CJA-LIM\r\nLA 2295 (14:10-15:30 hrs)\r\nLA 2294 (16:10-17:15 hrs)","HO PPT","LCK A320F + HAB\nLIM-CUZ-LIM\nLA 2007 (09:10-10:30 hrs)\nLA 2008 (11:20-12:55 hrs)\nLCK A320F\nLIM-TPP-LIM\nLA 2087 (14:05-15:30 hrs)\nLA 2088 (16:05-17:30 hrs)","LCK B767\n- LIM-SCL\n- LA 2413 (12:05-15:45 hrs)\nLCK B767\n- SCL-LIM\n- LA 2412 (17:10-21:00 hrs)","DO","DO","TALLER VOLUNTARIO DE SEGURIDAD","LCK A320F\r\nLIM-CUZ-LIM\r\nLA 2007 (09:10-10:30 hrs)\r\nLA 2008 (11:20-12:55 hrs)\r\nLCK A320F\r\nLIM-CJA-LIM\r\nLA 2295 (14:10-15:30 hrs)\r\nLA 2294 (16:10-17:15 hrs)","RTI: PRÁCTICA\nA320F / B767\n(08:30-17:30 hrs)\nINS APOYO TM A320F\nGRUPO 2","Inicial G9\nChequeo LATAM\nLA2253/LA2254\r\nLIM-TYL-LIM\n(10:55-15:10)","REUNIÓN INSTRUCTORES","DO","DO","Inicial G9\nChequeo DGAC\nLA2045 / LA2046 / LA2207 / LA2208\nLIM-TRU-LIM-JUL-LIM\n(8:45-17:40)","HO PPT","HO PPT","HO PPT","Inicial G10","DO","DO","DO","DO","LCK A320F + Habilitación A320F\r\nLIM-CUZ-LIM\r\nLA 2007 (09:10-10:30 hrs)\r\nLA 2008 (11:20-12:55 hrs)\r\nLCK A320F\r\nLIM-CUZ-LIM\r\nLA 2232 (13:55-15:15 hrs)\r\nLA 2233 (15:55-17:35 hrs)","LCK B767\n- LIM-SCL\n- LA 2413 (12:05-15:45 hrs)\nHAB B767\n- SCL-LIM\n- LA 2412 (17:10-21:00 hrs)","HO PPT (PM)","DO","DO","LCK B767\n- LIM-MIA\n- LA 2698 (08:15-14:20 hrs)","Blanco","Habilitación 767*\n- MIA-LIM\n- LA 2699 (23:15-05:00 hrs)"],"bg":["#f7caac","#999999","#f7caac","#ffc000","#ffffff","#ffffff","#ffff00","#f7caac","#cce0f4","#3d85c6","#ffff00","#ffffff","#ffffff","#3d85c6","#999999","#999999","#999999","#a64d79","#ffffff","#ffffff","#ffffff","#ffffff","#f7caac","#ffc000","#999999","#ffffff","#ffffff","#ffc000","#ffc000","#ffc000"],"fg":["#000000","#000000","#000000","#000000","#000000","#000000","#000000","#000000","#000000","#ffffff","#000000","#000000","#000000","#ffffff","#000000","#000000","#000000","#ffffff","#000000","#000000","#000000","#000000","#000000","#000000","#000000","#000000","#000000","#000000","#000000","#000000"]},{"bp":"3750335","nombre":"Jefferson Mendez","dias":["HO TECH","Blanco","LCK B767\n- LIM-MIA\n- LA 2480 (00:15-06:20 hrs)","Reentrenamiento B767\n- MIA-LIM\n- LA 2481 (15:55-21:40 hrs)","DO","DO","INICIAL G9 (Chequeo LATAM)\nLIM - TRU - LIM\nLA2045 (08:30 - 09:50)\nLA2046 (10:30 - 11:30)\nLIM - TPP - LIM\nLA2087 (14:20 - 15:30)\nLA2088 (16:00 - 17:20)","VACACIONES","VACACIONES","VACACIONES","VACACIONES","VACACIONES","VACACIONES","VACACIONES","VACACIONES","Inicial G9\nChequeo LATAM \nLA2119 / LA2118 / LA2270 / LA2271\nLIM-AQP-LIM-CIX-LIM\n(8:30-16:20   Horas: 5:50)","LCK A320F\nLIM-CUZ-LIM\nLA 2013 (08:35-09:55 hrs)\nLA 2014 (10:40-12:15 hrs)","RTI: PRÁCTICA\nA320F / B767\n(08:30-17:30 hrs)\nINS APOYO TM A320F\nGRUPO 5","DO","DO","Blanco","LCK B767\n- LIM-MIA\n- LA 2480 (00:15-06:20 hrs)","Habilitación B767\n- MIA-LIM\n- LA 2481 (15:55-21:40 hrs)","HO TECH (PM)","LCK B767\n- LIM-SCL\n- LA 2413 (12:05-15:45 hrs)\nLCK B767\n- SCL-LIM\n- LA 2412 (17:10-21:00 hrs)","DO","DO","LCK A320F\r\nLIM-CIX-LIM\r\nLA 2274 (09:35-11:05 hrs)\r\nLA 2275 (11:45-13:05 hrs)\r\nLCK A320F\r\nLIM-CJA-LIM\r\nLA 2295 (14:10-15:30 hrs)\r\nLA 2294 (16:10-17:15 hrs)","Reva de Servicio\n(08:30-17:30 hrs)\nDÍA 1\nSVC DE TCS","LCK A320F\r\nLIM-CUZ-LIM\r\nLA 2007 (09:10-10:30 hrs)\r\nLA 2008 (11:20-12:55 hrs)\r\nLCK A320F\r\nLIM-CUZ-LIM\r\nLA 2232 (13:55-15:15 hrs)\r\nLA 2233 (15:55-17:35 hrs)"],"bg":["#999999","#ffc000","#ffc000","#ffc000","#ffffff","#ffffff","#3d85c6","#ffffcc","#ffffcc","#ffffcc","#ffffcc","#ffffcc","#ffffcc","#ffffcc","#ffffcc","#3d85c6","#f7caac","#cce0f4","#ffffff","#ffffff","#ffc000","#ffc000","#ffc000","#999999","#ffc000","#ffffff","#ffffff","#f7caac","#2f5496","#f7caac"],"fg":["#000000","#000000","#000000","#000000","#000000","#000000","#ffffff","#000000","#000000","#000000","#000000","#000000","#000000","#000000","#000000","#ffffff","#000000","#000000","#000000","#000000","#000000","#000000","#000000","#000000","#000000","#000000","#000000","#000000","#ffffff","#000000"]},{"bp":"3852423","nombre":"Gabriela Ungaro (FOCAL)","dias":["Inicial G10","LCK A320F + HAB\nLIM-CUZ-LIM\nLA 2007 (09:10-10:30 hrs)\nLA 2008 (11:20-12:55 hrs)\nLCK A320F\nLIM-CUZ-LIM\nLA 2232 (13:55-15:15 hrs)\nLA 2233 (15:55-17:35 hrs)","Inicial G9\nChequeo DGAC\nLIM-CUZ-LIM\nLA2061/LA2062\n(11:40 - 15:15)","Reva de Servicio (08:30-17:30 hrs) DÍA 1 SVC DE TCS","DO","DO","LCK A320F\r\nLIM-CIX-LIM\r\nLA 2274 (09:35-11:05 hrs)\r\nLA 2275 (11:45-13:05 hrs)\r\nLCK A320F\r\nLIM-CJA-LIM\r\nLA 2295 (14:10-15:30 hrs)\r\nLA 2294 (16:10-17:15 hrs)","INICIAL G9 (Chequeo LATAM)\nLIM - PIU - LIM\nLA2308 (12:50 - 14:35)\nLA2309 (15:25 - 16:55)","RTI: PRÁCTICA\nA320F / B767\n(08:30-17:30 hrs)\nINS APOYO\nGRUPO 2","RTI: PRÁCTICA\nA320F / B767\n(08:30-17:30 hrs)\nINS APOYO\nGRUPO 3","REUNIÓN INSTRUCTORES","DO","DO","Inicial G9\nChequeo DGAC\nLA2013 / LA2014 / LA2055 / LA2056\nLIM-CUZ-LIM-AQP-LIM\n(8:35 - 17:50)","HO FOCAL","RTI: VIRTUAL\nA320F / B767\n(08:30-17:30 hrs)\nINS TITULAR\nGRUPO 5","LCK A320F\r\nLIM-CIX-LIM\r\nLA 2274 (09:35-11:05 hrs)\r\nLA 2275 (11:45-13:05 hrs)\r\nLCK A320F\r\nLIM-CIX-LIM\r\nLA 2282 (14:35-16:05 hrs)\r\nLA 2283 (16:50-18:10 hrs)","HO FOCAL","DO","DO","DO","DO","CURSO 50%","LCK A320F\r\nLIM-CUZ-LIM\r\nLA 2013 (08:35-09:55 hrs)\r\nLA 2014 (10:40-12:15 hrs)\r\nLCK A320F\r\nLIM-CUZ-LIM\r\nLA 2028 (13:25-14:45 hrs)\r\nLA 2029 (15:30-17:05 hrs)","CURSO 50%","DO","DO","Blanco","LCK B767\n- LIM-MIA\n- LA 2480 (00:15-06:20 hrs)","HABILITACION B767\n- MIA-LIM\n- LA 2481 (15:55-21:40 hrs)"],"bg":["#a64d79","#f7caac","#3d85c6","#2f5496","#ffffff","#ffffff","#f7caac","#3d85c6","#cce0f4","#a4c2f4","#ffff00","#ffffff","#ffffff","#3d85c6","#999999","#cce0f4","#f7caac","#999999","#ffffff","#ffffff","#ffffff","#ffffff","#ff9900","#f7caac","#ff9900","#ffffff","#ffffff","#ffc000","#ffc000","#ffc000"],"fg":["#ffffff","#000000","#ffffff","#ffffff","#000000","#000000","#000000","#ffffff","#000000","#000000","#000000","#000000","#000000","#ffffff","#000000","#000000","#000000","#000000","#000000","#000000","#000000","#000000","#000000","#000000","#000000","#000000","#000000","#000000","#000000","#000000"]},{"bp":"2604360","nombre":"Mariella Carrasco (AUD)","dias":["AUDITORÍA\nLIM-MEX-LIM\nLA 2472 (08:45-14:50 hrs)","AUDITORÍA\nLIM-MEX-LIM\nLA 2471 (16:10-22:05 hrs)","HO AUD (PM)","Inicial G9\nChequeo DGAC\nLIM-TRU-LIM\nLA2227/LA2228\n(11:45-15:15)","DO","DO","Blanco","LCK B767\n- LIM-MIA\n- LA 2480 (00:15-06:20 hrs)","Recalificacion B767*\n- MIA-LIM\n- LA 2481 (15:55-21:40 hrs)","HO AUD (PM)","REUNIÓN INSTRUCTORES","DO","DO","TALLER VOLUNTARIO DE SEGURIDAD","HO AUD","VACACIONES","VACACIONES","VACACIONES","VACACIONES","VACACIONES","VACACIONES","VACACIONES","VACACIONES","VACACIONES","VACACIONES","VACACIONES","VACACIONES","VACACIONES","VACACIONES","VACACIONES"],"bg":["#f7caac","#f7caac","#999999","#3d85c6","#ffffff","#ffffff","#ffc000","#ffc000","#ffc000","#999999","#ffff00","#ffffff","#ffffff","#ffff00","#999999","#ffffcc","#ffffcc","#ffffcc","#ffffcc","#ffffcc","#ffffcc","#ffffcc","#ffffcc","#ffffcc","#ffffcc","#ffffcc","#ffffcc","#ffffcc","#ffffcc","#ffffcc"],"fg":["#000000",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]},{"bp":"2823133","nombre":"Cesar Campos","dias":["REALIDAD VIRTUAL\nINS","Inicial G10","Inicial G10","RTI: PRÁCTICA\nA320F / B767\n(08:30-17:30 hrs)\nINS APOYO\nGRUPO 1","DO","DO","INICIAL G9 (Chequeo LATAM)\nLIM - CIX- LIM\nLA2270 (12:50 - 14:10)\nLA2271 (14:45 - 16:05)\nLIM - AQP - LIM\nLA2115 (17:00 - 18:20)\nLA2114 (19:20 - 21:00)","INICIAL G9 (Chequeo LATAM)\nLIM - CJA - LIM\nLA2295 (14:10 - 15:30)\nLA2294 (16:10 - 17:15)\nLIM - AQP- LIM\nLA2209 (18:10 - 19:45)\nLA2210 (20:25 - 22:10)","Inicial G9\nChequeo LATAM\nLA2338/LA2339\nLIM-PIU-LIM\n(15:00-18:50)","Inicial G10","REUNIÓN INSTRUCTORES","DO","DO","TALLER VOLUNTARIO DE SEGURIDAD (RRVV)","DO","Inicial G9\nChequeo LATAM (re-entrenamiento)\nLA2013 / LA2014\nLIM-CUZ-LIM\n(8:35 -12:15 Horas: 2:55)","CHEQUEO BI ANUAL INST B767\n- LIM-MIA\n- LA 2698 (08:15-14:20 hrs)","CHEQUEO BI ANUAL INST B767\n- MIA-LIM\n- LA 2481 (16:55-21:40 hrs)","DO","DO","CURSO 50%","Inicial G10","RTI: VIRTUAL\nA320F / B767\n(08:30-17:30 hrs)\nINS TITULAR\nGRUPO 6","Inicial G9\nRRVV","RTI: PRÁCTICA\nA320F / B767\n(08:30-17:30 hrs)\nINS TITULAR\nGRUPO 6","DO","DO","Inicial G9\nTaller de Serv. Dia 2","HANDS ON B767","Inicial G9\nTaller de Serv. Dia 3"],"bg":["#ffff00","#a64d79","#a64d79","#cce0f4","#ffffff","#ffffff","#3d85c6","#3d85c6","#3d85c6","#a64d79","#ffff00","#ffffff","#ffffff","#ffff00","#ffffff","#3d85c6","#ffe599","#ffe599","#ffffff","#ffffff","#ff9900","#a64d79","#cce0f4","#3d85c6","#cce0f4","#ffffff","#ffffff","#3d85c6","#ffff00","#3d85c6"],"fg":["#000000","#ffffff","#ffffff","#000000","#000000","#000000","#ffffff","#ffffff","#ffffff","#ffffff","#000000","#000000","#000000","#000000","#000000","#ffffff","#000000","#000000","#000000","#000000","#000000","#ffffff","#000000","#ffffff","#000000","#000000","#000000","#ffffff","#000000","#ffffff"]},{"bp":"3189967","nombre":"Kevin Segovia (AUD)","dias":["VACACIONES","VACACIONES","VACACIONES","VACACIONES","VACACIONES","VACACIONES","VACACIONES","VACACIONES","VACACIONES","VACACIONES","VACACIONES","VACACIONES","VACACIONES","VACACIONES","VACACIONES","VACACIONES","VACACIONES","VACACIONES","DO","DO","Inicial G10","HABILITACIÓN A320F\nLIM TRU LIM\nLA2045 (08:45 - 10:00 HRS)\nLA2046 (10:45 - 12:00 HRS)","Habilitación B767\nLIM ATL\nLA 2482 (12:05-20:35 hrs)\"","Habilitación B767\nATL LIM\nLA 2483 (23:15-05:00 hrs)","HAB WB","DO","DO","AUDITORÍA IOSA CAB","AUDITORÍA IOSA CAB","AUDITORÍA IOSA CAB"],"bg":["#ffffcc","#ffffcc","#ffffcc","#ffffcc","#ffffcc","#ffffcc","#ffffcc","#ffffcc","#ffffcc","#ffffcc","#ffffcc","#ffffcc","#ffffcc","#ffffcc","#ffffcc","#ffffcc","#ffffcc","#ffffcc","#ffffff","#ffffff","#a64d79","#f7caac","#ffd966","#ffd966","#ffd966","#ffffff","#ffffff","#ffff00","#ffff00","#ffff00"],"fg":["#000000","#000000","#000000","#000000","#000000","#000000","#000000","#000000","#000000","#000000","#000000","#000000","#000000","#000000","#000000","#000000","#000000","#000000","#000000","#000000","#ffffff","#000000","#000000","#000000","#000000","#000000","#000000","#000000","#000000","#000000"]},{"bp":"2415373","nombre":"Milagros Salas","dias":["LCK ALUMNO + HAB A320F\nLIM CUZ LIM\nLA2013 (08:40 - 10:00)\nLA2014 (10:40 - 12:15)\nLIM AQP LIM\n LA2055 (13:50 - 15:20)\nLA2056 (16:10 - 17:50)","RTI: VIRTUAL  \nA320F / B767\n(08:30-17:30 hrs)\nINS TITULAR\nGRUPO 1","Reva de Servicio\n(08:30-17:30 hrs)\nDÍA 1\nSVC DE TCS","RTI: PRÁCTICA\nA320F / B767\n(08:30-17:30 hrs)\nINS TITULAR\nGRUPO 1","DO","DO","Inicial G10","Inicial G10","Inicial G10","HAB  + LCK ALUMNO B767\n- LIM-SCL\n- LA 2413 (12:05-15:45 hrs)\n- SCL-LIM\n- LA 2412 (17:10-21:00 hrs)","REUNIÓN INSTRUCTORES","DO","DO","Inicial G10","Inicial G10","Inicial G10","CHEQUEO BI ANUAL INST B767\n- LIM-MIA\n- LA 2698 (08:15-14:20 hrs)","CHEQUEO BI ANUAL INST B767\n- MIA-LIM\n- LA 2481 (16:55-21:40 hrs)","DO","DO","DO","DO","Inicial G10","Inicial G10","Inicial G10","DO","DO","Inicial G10","Inicial G10","Inicial G10"],"bg":["#f7caac","#cce0f4","#2f5496","#cce0f4","#ffffff","#ffffff","#a64d79","#a64d79","#a64d79","#ffc000","#ffff00","#ffffff","#ffffff","#a64d79","#a64d79","#a64d79","#ffe599","#ffe599","#ffffff","#ffffff","#0000ff","#0000ff","#a64d79","#a64d79","#a64d79","#ffffff","#ffffff","#a64d79","#a64d79","#a64d79"],"fg":["#000000","#000000","#ffffff","#000000","#000000","#000000","#ffffff","#ffffff","#ffffff","#000000","#000000","#000000","#000000","#ffffff","#ffffff","#ffffff","#000000","#000000","#000000","#000000","#ffffff","#ffffff","#ffffff","#ffffff","#ffffff","#000000","#000000","#ffffff","#ffffff","#ffffff"]},{"bp":"2440915","nombre":"Judith Fernandez","dias":["HO PPT","Inicial G9\nChequeo Latam\nLIM-AQP-LIM-CIX-LIM\nLA2119/LA2118/LA2270/ LA2271\n(08:30-16:50)","HO PPT","RTI: PRÁCTICA\nA320F / B767\n(08:30-17:30 hrs)\nINS APOYO TM A320F\nGRUPO 1","DO","DO","INICIAL G9 (Chequeo LATAM)\nLIM - CJA - LIM\nLA2299 (11:20 - 12:30)\nLA2298 (13:25 - 14:30)\nLIM - TBP - LIM\nLA2053 (16:20 - 18:10)\nLA2054 (18:50 - 20:30)","INICIAL G9 (Chequeo LATAM)\nLIM - JUL LIM\nLA2335 (14:30 - 16:00)\nLA2336 (16:50 - 18:35)\nLIM - AQP- LIM\nLA2326 (19:15 - 20:45)\nLA2012 (21:20 - 23:00)","HO PPT (PM)","Inicial G9\nChequeo LATAM\nLA2007 / LA2008 / LA2335 / LA2336\nLIM-CUZ-LIM-JUL-LIM\n(9:10-18:35)","REUNIÓN INSTRUCTORES TARDE","DO","DO","TALLER VOLUNTARIO DE SEGURIDAD","HANDS ON B767","Habilitación A320F\n (CST)\nLA2184 LIM AYP (10:30 - 11:35)\nLA2183 AYP LIM (12:20 - 13:15)","RTI: PRÁCTICA\nA320F / B767 / B787\n(08:30-17:30 hrs)\nINS APOYO\nGRUPO 4","Reentrenamiento B767\n- LIM-SCL\n- LA 2413 (12:05-15:45 hrs)\nReentrenamiento B767\n- SCL-LIM\n- LA 2412 (17:10-21:00 hrs)","DO","DO","RESERVA IET\nTARDE","Reva de Servicio\n(08:30-17:30 hrs)\nDÍA 1\nSVC DE TCS","Inicial G9\nTaller de Serv. Dia 1 \nCAE","Inicial G9\nRRVV","TALLER HIGH RANK AM","DO","DO","DO","DO","CURSO 50%"],"bg":["#999999","#3d85c6","#999999","#cce0f4","#ffffff","#ffffff","#3d85c6","#3d85c6","#999999","#3d85c6","#ffff00","#ffffff","#ffffff","#ffff00","#ffff00","#f7caac","#cce0f4","#ffc000","#ffffff","#ffffff","#d9d9d9","#2f5496","#3d85c6","#3d85c6","#00ff00","#ffffff","#ffffff","#ffffff","#ffffff","#ff9900"],"fg":["#000000","#ffffff","#000000","#000000","#000000","#000000","#ffffff","#ffffff","#000000","#ffffff","#000000","#000000","#000000","#000000","#000000","#000000","#000000","#000000","#000000","#000000","#000000","#ffffff","#ffffff","#ffffff","#000000","#000000","#000000","#000000","#000000","#000000"]},{"bp":"3796947","nombre":"Rafael Nieto","dias":["SICK","SICK","SICK","SICK","SICK","SICK","SICK","SICK","SICK","SICK","REUNIÓN INSTRUCTORES","SICK","SICK","SICK","ADM PM","SICK","SICK","SICK","SICK","SICK","SICK","SICK","SICK","SICK","SICK","SICK","SICK","SICK","SICK","SICK"],"bg":["#ffffff","#ffffff","#ffffff","#ffffff","#ffffff","#ffffff","#ffffff","#ffffff","#ffffff","#a4c2f4","#ffff00","#ffffff","#ffffff","#ffffff","#d9d9d9","#ffffff","#ffffff","#ffffff","#ffffff","#ffffff","#ffffff","#ffffff","#ffffff","#ffffff","#ffffff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Celiz","dias":["HO TECH","Reva de Servicio\n(08:30-17:30 hrs)\nDÍA 1\nSVC DE TCS","LCK B767\nAlumno\n- LIM-SCL\n- LA 2413 (12:05-15:45 hrs)\nLCK B767\n- SCL-LIM\n- LA 2412 (17:10-21:00 hrs)","HO TECH","DO","DO","TALLER VOLUNTARIO DE SEGURIDAD","RTI: VIRTUAL\nA320F / B767\n(08:30-17:30 hrs)\nINS TITULAR\nGRUPO 2","RTI: VIRTUAL\nA320F / B767\n(08:30-17:30 hrs)\nINS TITULAR\nGRUPO 3","RTI: PRÁCTICA\nA320F / B767\n(08:30-17:30 hrs)\nINS TITULAR\nGRUPO 3","REUNIÓN INSTRUCTORES","DO","DO","HO TECH","RTI: VIRTUAL\nA320F / B767 / B787\n(08:30-17:30 hrs)\nINS TITULAR\nGRUPO 4","HO TECH","CHEQUEO BI ANUAL INST B767\n- LIM-MIA\n- LA 2698 (08:15-14:20 hrs)","CHEQUEO BI ANUAL INST B767\n- MIA-LIM\n- LA 2481 (16:55-21:40 hrs)","DO","DO","Reentrenamiento A320F\nLIM-AQP-LIM\nLA2123 (09:15 - 10:45 hrs)\nLA 2124 (11:25 - 13:00 hrs)","Situaciones de Emergencia A320F\nTripulación de Mando\nLP\n(08:30-17:30 hrs)","LCK ALUMNO + HAB A320F\nLA2232 LIM CUZ\n(13:55 - 15:15 HRS)\nLA2233 CUZ LIM\n(15:55 - 17:35 HRS)","Reva de Servicio\n(08:30-17:30 hrs)\nDÍA 1\nSVC DE TCS","RTI: PRÁCTICA\nA320F / B767\n(08:30-17:30 hrs)\nINS APOYO\nGRUPO 6","DO","DO","DO","DO","AUDITORÍA IOSA CAB"],"bg":["#999999","#2f5496","#ffc000","#999999","#ffffff","#ffffff","#ffff00","#cce0f4","#a4c2f4","#a4c2f4","#ffff00","#ffffff","#ffffff","#999999","#cce0f4","#999999","#ffe599","#ffe599","#ffffff","#ffffff","#f7caac","#ff4b4f","#f7caac","#2f5496","#cce0f4","#ffffff","#ffffff","#ffffff","#ffffff","#ffff00"],"fg":["#000000","#ffffff","#000000","#000000","#000000","#000000","#000000","#000000","#000000","#000000","#000000","#000000","#000000","#000000","#000000","#000000","#000000","#000000","#000000","#000000","#000000","#ffffff","#000000","#ffffff","#000000","#000000","#000000","#000000","#000000","#000000"]}]}</t>
  </si>
  <si>
    <t>{"mes":"2026-10","fuente":"10 - Rol Instructores LP-OCT-26","hoja":"ROL INS","instructores":[{"bp":"2713993","nombre":"Fiorella Ruiz       AUD","dias":["IOSA","IOSA","FDS","FDS","VACACIONES","VACACIONES","VACACIONES","VACACIONES","VACACIONES","VACACIONES","VACACIONES","VACACIONES","VACACIONES","VACACIONES","VACACIONES","VACACIONES","VACACIONES","VACACIONES","VACACIONES","VACACIONES","VACACIONES","VACACIONES","VACACIONES","FDS","FDS","VACACIONES","VACACIONES","VACACIONES","VACACIONES","VACACIONES","VACACIONES"],"bg":["#ff9900","#ff9900","#0000ff","#0000ff","#ffffcc","#ffffcc","#ffffcc","#ffffcc","#ffffcc","#ffffcc","#ffffcc","#ffffcc","#ffffcc","#ffffcc","#ffffcc","#ffffcc","#ffffcc","#ffffcc","#ffffcc","#ffffcc","#ffffcc","#ffffcc","#ffffcc","#0000ff","#0000ff","#ffffcc","#ffffcc","#ffffcc","#ffffcc","#ffffcc","#ffffcc"],"fg":["#000000","#000000","#ffffff","#ffffff","#000000","#000000","#000000","#000000","#000000","#000000","#000000","#000000","#000000","#000000","#000000","#000000","#000000","#000000","#000000","#000000","#000000","#000000","#000000","#ffffff","#ffffff","#000000","#000000","#000000","#000000","#000000","#000000"]},{"bp":"2396710","nombre":"Sebastian Correa","dias":["CURSO 50%  \n(09:30 - 17:30 pm)","LCK A320F\nLIM-CUZ-LIM\nLA 2007 (09:10-10:30 hrs)\nLA 2008( 11:20-12:55 hrs)\nLCK A320F\nLIM-CIX-LIM\nLA 2152(13:50-15:20 hrs)\nLA 2153(15:55-17:15 hrs)","FDS","FDS","Blanco","LCK B767\n- LIM-MIA\n- LA 2480 (00:15-06:20 hrs)","LCK B767\n- MIA-LIM\n- LA 2481 (15:55-21:40 hrs)","FERIADO","REUNIÓN INSTRUCTORES","FDS","FDS","Blanco","LCK B767\n- LIM-MIA\n- LA 2480 (00:15-06:20 hrs)","LCK B767\n- MIA-LIM\n- LA 2481 (15:55-21:40 hrs)","HO - PM","CURSO B787","FDS","FDS","Inicial G10","Ditching Presencial B787 + HANDS ON\nTripulación de Mando\nLP\n(08:30-17:30 hrs)","LCK A320F\nLIM-CUZ-LIM\nLA 2007 (09:10 - 10:30 hrs)\nLA 2008 (11:20 - 12:55 hrs)","HANDS ON B787\nTripulación de Mando\nLP\n(08:30-11:30 hrs)","LCK A320F\nLIM-CUZ-LIM\n(LA 2007 - LA 2008)\nLCK A320F\nLIM-TPP-LIM\n(LA 2087 -LA 2088)","FDS","FDS","CURSO B787","LCK B787\n- LIM-SCL\n- LA 2697 (09:35-13:00 hrs)\nLCK B787 \n- SCL-LIM\n- LA 2696 (16:00-19:45 hrs)","HO FILE TARDE","RTI: PRÁCTICA\nA320F / B767 / B787\n(08:30-17:30 hrs)\nINS TITULAR B787\nGRUPO 5","LCK B787 ALUMNO (CST)\n- LIM-SCL\n- LA 2697 (09:35-13:00 hrs)\nLCK B787\n- SCL-LIM\n- LA 2696 (16:00-19:45 hrs)","DO"],"bg":["#674ea7","#f7caac","#0000ff","#0000ff","#ffc000","#ffc000","#ffc000","#0000ff","#ffff00","#0000ff","#0000ff","#ffc000","#ffc000","#ffc000","#999999","#4a86e8","#0000ff","#0000ff","#a64d79","#ff4b4f","#f7caac","#ff4b4f","#f7caac","#0000ff","#0000ff","#4a86e8","#e88888","#999999","#cce0f4","#e88888","#ffffff"],"fg":["#000000","#000000","#ffffff","#ffffff","#000000","#000000","#000000","#000000","#000000","#ffffff","#ffffff","#000000","#000000","#000000","#000000","#000000","#ffffff","#ffffff","#ffffff","#ffffff","#000000","#ffffff","#000000","#ffffff","#ffffff","#000000","#000000","#000000","#000000","#000000","#000000"]},{"bp":"1271571","nombre":"Christian Rondon FOCAL","dias":["VACACIONES","VACACIONES","VACACIONES","VACACIONES","VACACIONES","VACACIONES","VACACIONES","VACACIONES","VACACIONES","VACACIONES","VACACIONES","VACACIONES","VACACIONES","VACACIONES","VACACIONES","VACACIONES","VACACIONES","VACACIONES","HB6\nCurso B767\n(08:30-17:30hrs)","LCK B787\n- LIM-SCL\n- LA 2697 (09:35-13:00 hrs)\nLCK B787\n- SCL-LIM\n- LA 2696 (16:00-19:45 hrs)","Blanco","LCK B767\n- LIM-MIA\n- LA 2480 (00:15-06:20 hrs)","LCK B767\n- MIA-LIM\n- LA 2481 (15:55-21:40 hrs)","FDS","FDS","Reentrenamiento \n- LIM-SCL\n- LA 2697 (09:35-13:00 hrs)\n Habilitación B787\n- SCL-LIM\n- LA 2696 (16:00-19:45 hrs)","HO FILE TARDE","RTI: PRÁCTICA\nA320F / B767\n(08:30-17:30 hrs)\nINS TITULAR\nGRUPO 6","RTI: PRÁCTICA\nA320F / B767 / B787\n(08:30-17:30 hrs)\nINS APOYO \nGRUPO 5","LCK B787\n- LIM-SCL\n- LA 2697 (09:35-13:00 hrs)\nLCK B787 ALUMNO (CST)\n- SCL-LIM\n- LA 2696 (16:00-19:45 hrs)","DO"],"bg":["#ffffcc","#ffffcc","#ffffcc","#ffffcc","#ffffcc","#ffffcc","#ffffcc","#ffffcc","#ffffcc","#ffffcc","#ffffcc","#ffffcc","#ffffcc","#ffffcc","#ffffcc","#ffffcc","#ffffcc","#ffffcc","#a8d08d","#e88888","#ffc000","#ffc000","#ffc000","#0000ff","#0000ff","#e88888","#999999","#cce0f4","#cce0f4","#e88888","#ffffff"],"fg":["#000000","#000000","#000000","#000000","#000000","#000000","#000000","#000000","#000000","#000000","#000000","#000000","#000000","#000000","#000000","#000000","#000000","#000000","#000000","#000000","#000000","#000000","#000000","#ffffff","#ffffff","#000000","#000000","#000000","#000000","#000000","#000000"]},{"bp":"2843319","nombre":"Karen Santa Cruz FOCAL - AUD","dias":["IOSA","IOSA","DO","DO","BACK UP JB","BACK UP JB\n-\nClase Modelo B787\n+ Examen G10 - 2Horas","LCK A320F\nLIM-AQP-LIM\nLA 2119 (08:19-09:49 hrs)\nLA 2118 (10:55-12:35 hrs)","VACACIONES","VACACIONES","VACACIONES","VACACIONES","VACACIONES","VACACIONES","VACACIONES","VACACIONES","VACACIONES","VACACIONES","VACACIONES","VACACIONES","VACACIONES","VACACIONES","VACACIONES","VACACIONES","DO","DO","Chequeo INS LATAM + HAB B787\n- LIM-SCL\n- LA 2697 (09:35-13:00 hrs)\n- SCL-LIM\n- LA 2696 (16:00-19:45 hrs)","HO FILE TARDE","CURSO 50%","LCK A320F\nLIM-CJA-LIM\nLA 2295 (11:00-12:25 hrs)\nLA 2294 (13:15-14:25 hrs)","CHEQUEO DGAC INSTRUCTOR B787\nIPO ESCOMEL\nAvión Energizado\n07:00 HRS","DO"],"bg":["#ff9900","#ff9900","#ffffff","#ffffff","#b45f06","#b45f06","#f7caac","#ffffcc","#ffffcc","#ffffcc","#ffffcc","#ffffcc","#ffffcc","#ffffcc","#ffffcc","#ffffcc","#ffffcc","#ffffcc","#ffffcc","#ffffcc","#ffffcc","#ffffcc","#ffffcc","#ffffff","#ffffff","#d9ead3","#999999","#ff9900","#f7caac","#d9ead3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Acurio","dias":["Habilitación *\n- MIA-LIM\n- LA 2695(22:30 17:30 hrs)","HO NWL PM (15:00 - 17:30)","DO","DO","LCK B767\n- LIM-MIA\n- LA2698 (08:15-15:20 hrs)","Acompañamiento de Servicio - MIA-LIM\n- LA 2695(15:55-21:40 hrs)","RESERVA IET TARDE \n(14:00 - 17:30 )","FERIADO","ENTREVISTAS ASCENSO \nREUNIÓN INSTRUCTORES","DO","DO","LCK B767\n- LIM-MIA\n- LA 2694 (13:30-19:35 hrs)","Blanco","LCK B767\n- MIA-LIM\n- LA 2699 (23:15-05:00 hrs)","HO","HO - PM","DO","DO","Blanco","LCK B767\n- LIM-MIA\n- LA 2480","LCK B767\n- MIA-LIM\n- LA 2481","DO","DO","DO","DO","LCK A320F\nLIM-AQP-LIM\nLA 2123 (09:15-10:45 hrs)\nLA 2124 (11:25-12:55 hrs)\nLCK A320F\nLIM-CJA-LIM\nLA 2295 (14:15-15:40 hrs)\nLA 2294 (16:20-17:30 hrs)","CURSO ESTANDARIZACIÓN AM/ PM  (09.00 - 17:30)","INICIAL G12","LCK A320F\nLIM-CJA-LIM\nLA 2350 (10:00-11:25 hrs)\nLA 2351 (12:10-13:20 hrs)\nLCK A320F\nLIM-TRU-LIM\nLA 2131 (14:20-15:35 hrs)\nLA 2132 (16:10-17:25 hrs)","RESERVA IET","DO"],"bg":["#ffc000","#999999","#ffffff","#ffffff","#ffc000","#ffc000","#d9d9d9","#0000ff","#ffff00","#ffffff","#ffffff","#ffc000","#ffc000","#ffc000","#999999","#999999","#ffffff","#ffffff","#ffc000","#ffc000","#ffc000","#ffffff","#ffffff","#ffffff","#ffffff","#f7caac","#c9daf8","#00ffff","#f7caac","#d9d9d9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29530","nombre":"Jazmin Guerra","dias":["VACACIONES","VACACIONES","VACACIONES","VACACIONES","VACACIONES","VACACIONES","VACACIONES","VACACIONES","Clase Modelo B787","VACACIONES","VACACIONES","VACACIONES","VACACIONES","VACACIONES","VACACIONES","Reva de Servicio\n(08:30-17:30 hrs)\nDÍA 1\nSVC DE TCS","DO","DO","LCK B767- \nLIM-MIA\n- LA 2694 (13:30-13:25 hrs)","LCK B767\n- MIA-LIM\n- LA 2695 (16:55-21:40 hrs)","HO (PM)","HO NWL","HO NWL","DO","DO","Chequeo INS LATAM\n- LIM-SCL\n- LA 2697 (09:35-13:00 hrs)\n- SCL-LIM\n- LA 2696 (16:00-19:45 hrs)","Reentrenamiento A320F + Recalificación A320F\nLIM-PCL-LIM\nLA 2360 (15:35-16:50 hrs)\nLA 2361 (17:25-18:40 hrs)","Inicial G10","LCK A320F\nLIM-TRU-LIM\nLA 2139 (10:10-11:25 hrs)\nLA 2140 (12:00-13:15 hrs)\nLCK A320F\nLIM-AQP-LIM\nLA 2113 (15:05-16:35 hrs)\nLA 2112 (17:15-18:50 hrs)","CHEQUEO DGAC INSTRUCTOR B787\nIPO ESCOMEL\nAvión Energizado\n07:00 HRS","DO"],"bg":["#ffffcc","#ffffcc","#ffffcc","#ffffcc","#ffffcc","#ffffcc","#ffffcc","#ffffcc","#d9d9d9","#ffffcc","#ffffcc","#ffffcc","#ffffcc","#ffffcc","#ffffcc","#2f5496","#ffffff","#ffffff","#ffc000","#ffc000","#999999","#999999","#999999","#ffffff","#ffffff","#d9ead3","#f7caac","#a64d79","#f7caac","#d9ead3","#ffffff"],"fg":["#000000","#000000","#000000","#000000","#000000","#000000","#000000","#000000","#000000","#000000","#000000","#000000","#000000","#000000","#000000","#ffffff","#000000","#000000","#000000","#000000","#000000","#000000","#000000","#000000","#000000","#000000","#000000","#ffffff","#000000","#000000","#000000"]},{"bp":"3217561","nombre":"Claudia Flores   AUD","dias":["HABILITACION B787  (CST)\n- LIM-SCL\n- LA 2697 (09:35-13:00 hrs)\nHABILITACION B787 (CST)\n- SCL-LIM\n- LA 2696 (16:00-19:45 hrs)","Curso 50% \n(14:30 - 17:30 pm)","DO","DO","Inicial G10","Clase Modelo B787","RTI: PRÁCTICA\nA320F / B767\n(08:30-17:30 hrs)\nINS APOYO TM A320F\nGRUPO 1","FERIADO","REUNIÓN INSTRUCTORES","DO","DO","TALLER VOLUNTARIO DE SEGURIDAD","Blanco","LCK B767\n- LIM-MIA\n- LA 2480 (00:15-06:20 hrs)","Habilitación B767\n- MIA-LIM\n- LA 2695","LCK A320F\nLIM-CJA-LIM\nLA2297 (15:15-16:35 hrs)\nLA2296 (17:20-18:25 hrs)","DO","DO","TALLER VOLUNTARIO DE SEGURIDAD","HB6\nCurso B767\n(08:30-17:30hrs)","LCK A320F\nLIM-PIU-LIM\nLA 2196 (13:50-15:35 hrs)\nLA 2197 (16:10-17:45 hrs)","DO","DO","DO","DO","Chequeo INS LATAM\n- LIM-SCL\n- LA 2697 (09:35-13:00 hrs)\n- SCL-LIM\n- LA 2696 (16:00-19:45 hrs)","TALLER VOLUNTARIO DE SEGURIDAD","RTI: PRÁCTICA\nA320F / B767 / B787\n(08:30-17:30 hrs)\nINS APOYO\nGRUPO 5","RESERVA IET\nAM","CHEQUEO DGAC INSTRUCTOR B787\nIPO CARRERA\nAvión Energizado\n07:00 HRS","DO"],"bg":["#e88888","#674ea7","#ffffff","#ffffff","#a64d79","#d9d9d9","#cce0f4","#0000ff","#ffff00","#ffffff","#ffffff","#ffff00","#ffc000","#ffc000","#ffc000","#f7caac","#ffffff","#ffffff","#ffff00","#a8d08d","#f7caac","#ffffff","#ffffff","#ffffff","#ffffff","#d9ead3","#ffff00","#cce0f4","#d9d9d9","#d9ead3","#ffffff"],"fg":["#000000","#000000","#000000","#000000","#ffffff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","","DO","DO","","","","","LP","DO","DO","","","","","","DO","DO","","","","","","DO","DO","","","","","","DO"],"bg":["#ff00ff","#ff00ff","#ffffff","#ffffff","#ff00ff","#ff00ff","#ff00ff","#ff00ff","#ff00ff","#ffffff","#ffffff","#ff00ff","#ff00ff","#ff00ff","#ff00ff","#ffffff","#ffffff","#ffffff","#ff00ff","#ff00ff","#ff00ff","#ff00ff","#ff00ff","#ffffff","#ffffff","#ff00ff","#ff00ff","#ff00ff","#ff00ff","#ff00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Dávila","dias":["INICIAL G11","LCK B767 ALUMNO (CCM)\n- LIM-SCL\n- LA 2413 (09:35-13:00 hrs)\nLCK B767 ALUMNO (CCM)\n- SCL-LIM\n- LA 2412 (16:00-19:45 hrs)","DO","DO","DO","DO","Curso 50% \n11:30-17:30","FERIADO","REUNIÓN INSTRUCTORES","DO","DO","Inicial G10","CURSO B787","CURSO B787","CURSO B787","CURSO B787","DO","DO","CURSO B787","CURSO B787","HB6\nCurso B767\n(08:30-17:30hrs)","HANDS ON B767","Reva de Servicio\n(08:30-17:30 hrs)\nDÍA 1\nSVC DE TCS","DO","DO","CURSO B787","TALLER VOLUNTARIO DE SEGURIDAD","CUMP","CUMP","RESERVA IET","DO"],"bg":["#00ff00","#ffc000","#ffffff","#ffffff","#ffffff","#ffffff","#674ea7","#0000ff","#ffff00","#ffffff","#ffffff","#a64d79","#4a86e8","#4a86e8","#4a86e8","#4a86e8","#ffffff","#ffffff","#4a86e8","#4a86e8","#a8d08d","#ffe599","#2f5496","#ffffff","#ffffff","#4a86e8","#ffff00","#ffc0cb","#ffc0cb","#d9d9d9","#ffffff"],"fg":["#000000","#000000","#000000","#000000","#000000","#000000","#000000","#000000","#000000","#000000","#000000","#ffffff","#000000","#000000","#000000","#000000","#000000","#000000","#000000","#000000","#000000","#000000","#ffffff","#000000","#000000","#000000","#000000","#000000","#000000","#000000","#000000"]},{"bp":"2369641","nombre":"Elizabeth Torres FOCAL","dias":["HO NWL","RESERVA IET\n(08:30 - 17:30 )","DO","DO","RTI \n(E-LEARNING HABILITACIÓN)","RTI: VIRTUAL\nA320F / B767\n(08:30-17:30 hrs)\nINS TITULAR \n(HABILITACIÓN)\nGRUPO 1","RTI: PRÁCTICA\nA320F / B767\n(08:30-17:30 hrs)\nINS TITULAR\n(HABILITACIÓN)\nGRUPO 1","FERIADO","RTI \n(E-LEARNING HABILITACIÓN)","DO","DO","LCK A320F\nLIM-CUZ-LIM\nLA 2013 (08:35-09:55 hrs)\nLA 2014 (10:35-12:10 hrs)","LCK A320F\nLIM-CUZ-LIM\nLA 2075 (10:50-12:15 hrs)\nLA 2076 (12:50-14:20 hrs)\nLCK A320F\nLIM-PCL-LIM\nLA 2360 (15:25-16:40 hrs)\nLA 2361 (17:20-18:35 hrs)","Blanco","LCK B767\n- LIM-MIA\n- LA 2480 (00:15-06:20 hrs)","Habilitacion B767\n- MIA-LIM\n- LA 2481 (15:55-21:40 hrs)","DO","DO","Reva de Servicio\n(08:30-17:30 hrs)\nDÍA 1\nSVC DE TCS","LCK A320F\nLIM-CUZ-LIM\nLA 2013 (08:35-09:55 hrs)\nLA 2014 (10:40-12:10 hrs)\nLCK A320F\nLIM-CUZ-LIM\nLA 2028 (13:25-14:45 hrs)\nLA 2029 (15:30-17:05 hrs)","LCK A320F\nLIM-CJA-LIM\nLA 2295 (14:10-15:30 hrs)\nLA 2294 (16:10-17:15 hrs)","DO","DO","DO","DO","LCK A320F\nLIM-PIU-LIM\nLA 2316 (11:20-13:05 hrs)\nLA 2317 (13:40-15:15 hrs)","Blanco","LCK B767\n- LIM-MIA\n- LA 2480 (00:15-06:20 hrs)","Reentrenamiento B767*\n- MIA-LIM\n- LA 2695","RESERVA IET","DO"],"bg":["#999999","#d9d9d9","#ffffff","#ffffff","#d9d9d9","#cce0f4","#cce0f4","#0000ff","#d9d9d9","#ffffff","#ffffff","#f7caac","#f7caac","#ffc000","#ffc000","#ffc000","#ffffff","#ffffff","#2f5496","#f7caac","#f7caac","#ffffff","#ffffff","#ffffff","#ffffff","#f7caac","#ffc000","#ffc000","#ffc000","#d9d9d9","#ffffff"],"fg":["#000000","#000000","#000000","#000000","#000000","#000000","#000000","#000000","#000000","#000000","#000000","#000000","#000000","#000000","#000000","#000000","#000000","#000000","#ffffff","#000000","#000000","#000000","#000000","#000000","#000000","#000000","#000000","#000000","#000000","#000000","#000000"]},{"bp":"2369624","nombre":"Patricia Najar  AUD","dias":["VACACIONES","VACACIONES","VACACIONES","VACACIONES","VACACIONES","VACACIONES","VACACIONES","VACACIONES","VACACIONES","VACACIONES","VACACIONES","VACACIONES","VACACIONES","VACACIONES","VACACIONES","LCK B767\n- LIM-SCL\n- LA 2413 (12:05-15:45 hrs)\nLCK B767\n- SCL-LIM\n- LA 2412 (17:10-21:00 hrs)","DO","DO","Situaciones de Emergencia B767\nTripulación de Mando\nLP\n(08:30-17:30 hrs)","INICIAL G12","RTI: PRÁCTICA\nA320F / B767\n(08:30-17:30 hrs)\nINS APOYO TM A320F\nGRUPO 4","HO AUD","Reentrenamiento A320F*\nLIM-CIX-LIM\nLA2274 (09:35-11:05 hrs)\nLA2275 (11:45-13:05 hrs)","DO","DO","Blanco","LCK B767\n- LIM-MIA\n- LA 2480 (00:15-06:20 hrs)","LCK B767\n- MIA-LIM\n- LA 2481 (15:55-21:40 hrs)","HO FILE TARDE","Inicial G10","DO"],"bg":["#ffffcc","#ffffcc","#ffffcc","#ffffcc","#ffffcc","#ffffcc","#ffffcc","#ffffcc","#ffffcc","#ffffcc","#ffffcc","#ffffcc","#ffffcc","#ffffcc","#ffffcc","#ffc000","#ffffff","#ffffff","#ff4b4f","#00ffff","#cce0f4","#999999","#f7caac","#ffffff","#ffffff","#ffc000","#ffc000","#ffc000","#999999","#a64d79","#ffffff"],"fg":["#000000","#000000","#000000","#000000","#000000","#000000","#000000","#000000","#000000","#000000","#000000","#000000","#000000","#000000","#000000","#000000","#000000","#000000","#ffffff","#000000","#000000","#000000","#000000","#000000","#000000","#000000","#000000","#000000","#000000","#ffffff","#000000"]},{"bp":"3134911","nombre":"Javier Zapata","dias":[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VACACIONES","DO","DO","LCK A320F\nLIM-TRU-LIM\nLA 2131 (14:20-15:35 hrs)\nLA 2132 (16:10-17:25 hrs)","LCK B767\n- LIM-SCL\n- LA 2487\nLCK B767\n- SCL-LIM\n- LA 2486","RESERVA IET TARDE \n(16:30 - 17:30)","LCK A320F\nLIM-TCQ-LIM\nLA 2067 (14:00-15:50 hrs)\nLA 2068 (16:25-18:20 hrs)","Inicial G10","DO"],"bg":["#ffffcc","#ffffcc","#ffffcc","#ffffcc","#ffffcc","#ffffcc","#ffffcc","#ffffcc","#ffffcc","#ffffcc","#ffffcc","#ffffcc","#ffffcc","#ffffcc","#ffffcc","#ffffcc","#ffffcc","#ffffcc","#ffffcc","#ffffcc","#ffffcc","#ffffcc","#ffffcc","#ffffff","#ffffff","#f7caac","#ffc000","#d9d9d9","#f7caac","#a64d79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ffffff","#000000"]},{"bp":"3750335","nombre":"Jefferson Mendez","dias":["LCK A320F\nLIM-CIX-LIM\nLA 2152 (13:50-15:20 hrs)\nLA 2153 (15:55-17:15 hrs)","LCK B767\n- LIM-SCL\n- LA 2413 (12:05-15:45 hrs)\nLCK B767\n- SCL-LIM\n- LA 2412 (17:10-21:00 hrs)","DO","DO","Chequeo DGAC B767\nAvión Energizado","Inicial G10","LCK A320F\nLIM-AQP-LIM\nLA 2123 (09:15-10:45 hrs)\nLA 2124 (11:30-13:05 hrs)\nLCK A320F\nLIM-TRU-LIM\nLA 2135 (14:25-15:40 hrs)\nLA 2136 (16:20-17:35 hrs)","FERIADO","REUNIÓN INSTRUCTORES","DO","DO","LCK A320F\nLIM-CIX-LIM\nLA 2274 (09:35-11:05 hrs)\nLA 2275 (11:45-13:05 hrs)\nLCK A320F\nLIM-TPP-LIM\nLA 2087 (14:05-15:30 hrs)\nLA 2088 (16:05-17:30 hrs)","LCK A320F\nLIM-CJA-LIM\nLA 2350 (10:00-11:20 hrs)\nLA 2351 (12:00-13:10 hrs)\nLCK A320F\nLIM-TPP-LIM\nLA 2087 (14:05-15:30 hrs)\nLA 2088  (16:05-17:30 hrs)","RTI: PRÁCTICA\nA320F / B767\n(08:30-17:30 hrs)\nINS APOYO\nGRUPO 2","INICIAL G12","DO","DO","DO","DO","Reentrenamiento A320F*\nLIM-CIX-LIM\n2274 (09:35-11:05 hrs)\n2275 (11:45-13:05 hrs)","HO TECH","HO TECH","CURSO PARA IPO DGAC\nA320F","DO","DO","LCK A320F\nLIM-TPP-LIM\nLA 2087 (14:10-15:35 hrs)\nLA 2088 (16:10-17:30 hrs)","INICIAL G12","Blanco","LCK B767\n- LIM-MIA\n- LA 2480 (00:15-06:20 hrs)","LCK B767\n- MIA-LIM\n- LA 2481 (15:55-21:40 hrs)","DO"],"bg":["#f7caac","#ffc000","#ffffff","#ffffff","#e69138","#a64d79","#f7caac","#0000ff","#ffff00","#ffffff","#ffffff","#f7caac","#f7caac","#cce0f4","#00ffff","#ffffff","#ffffff","#ffffff","#ffffff","#f7caac","#999999","#999999","#0b5394","#ffffff","#ffffff","#f7caac","#00ffff","#ffc000","#ffc000","#ffc000","#ffffff"],"fg":["#000000","#000000","#000000","#000000","#000000","#ffffff","#000000","#000000","#000000","#000000","#000000","#000000","#000000","#000000","#000000","#000000","#000000","#000000","#000000","#000000","#000000","#000000","#ffff00","#000000","#000000","#000000","#000000","#000000","#000000","#000000","#000000"]},{"bp":"3852423","nombre":"Gabriela Ungaro FOCAL","dias":["RESERVA IET TARDE \n(13:30 - 17:30","LCK A320F\nLIM-TRU-LIM\nLA 2045 (08:45-10:00 hrs)\nLA 2046 (10:45-12:00 hrs)\nLCK A320F\nLIM-JUL-LIM\nLA 2207(13:15-14:45 hrs)\nLA 2208 (15:20-17:10 hrs)","DO","DO","DO","INICIAL G11","BACK UP JB","FERIADO","BACK UP JB","DO","DO","Reva de Servicio\n(08:30-17:30 hrs)\nDÍA 1\nSVC DE JSBS","Inicial G10\n HEMELRIJCK ZOE \n+\n Inicial G12","RTI: PRÁCTICA\nA320F / B767\n(08:30-17:30 hrs)\nINS APOYO TM A320F\nGRUPO 2","RTI: PRÁCTICA\nA320F / B767\n(08:30-17:30 hrs)\nINS APOYO\nGRUPO 3","INICIAL G11","DO","DO","RESERVA IET","INICIAL G11","RTI: PRÁCTICA\nA320F / B767\n(08:30-17:30 hrs)\nINS APOYO\nGRUPO 4","HO FOCAL","HO FOCAL","DO","DO","LCK A320F\nLIM-TBP-LIM\nLA 2052 (10:15-12:10 hrs)\nLA 2051 (12:50-14:35 hrs)","INICIAL G11","LCK A320F + CHEQUEO RENOVACIÓN IDE A320\nLIM-TRU-LIM\nLA 2131 (14:20-15:35 hrs)\nLA 2132 (16:10-17:25 hrs)","LCK A320F\nLIM-CUZ-LIM\nLA2028 (13:35-15:00 hrs)\nLA2029 (15:35-17:10 hrs)","HO FILE TARDE \n(14:00 - 17:30)","DO"],"bg":["#d9d9d9","#f7caac","#ffffff","#ffffff","#ffffff","#00ff00","#b45f06","#0000ff","#b45f06","#ffffff","#ffffff","#2f5496","#a64d79","#cce0f4","#a4c2f4","#00ff00","#ffffff","#ffffff","#d9d9d9","#00ff00","#cce0f4","#999999","#999999","#ffffff","#ffffff","#f7caac","#00ff00","#f7caac","#f7caac","#999999","#ffffff"],"fg":["#000000","#000000","#000000","#000000","#000000","#000000","#000000","#000000","#000000","#000000","#000000","#ffffff","#ffffff","#000000","#000000","#000000","#000000","#000000","#000000","#000000","#000000","#000000","#000000","#000000","#000000","#000000","#000000","#000000","#000000","#000000","#000000"]},{"bp":"2604360","nombre":"Mariella Carrasco AUD","dias":["IOSA","IOSA","DO","DO","LCK B767\n- LIM-MIA\n- LA 2694 (13:30-19:35 hrs)","0","Habilitación B767*\n- MIA-LIM\n- LA 2699 (23:15-05:00 hrs)","FERIADO","REUNIÓN INSTRUCTORES","DO","DO","TALLER VOLUNTARIO DE SEGURIDAD","Curso 50% \nCAE","RTI: VIRTUAL\nA320F / B767\n(08:30-17:30 hrs)\nINS TITULAR\nGRUPO 3","RTI: PRÁCTICA\nA320F / B767\n(08:30-17:30 hrs)\nINS APOYO TM B767\nGRUPO 3","Entrevista RPP","DO","DO","EVENTO HANGAR PAPA","LCK B767\n- LIM-MIA\n- LA 2694 (13:30-19:35 hrs)","Blanco","LCK B767\n- MIA-LIM\n- LA 2699 (23:15-05:00 hrs)","SICK","DO","DO","DO","DO","CHEQUEO RENOVACIÓN IDE A320\n\nLIM TRU LIM\nLA 2131 (14:20-15:35 hrs)\nLA 2132 (16:10-17:25 hrs)","LCK A320F\nLIM-TPP-LIM\nLA 2087 (14:10-15:35 hrs)\nLA 2088 (16:10-17:30 hrs)","CURSO 50%","DO"],"bg":["#ff9900","#ff9900","#ffffff","#ffffff","#ffc000","#ffc000","#ffc000","#0000ff","#ffff00","#ffffff","#ffffff","#ffff00","#674ea7","#a4c2f4","#a4c2f4","#ffff00","#ffffff","#ffffff","#9900ff","#ffc000","#ffc000","#ffc000","#ff0000","#ffffff","#ffffff","#ffffff","#ffffff","#d9d9d9","#f7caac","#ff9900","#ffffff"],"fg":["#000000","#000000","#000000","#000000","#000000","#000000","#000000","#000000","#000000","#000000","#000000","#000000","#000000","#000000","#000000","#000000","#000000","#000000","#ffffff","#000000","#000000","#000000","#ffffff","#000000","#000000","#000000","#000000","#000000","#000000","#000000","#000000"]},{"bp":"2823133","nombre":"Cesar Campos","dias":["DESAYUNO","Inicial G10","DO","DO","Curso 50%","GRADUACIÓN G9","RTI: PRÁCTICA\nA320F / B767\n(08:30-17:30 hrs)\nINS APOYO\nGRUPO 1","FERIADO","Grabación\nLA2065/2066 \nLIM IQT LIM","DO","DO","PROCESO JSB","DO","INICIAL G11","RRVV\nAUDITORIA","DO","DO","DO","TALLER VOLUNTARIO DE SEGURIDAD","Ditching Presencial B767 + HANDS ON\nTripulación de Mando\nLP\n(08:30-17:30 hrs)","HB6\nCurso B767\n(08:30-17:30hrs)","HO TECH","INICIAL G12","DO","DO","INICIAL G11","TALLER VOLUNTARIO DE SEGURIDAD","Inicial G10","Reentrenamiento A320F","RESERVA IET","DO"],"bg":["#ffff00","#a64d79","#ffffff","#ffffff","#674ea7","#2f5496","#cce0f4","#0000ff","#e88888","#ffffff","#ffffff","#d9d9d9","#d9d9d9","#00ff00","#ffffff","#ffffff","#ffffff","#ffffff","#ffff00","#ff4b4f","#a8d08d","#999999","#00ffff","#ffffff","#ffffff","#00ff00","#ffff00","#a64d79","#f7caac","#d9d9d9","#ffffff"],"fg":["#000000","#ffffff","#000000","#000000","#000000","#ffffff","#000000","#000000","#000000","#000000","#000000","#000000","#000000","#000000","#000000","#000000","#000000","#000000","#000000","#ffffff","#000000","#000000","#000000","#000000","#000000","#000000","#000000","#ffffff","#000000","#000000","#000000"]},{"bp":"3189967","nombre":"Kevin Segovia AUD","dias":["IOSA","IOSA","DO","DO","DO","DO","Inicial G10","FERIADO","REUNIÓN INSTRUCTORES","DO","DO","TALLER VOLUNTARIO DE SEGURIDAD\nRRVV","RTI: VIRTUAL\nA320F / B767\n(08:30-17:30 hrs)\nINS TITULAR\nGRUPO 2","INICIAL G12","RTI: PRÁCTICA\nA320F / B767\n(08:30-17:30 hrs)\nINS TITULAR\nGRUPO 3","HO","DO","DO","TALLER VOLUNTARIO DE SEGURIDAD","CURSO ESTANDARIZACIÓN PM","RTI: PRÁCTICA\nA320F / B767\n(08:30-17:30 hrs)\nINS TITULAR\nGRUPO 4","HO AUD","HO AUD","DO","DO","CHEQUEO BIANUAL INSTRUCTOR B767\nLA2694 LIM MIA\n(13:30 - 20:25)","CHEQUEO BIANUAL INSTRUCTOR B767\nLA2481 MIA LIM\n(17:05-21:55)","CHEQUEO BIANUAL INSTRUCTOR B767","Inicial G10","CURSO PARA IPO DGAC\nB767","DO"],"bg":["#ff9900","#ff9900","#ffffff","#ffffff","#ffffff","#ffffff","#a64d79","#0000ff","#ffff00","#ffffff","#ffffff","#ffff00","#cce0f4","#00ffff","#a4c2f4","#999999","#ffffff","#ffffff","#ffff00","#c9daf8","#cce0f4","#999999","#999999","#ffffff","#ffffff","#a2c4c9","#a2c4c9","#a2c4c9","#a64d79","#0b5394","#ffffff"],"fg":["#000000","#000000","#000000","#000000","#000000","#000000","#ffffff","#000000","#000000","#000000","#000000","#000000","#000000","#000000","#000000","#000000","#000000","#000000","#000000","#000000","#000000","#000000","#000000","#000000","#000000","#000000","#000000","#000000","#ffffff","#ffff00","#000000"]},{"bp":"2415373","nombre":"Milagros Salas","dias":["Inicial G10","DESAYUNO","DO","DO","VACACIONES","VACACIONES","VACACIONES","VACACIONES","VACACIONES","VACACIONES","VACACIONES","VACACIONES","VACACIONES","VACACIONES","VACACIONES","VACACIONES","VACACIONES","VACACIONES","VACACIONES","SICK","SICK","SICK","SICK","DO","DO","CURSO 50%","CURSO 50%","Inicial G10","CURSO 50%","Reva de Servicio\n(08:30-17:30 hrs)\nDÍA 1\nSVC DE TCS","DO"],"bg":["#a64d79","#ffff00","#ffffff","#ffffff","#ffffcc","#ffffcc","#ffffcc","#ffffcc","#ffffcc","#ffffcc","#ffffcc","#ffffcc","#ffffcc","#ffffcc","#ffffcc","#ffffcc","#ffffcc","#ffffcc","#ffffcc","#ff0000","#ff0000","#ff0000","#ff0000","#ffffff","#ffffff","#ff9900","#ff9900","#a64d79","#ff9900","#2f5496","#ffffff"],"fg":["#ffffff","#000000","#000000","#000000","#000000","#000000","#000000","#000000","#000000","#000000","#000000","#000000","#000000","#000000","#000000","#000000","#000000","#000000","#000000","#ffffff","#ffffff","#ffffff","#ffffff","#000000","#000000","#000000","#000000","#ffffff","#000000","#ffffff","#000000"]},{"bp":"2440915","nombre":"Judith Fernandez","dias":["Inicial G10","Inicial G10","DO","DO","INICIAL G11","Reva de Servicio\n(08:30-17:30 hrs)\nDÍA 1\nSVC DE TCS","INICIAL G11","VACACIONES","VACACIONES","VACACIONES","VACACIONES","VACACIONES","VACACIONES","VACACIONES","VACACIONES","INICIAL G12","DO","DO","INICIAL G12","RTI: PRACTICA\nA320F\n(08:30-17:30 hrs)\nINS TITULAR","INICIAL G12","INICIAL G12","Inicial G10","DO","DO","CHEQUEO BIANUAL INSTRUCTOR B767\nLA2694 LIM MIA\n(13:30 - 20:25)","CHEQUEO BIANUAL INSTRUCTOR B767\nLA2481 MIA LIM\n(17:05-21:55)","CHEQUEO BIANUAL INSTRUCTOR B767","INICIAL G12","INICIAL G12","DO"],"bg":["#a64d79","#a64d79","#ffffff","#ffffff","#00ff00","#2f5496","#00ff00","#ffffcc","#ffffcc","#ffffcc","#ffffcc","#ffffcc","#ffffcc","#ffffcc","#ffffcc","#00ffff","#ffffff","#ffffff","#00ffff","#cce0f4","#00ffff","#00ffff","#a64d79","#ffffff","#ffffff","#a2c4c9","#a2c4c9","#a2c4c9","#00ffff","#00ffff","#ffffff"],"fg":["#ffffff","#ffffff","#000000","#000000","#000000","#ffffff","#000000","#000000","#000000","#000000","#000000","#000000","#000000","#000000","#000000","#000000","#000000","#000000","#000000","#000000","#000000","#000000","#ffffff","#000000","#000000","#000000","#000000","#000000","#000000","#000000","#000000"]},{"bp":"3796947","nombre":"Rafael Nieto","dias":["ADM","ADM","DO","DO","ADM","ADM","ADM","FERIADO","REUNIÓN INSTRUCTORES","DO","DO","ADM","ADM","ADM","ADM","ADM","DO","DO","ADM","ADM","ADM","ADM","ADM","DO","DO","ADM","ADM","ADM","ADM","ADM","DO"],"bg":["#d9d9d9","#d9d9d9","#ffffff","#ffffff","#d9d9d9","#d9d9d9","#d9d9d9","#0000ff","#ffff00","#ffffff","#ffffff","#d9d9d9","#d9d9d9","#d9d9d9","#d9d9d9","#d9d9d9","#ffffff","#ffffff","#d9d9d9","#d9d9d9","#d9d9d9","#d9d9d9","#d9d9d9","#ffffff","#ffffff","#d9d9d9","#d9d9d9","#d9d9d9","#d9d9d9","#d9d9d9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Celiz","dias":["Reentrenamiento A320F*\nLIM-CJA-LIM\nLA2350 (10:40 - 12:00 hrs)\nLA2351 (12:50 - 14:00 hrs)","BLOQUEO IET","DO","DO","Inicial G10","Inicial G10","Inicial G10","FERIADO","REUNIÓN INSTRUCTORES","DO","DO","INICIAL G11","INICIAL G11","RTI: PRÁCTICA\nA320F / B767\n(08:30-17:30 hrs)\nINS TITULAR\nGRUPO 2","DO","DO","DO","DO","INICIAL G11","RTI: VIRTUAL\nA320F / B767 / B787\n(08:30-17:30 hrs)\nINS TITULAR\nGRUPO 4","INICIAL G11","INICIAL G11","INICIAL G11","DO","DO","INICIAL G12","RTI: VIRTUAL\nA320F / B767 / B787\n(08:30-17:30 hrs)\nINS TITULAR\nGRUPO 5","INICIAL G11","INICIAL G11","INICIAL G11","DO"],"bg":["#f7caac","#0000ff","#ffffff","#ffffff","#a64d79","#a64d79","#a64d79","#0000ff","#ffff00","#ffffff","#ffffff","#00ff00","#00ff00","#cce0f4","#ffffff","#ffffff","#ffffff","#ffffff","#00ff00","#cce0f4","#00ff00","#00ff00","#00ff00","#ffffff","#ffffff","#00ffff","#cce0f4","#00ff00","#00ff00","#00ff00","#ffffff"],"fg":["#000000","#000000","#000000","#000000","#ffffff","#ffffff","#ffffff","#000000","#000000","#000000","#000000","#000000","#000000","#000000","#000000","#000000","#000000","#000000","#000000","#000000","#000000","#000000","#000000","#000000","#000000","#000000","#000000","#000000","#000000","#000000","#000000"]}]}</t>
  </si>
  <si>
    <t>{"mes":"2026-11","fuente":"Rol Instructores LP NOVIEMBRE","hoja":"ROL INS","instructores":[{"bp":"2713993","nombre":"Fiorella Ruiz","dias":["VACACIONES","VACACIONES","VACACIONES","VACACIONES","RTI: PRÁCTICA\nA320F / B767 / B787\n(08:30-17:30 hrs)\nINS TITULAR\nINS APOYO\nGrupo 1","CURSO","FDS","FDS","PRENSA","EXP RECIENTE A320F\n EXTRA\n LIM-CJA-LIM\n LA 2299 (11:30-12:55 hrs)\n LA 2298 (13:40-14:50 hrs)","Chequeo Renovación IDE B767","VUELO PAPA","VUELO ifa 06:40 am","VUELO PAPA","VUELO PAPA","VUELO PAPA regresa 90 pm","RESERVA IET TARDE\n (14:30-16:00 hrs)","Chequeo Latam B787\n - LIM-SCL\n - LA 2697 (09:35-13:00 hrs)\n Chequeo Latam B787\n - SCL-LIM\n - LA 2696 (16:00-19:45 hrs)","RESERVA IET TARDE\n (14:00-15:40 hrs)","LCK A320F\n  LIM-AQP-LIM\n  LA 2123 (09:15-10:45 hrs)\n  LA 2124 (11:25-13:00 hrs)\n  LCK A320F\n  LIM-TPP-LIM\n  LA 2087 (14:10-15:35 hrs)\n  LA 2088 (16:10-17:30 hrs)","FDS","FDS","Chequeo DGAC B787\n Avión energizado\n (08:30-17:30 hrs)\n 7 TC","RECALIFICACIÓN B787\n  EN TIERRA\n  (08:30-16:00 hrs)\n  1 JSB","LCK B787\n- LIM-SCL\n- LA 2697 (09:35-13:00 hrs)\nLCK B787\n- SCL-LIM\n- LA 2696 (16:00-19:45 hrs)","RESERVA IET TARDE\n (14:00-16:00 hrs)","Chequeo Latam B787\n- LIM-SCL\n- LA 2697 (09:35-13:00 hrs)\nChequeo Latam B787\n- SCL-LIM\n- LA 2696 (16:00-19:45 hrs)","FDS","FDS","Chequeo DGAC B787 \nAvión energizado"],"bg":["#ffffcc","#ffffcc","#ffffcc","#ffffcc","#cce0f4","#b7b7b7","#0000ff","#0000ff","#b7b7b7","#b7b7b7","#00ffff","#d0e0e3","#d0e0e3","#d0e0e3","#d0e0e3","#d0e0e3","#ffffff","#00ff00","#ffffff","#ffffff","#0000ff","#0000ff","#ffffff","#ffffff","#e88888","#ffffff","#e88888","#0000ff","#0000ff","#e88888"],"fg":["#000000","#000000","#000000","#000000","#000000","#000000","#ffffff","#ffffff","#000000","#000000","#000000","#000000","#000000","#000000","#000000","#000000","#000000","#000000","#000000","#000000","#ffffff","#ffffff","#000000","#000000","#000000","#000000","#000000","#ffffff","#ffffff","#000000"]},{"bp":"2396710","nombre":"Sebastian Correa","dias":["DO","VACACIONES","VACACIONES","VACACIONES","VACACIONES","VACACIONES","FDS","FDS","RESERVA IET\n (08:30-16:00 hrs)","LCK B787\n- LIM-SCL\n- LA 2697 (09:35-13:00 hrs)\nLCK B787\n- SCL-LIM\n- LA 2696 (16:00-19:45 hrs)","LCK B767\n VUELO LIM-MIA-LIM\n 2480/2481\n (Pres. 23:15)\n INS TITULAR\n Grupo 1","LCK B767\n PERNOCTA MIA","LCK B767\n REGRESO 2481\n (Fin 22:25)","FDS","FDS","LCK B787\n- LIM-SCL\n- LA 2697 (09:35-13:00 hrs)\nLCK B787\n- SCL-LIM\n- LA 2696 (16:00-19:45 hrs)","RESERVA IET TARDE\n(14:00-16:00 hrs)","EXP RECIENTE B787\n EXTRA\n - LIM-SCL\n - LA 2697 (09:35-13:00 hrs)\n - SCL-LIM\n - LA 2696 (16:00-19:45 hrs)","RESERVA IET TARDE\n(14:00-16:00 hrs)","LCK B787\n- LIM-SCL\n- LA 2697 (09:35-13:00 hrs)\nLCK B787\n- SCL-LIM\n- LA 2696 (16:00-19:45 hrs)","FDS","FDS","Chequeo Latam B787\n- LIM-SCL\n- LA 2697 (09:35-13:00 hrs)\nChequeo Latam B787\n- SCL-LIM\n- LA 2696 (16:00-19:45 hrs)","RESERVA IET TARDE","Chequeo DGAC B787\n Avión energizado\n (08:30-16:00 hrs)\n 5 TC","LCK B787\n - LIM-SCL\n - LA 2697 (09:35-13:00 hrs)\n LCK B787\n - SCL-LIM\n - LA 2696 (16:00-19:45 hrs)","RESERVA IET TARDE","FDS","FDS","Chequeo Latam B787\n- LIM-SCL\n- LA 2697 (09:35-13:00 hrs)\nChequeo Latam B787\n- SCL-LIM\n- LA 2696 (16:00-19:45 hrs)"],"bg":["#ffffff","#ffffcc","#ffffcc","#ffffcc","#ffffcc","#ffffcc","#0000ff","#0000ff","#ffffff","#e88888","#ddebf7","#ddebf7","#ddebf7","#0000ff","#0000ff","#ddebf7","#ddebf7","#ddebf7","#b7b7b7","#e88888","#0000ff","#0000ff","#e88888","#b7b7b7","#ffffff","#e88888","#b7b7b7","#0000ff","#0000ff","#e88888"],"fg":["#000000","#000000","#000000","#000000","#000000","#000000","#ffffff","#ffffff","#000000","#000000","#000000","#000000","#000000","#ffffff","#ffffff","#000000","#000000","#000000","#000000","#000000","#ffffff","#ffffff","#000000","#000000","#000000","#000000","#000000","#ffffff","#ffffff","#000000"]},{"bp":"1271571","nombre":"Christian Rondon","dias":["DO","REENTRENAMIENTO B767\n VUELO LIM-SCL-LIM\n 2487/2486\n (Pres. 11:00)\n INS TITULAR\n Grupo 1","RESERVA IET TARDE","DESAYUNO\n (08:30-12:00 hrs)","RESERVA IET","CURSO","FDS","FDS","PRENSA","RESERVA IET TARDE\n (14:00-16:00 hrs)","Chequeo Latam B787\n- LIM-SCL\n- LA 2697 (09:35-13:00 hrs)\nChequeo Latam B787\n- SCL-LIM\n- LA 2696 (16:00-19:45 hrs)","RESERVA IET TARDE\n (14:00-16:00 hrs)","Chequeo Latam B787\n - LIM-SCL\n - LA 2697 (09:35-13:00 hrs)\n Chequeo Latam B787\n - SCL-LIM\n - LA 2696 (16:00-19:45 hrs)","FDS","LIM FCO","LIM FCO","LIM FCO","LIM FCO","LIM FCO","LIM FCO","LIM FCO LLEGA \nllega sabado 09 am","FDS","EXP RECIENTE B767\n  EXTRA\n  VUELO LIM-SCL-LIM\n  2487/2486\n  (Pres. 11:00 - Fin 21:25)","RESERVA IET TARDE","LCK B767\n VUELO LIM-MIA-LIM\n 2480/2481\n (Pres. 23:15)\n INS TITULAR\n Grupo 1","LCK B767\n PERNOCTA MIA","LCK B767\n REGRESO 2481\n (Fin 22:25)","FDS","FDS","RESERVA IET"],"bg":["#ffffff","#fce4d6","#b7b7b7","#ffffff","#ffffff","#b7b7b7","#0000ff","#0000ff","#b7b7b7","#ffffff","#00ff00","#ffffff","#ffffff","#0000ff","#d0e0e3","#d0e0e3","#d0e0e3","#d0e0e3","#d0e0e3","#d0e0e3","#d0e0e3","#0000ff","#b7b7b7","#b7b7b7","#ddebf7","#ddebf7","#ddebf7","#0000ff","#0000ff","#b7b7b7"],"fg":["#000000","#000000","#000000","#000000","#000000","#000000","#ffffff","#ffffff","#000000","#000000","#000000","#000000","#000000","#ffffff","#000000","#000000","#000000","#000000","#000000","#000000","#000000","#ffffff","#000000","#000000","#000000","#000000","#000000","#ffffff","#ffffff","#000000"]},{"bp":"2843319","nombre":"Karen Santa Cruz","dias":["DO","RTI \n(E-LEARNING HABILITACIÓN)","RTI \n( HABILITACIÓN)","RTI \n( HABILITACIÓN)","RTI \n( HABILITACIÓN)","RTI \n(E-LEARNING HABILITACIÓN)","DO","DO","LCK B767\n VUELO LIM-MIA-LIM\n 2694/2699\n (Pres. 12:30)\n INS TITULAR\n Grupo 1","LCK B767\n REGRESO 2699 23:10","LCK B767\n REGRESO 2699\n (Fin 05:30)","REENTRENAMIENTO A320F\n  LIM-CUZ-LIM\n  LA 2007 (08:50-10:15 hrs)\n  LA 2008 (11:20-12:55 hrs)\n  HABILITACIÓN A320F\n  LIM-TPP-LIM\n  LA 2087 (14:10-15:35 hrs)\n  LA 2088 (16:10-17:30 hrs)","REUNIÓN INSTRUCTORES","DO","DO","EXP RECIENTE B767\n VUELO LIM-SCL-LIM\n 2487/2486\n (Pres. 11:00 - Fin 21:25)","LCK B767\n VUELO LIM-MIA-LIM\n 2480/2695\n (Pres. 23:15)\n INS TITULAR\n Grupo 1","LCK B767\n PERNOCTA MIA","LCK B767\n REGRESO 2695\n (Fin 23:00)","EXP RECIENTE A320F\n OPERA COMO PARTE DE LA TRIPULACIÓN\n LIM-AQP-LIM\n LA 2236 (17:50-19:30 hrs)\n LA 2237 (20:10-21:45 hrs)","DO","DO","LIM ATL","AUDITORIA","ATL LIM","DO","DO","DO","DO","LCK A320F\n  LIM-CUZ-LIM\n  LA 2075 (10:45-12:10 hrs)\n  LA 2076 (12:50-14:25 hrs)\n LCK A320F\n  LIM-PCL-LIM\n  LA 2360 (15:35-16:50 hrs)\n  LA 2361 (17:25-18:40 hrs)"],"bg":["#ffffff","#d9d9d9","#d9d9d9","#d9d9d9","#d9d9d9","#d9d9d9","#ffffff","#ffffff","#ddebf7","#ddebf7","#ddebf7","#b7b7b7","#ffff00","#ffffff","#ffffff","#4a86e8","#ddebf7","#ddebf7","#ddebf7","#b7b7b7","#ffffff","#ffffff","#ff9900","#ff9900","#ff9900","#ffffff","#ffffff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3779550","nombre":"Jennifert Acurio","dias":["VACACIONES","VACACIONES","VACACIONES","VACACIONES","VACACIONES","VACACIONES","VACACIONES","VACACIONES","VACACIONES","VACACIONES","VACACIONES","VACACIONES","VACACIONES","VACACIONES","VACACIONES","INICIAL G11","CHEQUEO LATAM B767\n VUELO LIM-SCL-LIM\n 2487/2486\n (Pres. 11:00)\n INS TITULAR\n Grupo 2","RESERVA IET TARDE\n (14:00-16:00 hrs)","Reentrenamiento alumna B787\n- LIM-SCL\n- LA 2697 (09:35-13:00 hrs)\nReentrenamiento alumna B787\n- SCL-LIM\n- LA 2696 (16:00-19:45 hrs)","RESERVA IET TARDE","DO","DO","LCK B767\n VUELO LIM-MIA-LIM\n 2694/2699\n (Pres. 12:30)\n INS TITULAR\n Grupo 2","LCK B767\n REGRESO 2699 23:10","LCK B767\n REGRESO 2699\n (Fin 05:30)","LCK A320F\n  LIM-AQP-LIM\n  LA 2123 (09:15-10:45 hrs)\n  LA 2124 (11:25-13:00 hrs)\n  LCK A320F\n  LIM-TPP-LIM\n  LA 2087 (14:10-15:35 hrs)\n  LA 2088 (16:10-17:30 hrs)","RESERVA IET TARDE","DO","DO","RESERVA IET"],"bg":["#ffffcc","#ffffcc","#ffffcc","#ffffcc","#ffffcc","#ffffcc","#ffffcc","#ffffcc","#ffffcc","#ffffcc","#ffffcc","#ffffcc","#ffffcc","#ffffcc","#ffffcc","#00ff00","#ddebf7","#ffffff","#e88888","#b7b7b7","#ffffff","#ffffff","#ddebf7","#ddebf7","#ddebf7","#ffffff","#b7b7b7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29530","nombre":"Jazmin Guerra","dias":["DO","CHEQUEO LATAM B767 (3 TC HB6)\n  VUELO LIM-MIA-LIM\n  2694/2699\n  (Pres. 12:30)\n  INS TITULAR\n  Grupo 2","CHEQUEO LATAM B767\n  REGRESO 2699 23:10","CHEQUEO LATAM B767\n  REGRESO 2699\n  (Fin 05:30)","INICIAL G11","CURSO","DO","DO","PRENSA","EXP RECIENTE A320F\n  OPERA COMO PARTE DE LA TRIPULACIÓN\n  LIM-CJA-LIM\n  LA 2299 (11:30-12:55 hrs)\n  LA 2298 (13:40-14:50 hrs)","LCK A320F\n  LIM-AQP-LIM\n  LA 2123 (09:15-10:45 hrs)\n  LA 2124 (11:25-13:00 hrs)\n LCK A320F\n  LIM-CUZ-LIM\n  LA 2232 (14:15-15:40 hrs)\n  LA 2233 (16:25-18:00 hrs)","RESERVA IET TARDE","VUELO PAPA","VUELO PAPA vuelo salida 7 am","VUELO PAPA regresa 8:50 pm","LCK + RECALIFICACIÓN B767\n  VUELO LIM-MIA-LIM\n  2480/2481\n  (Pres. 23:15)\n  INS TITULAR\n  Grupo 2","LCK + RECALIFICACIÓN B767\n  PERNOCTA MIA","LCK + RECALIFICACIÓN B767\n REGRESO 2481\n (Fin 22:25)","DO","DO","DO","DO","LCK B767\n VUELO LIM-MIA-LIM\n 2480/2481\n (Pres. 23:15)\n INS TITULAR\n Grupo 2","LCK B767\n PERNOCTA MIA","LCK B767\n REGRESO 2481\n (Fin 22:25)","RESERVA IET TARDE\n (15:00-15:40 hrs)","LCK A320F\n  LIM-AQP-LIM\n  LA 2123 (09:15-10:45 hrs)\n  LA 2124 (11:25-13:00 hrs)\n  LCK A320F\n  LIM-TPP-LIM\n  LA 2087 (14:10-15:35 hrs)\n  LA 2088 (16:10-17:30 hrs)","DO","DO","LCK B767\n  VUELO LIM-MIA-LIM\n  2694/2699\n  (Pres. 12:30)\n  INS TITULAR\n  Grupo 2"],"bg":["#ffffff","#00ff00","#00ff00","#00ff00","#00ff00","#b7b7b7","#ffffff","#ffffff","#b7b7b7","#ffffff","#ffffff","#b7b7b7","#d0e0e3","#d0e0e3","#d0e0e3","#b7b7b7","#b7b7b7","#ddebf7","#ffffff","#ffffff","#ffffff","#ffffff","#ddebf7","#ddebf7","#ddebf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3217561","nombre":"Claudia Flores","dias":["DO","VACACIONES","VACACIONES","VACACIONES","VACACIONES","VACACIONES","VACACIONES","VACACIONES","VACACIONES","VACACIONES","VACACIONES","VACACIONES","REUNIÓN INSTRUCTORES","DO","DO","INICIAL G11","LCK B767\n VUELO LIM-MIA-LIM\n 2694/2699\n (Pres. 12:30)\n INS TITULAR\n Grupo 2","LCK B767\n REGRESO 2699 23:10","LCK B767\n REGRESO 2699\n (Fin 05:30)","EXP RECIENTE A320F\n OPERA COMO PARTE DE LA TRIPULACIÓN\n LIM-UIO-LIM\n LA 2382 (13:20-15:45 hrs)\n LA 2383 (16:45-19:00 hrs)","DO","DO","LCK B767\n VUELO LIM-SCL-LIM\n 2487/2486\n (Pres. 11:00)\n INS TITULAR\n Grupo 2","LCK B767\n VUELO LIM-MIA-LIM\n 2480/2695\n (Pres. 23:15)\n INS TITULAR\n Grupo 2","LCK B767\n PERNOCTA MIA","LCK B767\n REGRESO 2695\n (Fin 23:00)","RESERVA IET TARDE\n(15:35-17:30 hrs)","DO","DO","LCK A320F\n  LIM-AQP-LIM\n  LA 2123 (09:15-10:45 hrs)\n  LA 2124 (11:25-13:00 hrs)\n  LCK A320F\n  LIM-TPP-LIM\n  LA 2087 (14:10-15:35 hrs)\n  LA 2088 (16:10-17:30 hrs)"],"bg":["#ffffff","#ffffcc","#ffffcc","#ffffcc","#ffffcc","#ffffcc","#ffffcc","#ffffcc","#ffffcc","#ffffcc","#ffffcc","#ffffcc","#ffff00","#ffffff","#ffffff","#00ff00","#ddebf7","#ddebf7","#ddebf7","#b7b7b7","#ffffff","#ffffff","#ddebf7","#ddebf7","#ddebf7","#ddebf7","#b7b7b7","#ffffff","#ffffff","#ffffff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71348","nombre":"Karla Moz","dias":["","","","","","","DO","DO","","","","","","","","","","","","RESERVA IET","DO","DO","","","","","","DO","DO","RESERVA IET"],"bg":["#d9d9d9","#d9d9d9","#ffffff","#ffffff","#ff00ff","#ff00ff","#ffffff","#ffffff","#ff00ff","#ffffff","#ffffff","#ff00ff","#ff00ff","#ff00ff","#ff00ff","#ffffff","#ffffff","#ffffff","#ff00ff","#b7b7b7","#ffffff","#ffffff","#ffffff","#ffffff","#ffffff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967092","nombre":"Erika Dávila","dias":["DO","RRVV","INICIAL G11","RTI: PRÁCTICA\nA320F / B767 / B787\n(08:30-17:30 hrs)\nINS APOYO TM\nGrupo 1","RTI: PRÁCTICA\nA320F / B767 / B787\n(08:30-17:30 hrs)\nINS TITULAR\nGrupo 1","INICIAL G12","DO","DO","Ditching Presencial\n+ Hands On B767","RESERVA IET","RESERVA IET","RESERVA IET","REUNIÓN INSTRUCTORES","DO","DO","DO","DO","RESERVA IET\n (08:30-16:00 hrs)","Reentrenamiento B787\n- LIM-SCL\n- LA 2697 (09:35-13:00 hrs)\nHabilitación B787\n- SCL-LIM\n- LA 2696 (16:00-19:45 hrs)","RESERVA IET TARDE","DO","DO","Reva de Servicio\n JEFES\n (08:30-17:30 hrs)\n INS TITULAR\n 25 TRIP","RESERVA IET","HANDS ON B787+","RESERVA IET","RESERVA IET","DO","DO","RESERVA IET"],"bg":["#ffffff","#b7b7b7","#00ff00","#cce0f4","#cce0f4","#00ffff","#ffffff","#ffffff","#b7b7b7","#b7b7b7","#b7b7b7","#b7b7b7","#ffff00","#ffffff","#ffffff","#ffffff","#ffffff","#ffffff","#e88888","#b7b7b7","#ffffff","#ffffff","#fff2cc","#b7b7b7","#b7b7b7","#b7b7b7","#b7b7b7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2369641","nombre":"Elizabeth Torres","dias":["DO","INICIAL G11","INICIAL G11","CURSO CRM","CURSO CRM","CURSO CRM","DO","DO","REENTRENAMIENTO B767\n VUELO LIM-SCL-LIM\n 2487/2486\n (Pres. 11:00)\n INS TITULAR\n Grupo 2","RESERVA IET TARDE","LCK B767\n VUELO LIM-MIA-LIM\n 2694/2693\n (Pres. 12:30)\n INS TITULAR\n Grupo 2","LCK B767\n PERNOCTA MIA","LCK B767\n REGRESO 2693\n (Fin 06:35)","DO","DO","INICIAL G12\n (08:30-15:40 hrs)","LCK + RECALIFICACIÓN A320F\n  LIM-AQP-LIM\n  LA 2123 (09:15-10:45 hrs)\n  LA 2124 (11:25-13:00 hrs)\n  LCK A320F\n  LIM-TPP-LIM\n  LA 2087 (14:10-15:35 hrs)\n  LA 2088 (16:10-17:30 hrs)","LCK B767\n VUELO LIM-MIA-LIM\n 2694/2693\n (Pres. 12:30)\nALUMNA Grupo 3","LCK B767\n PERNOCTA MIA","LCK B767\nALUMNA\n REGRESO 2693\n (Fin 06:35)","DO","DO","VACACIONES","VACACIONES","VACACIONES","VACACIONES","VACACIONES","VACACIONES","VACACIONES","VACACIONES"],"bg":["#ffffff","#00ff00","#00ff00","#d9d2e9","#d9d2e9","#d9d2e9","#ffffff","#ffffff","#fce4d6","#b7b7b7","#ddebf7","#ddebf7","#ddebf7","#ffffff","#ffffff","#ffffff","#ffffff","#ddebf7","#ddebf7","#ddebf7","#ffffff","#ffffff","#ffffcc","#ffffcc","#ffffcc","#ffffcc","#ffffcc","#ffffcc","#ffffcc","#ffff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2369624","nombre":"Patricia Najar","dias":["DO","EXP RECIENTE B767\n OPERA COMO JEFA\n VUELO LIM-SCL-LIM\n 2487/2486\n (Pres. 11:00 - Fin 21:25)","RESERVA IET TARDE","LCK B767\n VUELO LIM-MIA-LIM\n 2694/2693\n (Pres. 12:30)\n INS TITULAR\n Grupo 2","B","LCK B767\n REGRESO 2693\n (Fin 06:35)","DO","DO","INICIAL G12","LCK B767\n VUELO LIM-MIA-LIM\n 2694/2699\n (Pres. 12:30)\n INS TITULAR\n Grupo 2","LCK B767\n REGRESO 2699 23:10","LCK B767\n REGRESO 2699\n (Fin 05:30)","REUNIÓN INSTRUCTORES","DO","DO","INICIAL G12","HANDS ON (08:30-17:30 hrs)","LCK A320F\n  LIM-CUZ-LIM\n  LA 2007 (08:50-10:15 hrs)\n  LA 2008 (11:20-12:55 hrs)\n  LCK A320F\n  LIM-TPP-LIM\n  LA 2087 (14:10-15:35 hrs)\n  LA 2088 (16:10-17:30 hrs)","EXP RECIENTE A320F\n OPERA COMO PARTE DE LA TRIPULACIÓN\n LIM-UIO-LIM\n LA 2382 (13:20-15:45 hrs)\n LA 2383 (16:45-19:00 hrs)","RESERVA IET TARDE","DO","DO","LCK A320F\n  LIM-AQP-LIM\n  LA 2123 (09:15-10:45 hrs)\n  LA 2124 (11:25-13:00 hrs)\n  LCK A320F\n  LIM-TPP-LIM\n  LA 2087 (14:10-15:35 hrs)\n  LA 2088 (16:10-17:30 hrs)","RESERVA IET TARDE\n (14:00-15:30 hrs)","LCK A320F\n  LIM-CUZ-LIM\n  LA 2075 (10:45-12:10 hrs)\n  LA 2076 (12:50-14:25 hrs)\n LCK A320F\n  LIM-PCL-LIM\n  LA 2360 (15:35-16:50 hrs)\n  LA 2361 (17:25-18:40 hrs)","DO","DO","DO","DO","Reva de Servicio\n TC\n (08:30-17:30 hrs)\n INS TITULAR\n 25 TRIP\n EMPALME"],"bg":["#ffffff","#b7b7b7","#b7b7b7","#ff9900","#ff9900","#ff9900","#ffffff","#ffffff","#00ffff","#ddebf7","#ddebf7","#ddebf7","#ffff00","#ffffff","#ffffff","#00ffff","#ffffff","#ffffff","#b7b7b7","#ffffff","#ffffff","#ffffff","#ffffff","#ffffff","#ffffff","#ffffff","#ffffff","#ffffff","#ffffff","#fff2cc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3134911","nombre":"Javier Zapata","dias":["DO","INICIAL G12","REENTRENAMIENTO B767 \n+\nCHEQUEO LATAM B767\n VUELO LIM-SCL-LIM\n 2487/2486\n (Pres. 11:00)\n INS TITULAR\n Grupo 3","B","LCK B767\n VUELO LIM-MIA-LIM\n 2480/2481\n (Pres. 23:15)\n INS TITULAR\n Grupo 3","LCK B767\n REGRESO 2481\n (Fin 22:25)","DO","DO","LCK B767\n VUELO LIM-MIA-LIM\n 2480/2481\n (Pres. 23:15)\n INS TITULAR\n Grupo 3","LCK B767\n PERNOCTA MIA","LCK B767\n REGRESO 2481\n (Fin 22:25)","RESERVA IET TARDE\n (15:00-17:30 hrs)","REUNIÓN INSTRUCTORES","DO","DO","LCK B767\n VUELO LIM-MIA-LIM\n 2694/2699\n (Pres. 12:30)\n INS TITULAR\n Grupo 1","LCK B767\n REGRESO 2699 23:10","LCK B767\n REGRESO 2699\n (Fin 05:30)","LCK A320F\n  LIM-AQP-LIM\n  LA 2123 (09:15-10:45 hrs)\n  LA 2124 (11:25-13:00 hrs)\n LCK A320F\n  LIM-TPP-LIM\n  LA 2087 (14:10-15:35 hrs)\n  LA 2088 (16:10-17:30 hrs)","DO","DO","DO","DO","LCK A320F\n  LIM-AQP-LIM\n  LA 2123 (09:15-10:45 hrs)\n  LA 2124 (11:25-13:00 hrs)\n  LCK A320F\n  LIM-TPP-LIM\n  LA 2087 (14:10-15:35 hrs)\n  LA 2088 (16:10-17:30 hrs)","LCK B767\n VUELO LIM-MIA-LIM\n 2694/2693\n (Pres. 12:30)\n INS TITULAR\n Grupo 3","LCK B767\n PERNOCTA MIA","LCK B767\n REGRESO 2693\n (Fin 06:35)","DO","DO","RESERVA IET"],"bg":["#ffffff","#00ffff","#fce4d6","#ff9900","#ff9900","#ff9900","#ffffff","#ffffff","#ddebf7","#ddebf7","#ddebf7","#ffffff","#ffff00","#ffffff","#ffffff","#00ffff","#b7b7b7","#b7b7b7","#ffffff","#ffffff","#ffffff","#ffffff","#ffffff","#ffffff","#ddebf7","#ddebf7","#ddebf7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3750335","nombre":"Jefferson Mendez","dias":["VACACIONES","VACACIONES","VACACIONES","VACACIONES","VACACIONES","VACACIONES","VACACIONES","DO","INICIAL G12","INICIAL G11","Chequeo Renovación IDE B767","Chequeo Renovación IDE B767","Chequeo Renovación IDE B767","DO","DO","LCK + RECALIFICACIÓN B767\n VUELO LIM-SCL-LIM\n 2487/2486\n (Pres. 11:00)\n INS TITULAR\n Grupo 3","RESERVA IET \nTARDE","LCK B767\n VUELO LIM-MIA-LIM\n 2480/2481\n (Pres. 23:15)\n INS TITULAR\n Grupo 3","LCK B767\n PERNOCTA MIA","LCK B767\n REGRESO 2481\n (Fin 22:25)","DO","DO","RESERVA IET","CHEQUEO DGAC B767 (5 TC HB6)\n AVION ENERGIZADO\n (08:30-17:30)\n INS TITULAR\n Grupo 3","RESERVA IET","RESERVA IET TARDE","RESERVA IET","DO","DO","RESERVA IET"],"bg":["#ffffcc","#ffffcc","#ffffcc","#ffffcc","#ffffcc","#ffffcc","#ffffcc","#ffffff","#00ffff","#00ff00","#00ffff","#00ffff","#00ffff","#ffffff","#ffffff","#ddebf7","#b7b7b7","#ddebf7","#ddebf7","#ddebf7","#ffffff","#ffffff","#b7b7b7","#b7b7b7","#b7b7b7","#b7b7b7","#b7b7b7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3852423","nombre":"Gabriela Ungaro","dias":["DO","RRVV","EXP RECIENTE A320F\n OPERA COMO PARTE DE LA TRIPULACIÓN\n LIM-CJA-LIM\n LA 2299 (11:30-12:55 hrs)\n LA 2298 (13:40-14:50 hrs)","RTI: PRÁCTICA\nA320F / B767 / B787\n(08:30-17:30 hrs)\nINS APOYO\nGrupo 1","RESERVA IET\n (08:30-15:40 hrs)","LCK A320F\n LIM-AQP-LIM\n LA 2123 (09:15-10:45 hrs)\n LA 2124 (11:25-13:00 hrs)\n LCK A320F\n LIM-TPP-LIM\n LA 2087 (14:10-15:35 hrs)\n LA 2088 (16:10-17:30 hrs)","DO","DO","EXP RECIENTE B767\n OPERA COMO JEFA (va Elizabeth con reentrenamiento)\n VUELO LIM-SCL-LIM\n 2487/2486\n (Pres. 11:00 - Fin 21:25)","LCK B767\n VUELO LIM-MIA-LIM\n 2480/2695\n (Pres. 23:15)\n INS TITULAR\n Grupo 3","LCK B767\n PERNOCTA MIA","LCK B767\n REGRESO 2695\n (Fin 23:00)","REUNIÓN INSTRUCTORES\n TARDE (15:35-17:30 hrs)","DO","DO","CHEQUEO DGAC B767 (5 TC HB6)\n AVION ENERGIZADO\n (08:30-17:30)\n INS TITULAR\n Grupo 3","RESERVA IET","LCK B767\n VUELO LIM-MIA-LIM\n 2694/2693\n (Pres. 12:30)\n INS TITULAR\n Grupo 3","LCK B767\n PERNOCTA MIA","LCK B767\n REGRESO 2693\n (Fin 06:35)","DO","DO","RESERVA IET","RESERVA IET\n (08:30-15:40 hrs)","LCK A320F\n  LIM-AQP-LIM\n  LA 2123 (09:15-10:45 hrs)\n  LA 2124 (11:25-13:00 hrs)\n  LCK A320F\n  LIM-CUZ-LIM\n  LA 2232 (14:15-15:40 hrs)\n  LA 2233 (16:25-18:00 hrs)","DO","DO","DO","DO","RESERVA IET"],"bg":["#ffffff","#b7b7b7","#00ffff","#cce0f4","#ffffff","#ffffff","#ffffff","#ffffff","#b7b7b7","#ddebf7","#ddebf7","#ddebf7","#ffffff","#ffffff","#ffffff","#b7b7b7","#b7b7b7","#ddebf7","#ddebf7","#ddebf7","#ffffff","#ffffff","#b7b7b7","#ffffff","#ffffff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2604360","nombre":"Mariella Carrasco","dias":["DO","RRVV","LCK B767\n VUELO LIM-MIA-LIM\n 2480/2695\n (Pres. 23:15)\n INS TITULAR\n Grupo 3","LCK B767\n PERNOCTA MIA","LCK B767\n REGRESO 2695\n (Fin 23:00)","RESERVA IET TARDE\n (15:35-17:30 hrs)","DO","DO","Reva de Servicio\n TC\n (08:30-17:30 hrs)\n INS TITULAR\n 25 TRIP\n EMPALME","RESERVA IET","RTI: VIRTUAL\nA320F / B767\n(08:30-17:30 hrs)\nINS TITULAR\nGRUPO 2","EXP RECIENTE B767\n OPERA COMO PARTE DE LA TRIPULACIÓN\n VUELO LIM-SCL-LIM\n 2487/2486\n (Pres. 11:00 - Fin 21:25)","REUNIÓN INSTRUCTORES\n TARDE","DO","DO","VACACIONES","VACACIONES","VACACIONES","VACACIONES","VACACIONES","VACACIONES","VACACIONES","LCK A320F\n  LIM-CUZ-LIM\n  LA 2075 (10:45-12:10 hrs)\n  LA 2076 (12:50-14:25 hrs)\n LCK A320F\n  LIM-PCL-LIM\n  LA 2360 (15:35-16:50 hrs)\n  LA 2361 (17:25-18:40 hrs)","LCK B767\n VUELO LIM-MIA-LIM\n 2694/2699\n (Pres. 12:30)\n INS TITULAR\n Grupo 3","LCK B767\n REGRESO 2699 23:10","LCK B767\n REGRESO 2699\n (Fin 05:30)","RESERVA IET","DO","DO","RESERVA IET"],"bg":["#ffffff","#b7b7b7","#ff9900","#ff9900","#ddebf7","#ffffff","#ffffff","#ffffff","#fff2cc","#b7b7b7","#cce0f4","#b7b7b7","#ffffff","#ffffff","#ffffff","#ffffcc","#ffffcc","#ffffcc","#ffffcc","#ffffcc","#ffffcc","#ffffcc","#ffffff","#ddebf7","#ddebf7","#ddebf7","#b7b7b7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2823133","nombre":"Cesar Campos","dias":["DO","RRVV","INICIAL G11","INICIAL G11","Reva de Servicio\n TC\n (08:30-17:30 hrs)\n INS TITULAR\n 25 TRIP\n EMPALME","TALLER VOLUNTARIO DE SEGURIDAD","DO","DO","RESERVA IET","RESERVA IET","RTI: VIRTUAL\nA320F / B767\n(08:30-17:30 hrs)\nINS TITULAR\nGRUPO 2","RESERVA IET","REUNIÓN INSTRUCTORES","DO","DO","TALLER VOLUNTARIO","RTI: VIRTUAL\nA320F / B767\n(08:30-17:30 hrs)\nINS TITULAR\nGRUPO 4","RESERVA IET","RESERVA IET","RESERVA IET","DO","DO","RESERVA IET","EXP RECIENTE B767\n OPERA COMO JEFA\n VUELO LIM-SCL-LIM\n 2487/2486\n (Pres. 11:00 - Fin 21:25)","RESERVA IET TARDE","DO","DO","DO","DO","RESERVA IET"],"bg":["#ffffff","#b7b7b7","#00ff00","#00ff00","#fff2cc","#b7b7b7","#ffffff","#ffffff","#b7b7b7","#b7b7b7","#cce0f4","#b7b7b7","#ffff00","#ffffff","#ffffff","#b7b7b7","#cce0f4","#b7b7b7","#b7b7b7","#b7b7b7","#ffffff","#ffffff","#b7b7b7","#b7b7b7","#b7b7b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3189967","nombre":"Kevin Segovia","dias":["DO","RTI \n(E-LEARNING HABILITACIÓN)","RTI: VIRTUAL\nA320F / B767 / B787\n(08:30-17:30 hrs)\nINS TITULAR\nHABILITACIÓN\nGrupo 1","RTI: PRÁCTICA\nA320F / B767 / B787\n(08:30-17:30 hrs)\nINS TITULAR\nHABILITACIÓN\nGrupo 1","RTI \n(E-LEARNING HABILITACIÓN)","TALLER VOLUNTARIO DE SEGURIDAD","DO","DO","RESERVA IET","RTI: VIRTUAL\nA320F / B767\n(08:30-17:30 hrs)\nINS TITULAR\nGRUPO 2","RESERVA IET","RTI: VIRTUAL\nA320F / B767\n(08:30-17:30 hrs)\nINS TITULAR\nGRUPO 3","REUNIÓN INSTRUCTORES","DO","DO","TALLER VOLUNTARIO","RESERVA IET","RTI: VIRTUAL\nA320F / B767\n(08:30-17:30 hrs)\nINS TITULAR\nGRUPO 5","RESERVA IET","RESERVA IET","DO","DO","TALLER VOLUNTARIO","CHEQUEO DGAC B767","RESERVA IET","DO","DO","DO","DO","RESERVA IET"],"bg":["#ffffff","#d9d9d9","#cce0f4","#cce0f4","#d9d9d9","#b7b7b7","#ffffff","#ffffff","#b7b7b7","#cce0f4","#b7b7b7","#cce0f4","#ffff00","#ffffff","#ffffff","#b7b7b7","#b7b7b7","#cce0f4","#b7b7b7","#b7b7b7","#ffffff","#ffffff","#b7b7b7","#b7b7b7","#b7b7b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2415373","nombre":"Milagros Salas","dias":["DO","INICIAL G12","Reva de Servicio\n TC\n (08:30-17:30 hrs)\n INS TITULAR\n 25 TRIP\n EMPALME","INICIAL G11","INICIAL G11","TALLER VOLUNTARIO DE SEGURIDAD","DO","DO","Reentrenamiento A320F\n LIM-AQP-LIM\n LA 2123 (09:15-10:45 hrs)\n LA 2124 (11:25-13:00 hrs)\n Reentrenamiento A320F\n LIM-TPP-LIM\n LA 2087 (14:10-15:35 hrs)\n LA 2088 (16:10-17:30 hrs)","RESERVA IET TARDE","RTI: VIRTUAL\nA320F / B767\n(08:30-17:30 hrs)\nINS TITULAR\nGRUPO 3","RTI: VIRTUAL\nA320F / B767\n(08:30-17:30 hrs)\nINS TITULAR\nGRUPO 3","REUNIÓN INSTRUCTORES","DO","DO","TALLER VOLUNTARIO","RESERVA IET","RESERVA IET","RESERVA IET","RESERVA IET","DO","DO","TALLER VOLUNTARIO","HANDS ON B767\n (08:30-17:30 hrs)\n 1 TC","RESERVA IET","DO","DO","DO","DO","RESERVA IET"],"bg":["#ffffff","#00ffff","#fff2cc","#00ff00","#00ff00","#b7b7b7","#ffffff","#ffffff","#b7b7b7","#b7b7b7","#cce0f4","#cce0f4","#ffff00","#ffffff","#ffffff","#b7b7b7","#b7b7b7","#b7b7b7","#b7b7b7","#b7b7b7","#ffffff","#ffffff","#b7b7b7","#b7b7b7","#b7b7b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2440915","nombre":"Judith Fernandez","dias":["DO","INICIAL G12","INICIAL G12","INICIAL G12","RTI: PRÁCTICA\nA320F / B767 / B787\n(08:30-17:30 hrs)\nINS APOYO\nGrupo 1","Reva de Servicio\n TC\n (08:30-17:30 hrs)\n INS TITULAR\n 25 TRIP\n EMPALME","DO","DO","SITUACIONES DE EMERGENCIA\nTM A320","EXP RECIENTE B767\n OPERA COMO JEFA\n VUELO LIM-SCL-LIM\n 2487/2486\n (Pres. 11:00 - Fin 21:25)","RESERVA IET TARDE","Ditching Presencial\n+ Hands On A320","REUNIÓN INSTRUCTORES","DO","DO","Reva de Servicio\n TC\n (08:30-17:30 hrs)\n INS TITULAR\n 25 TRIP\n EMPALME","RESERVA IET","RTI: VIRTUAL\nA320F / B767\n(08:30-17:30 hrs)\nINS TITULAR\nGRUPO 4","RTI: VIRTUAL\nA320F / B767\n(08:30-17:30 hrs)\nINS TITULAR\nGRUPO 5","RESERVA IET","DO","DO","TALLER VOLUNTARIO","RESERVA IET","RESERVA IET","DO","DO","DO","DO","RESERVA IET"],"bg":["#ffffff","#00ffff","#00ffff","#00ffff","#cce0f4","#fff2cc","#ffffff","#ffffff","#b7b7b7","#b7b7b7","#b7b7b7","#b7b7b7","#ffff00","#ffffff","#ffffff","#fff2cc","#b7b7b7","#cce0f4","#cce0f4","#b7b7b7","#ffffff","#ffffff","#b7b7b7","#b7b7b7","#b7b7b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3796947","nombre":"Rafael Nieto","dias":["DO","","","","","","DO","DO","","","","","","DO","DO","","RESERVA IET","","","RESERVA IET","DO","DO","RESERVA IET","RESERVA IET","RESERVA IET","","","DO","DO","RESERVA IET"],"bg":["#ffffff","#ffffff","#ffffff","#ffffff","#ffffff","#ffffff","#ffffff","#ffffff","#ffffff","#ffffff","#ffffff","#ffffff","#ffffff","#ffffff","#ffffff","#ffffff","#b7b7b7","#ffffff","#ffffff","#b7b7b7","#ffffff","#ffffff","#b7b7b7","#b7b7b7","#b7b7b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,{"bp":"3841387","nombre":"Gianfranco Celiz","dias":["DO","RRVV","CUM","CUM","SITUACIONES DE EMERGENCIA\nA320 TM","Ditching Presencial\n+ Hands On A320","DO","DO","INICIAL G12","INICIAL G12","INICIAL G12","INICIAL G12","REUNIÓN INSTRUCTORES","DO","DO","RESERVA IET","RESERVA IET","RTI: VIRTUAL\nA320F / B767\n(08:30-17:30 hrs)\nINS TITULAR\nGRUPO 4","RTI: VIRTUAL\nA320F / B767\n(08:30-17:30 hrs)\nINS TITULAR\nGRUPO 5","RESERVA IET","DO","DO","RESERVA IET","RESERVA IET","RESERVA IET","DO","DO","DO","DO","EXP RECIENTE B767\n OPERA COMO JEFA\n VUELO LIM-SCL-LIM\n 2487/2486\n (Pres. 11:00 - Fin 21:25)"],"bg":["#ffffff","#b7b7b7","#ffffff","#ffffff","#b7b7b7","#b7b7b7","#ffffff","#ffffff","#00ffff","#00ffff","#00ffff","#00ffff","#ffff00","#ffffff","#ffffff","#b7b7b7","#b7b7b7","#cce0f4","#cce0f4","#b7b7b7","#ffffff","#ffffff","#b7b7b7","#b7b7b7","#b7b7b7","#ffffff","#ffffff","#ffffff","#ffffff","#b7b7b7"],"fg":[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,"#000000"]}]}</t>
  </si>
  <si>
    <t>Google Sheet (enlace o ID)</t>
  </si>
  <si>
    <t>Hoja</t>
  </si>
  <si>
    <t>Última sincronización</t>
  </si>
  <si>
    <t>Instructores</t>
  </si>
  <si>
    <t>Archivo</t>
  </si>
  <si>
    <t>https://docs.google.com/spreadsheets/d/1rQWPuV1bLfyhMAG6ICQ-IGVDXPAV4Vj_Bkx9neqxpCo/edit?gid=1274318071#gid=1274318071</t>
  </si>
  <si>
    <t>ENERO</t>
  </si>
  <si>
    <t>OK</t>
  </si>
  <si>
    <t>01 - Rol Instructores LP ENERO · ENERO</t>
  </si>
  <si>
    <t>https://docs.google.com/spreadsheets/d/162ow2AQkUZrgVUa__TQaGdy97AtlQsiqzSoBKSyjpjM/edit?gid=811083904#gid=811083904</t>
  </si>
  <si>
    <t>FEBRERO</t>
  </si>
  <si>
    <t>02 - Rol Instructores LP FEBRERO · FEBRERO</t>
  </si>
  <si>
    <t>https://docs.google.com/spreadsheets/d/1a7KAOeU0TpxsG77rhWZRpl8YBuLDaQ7sIARw3Pgb69w/edit?gid=268835517#gid=268835517</t>
  </si>
  <si>
    <t>MARZO</t>
  </si>
  <si>
    <t>03 - Rol Instructores LP MARZO · MARZO</t>
  </si>
  <si>
    <t>https://docs.google.com/spreadsheets/d/1dGwCDDda-28TzCIvmgThT3SINRfQK08bIwFgoJsKhxo/edit?gid=1265676691#gid=1265676691</t>
  </si>
  <si>
    <t>ABRIL</t>
  </si>
  <si>
    <t>04 - Rol Instructores LP ABRIL 26 · ABRIL</t>
  </si>
  <si>
    <t>https://docs.google.com/spreadsheets/d/1rJftFyqVQggqIwpiNdWPz1BkGY_rbqqWVXCB010Fkng/edit?gid=663790086#gid=663790086</t>
  </si>
  <si>
    <t>MAYO</t>
  </si>
  <si>
    <t>05 -Rol Instructores LP MAYO · MAYO</t>
  </si>
  <si>
    <t>https://docs.google.com/spreadsheets/d/1d1Jf8ofaXok32el4HF0gK4YmIx5YZdga6fSbHI0Hd3U/edit?gid=1220769573#gid=1220769573</t>
  </si>
  <si>
    <t>Junio</t>
  </si>
  <si>
    <t>OK · 1 días sin asignar.</t>
  </si>
  <si>
    <t>06 - Rol Instructores LP JUNIO · Junio</t>
  </si>
  <si>
    <t>https://docs.google.com/spreadsheets/d/1uyEkvQlHxlvBkCuynVM54RwUtu9iTBtIURAHIp79ugg/edit?gid=563239649#gid=563239649</t>
  </si>
  <si>
    <t>JULIO</t>
  </si>
  <si>
    <t>07 - Rol Instructores LP JULIO · JULIO</t>
  </si>
  <si>
    <t>https://docs.google.com/spreadsheets/d/14XVJZStsjbUMVqS9xqZkS2hSHXqfbeVqntbpzU2sJhw/edit?gid=820704924#gid=820704924</t>
  </si>
  <si>
    <t>AGOSTO</t>
  </si>
  <si>
    <t>08 - Rol de Instructores LP - AUG 2026 · AGOSTO</t>
  </si>
  <si>
    <t>https://docs.google.com/spreadsheets/d/1DJtx6oJUy6SEkUEnanDB_41SKnX8drT0JG3D_a1GeZM/edit?gid=681297197#gid=681297197</t>
  </si>
  <si>
    <t>ROL INS</t>
  </si>
  <si>
    <t>09 - Rol de Instructores LP - SEP - 2026 · SEPTIEMBRE</t>
  </si>
  <si>
    <t>https://docs.google.com/spreadsheets/d/1zGLEOdsaRkBsbXFloYEl3wkhpjra9TWG-7sxIhnknLY/edit?gid=681297197#gid=681297197</t>
  </si>
  <si>
    <t>OK · 21 días sin asignar.</t>
  </si>
  <si>
    <t>10 - Rol Instructores LP-OCT-26 · ROL INS</t>
  </si>
  <si>
    <t>https://docs.google.com/spreadsheets/d/1B0IizPnZybvm3cm1nnRhKSUHGl0WcEAmeiK3gvEaqxw/edit?gid=681297197#gid=681297197</t>
  </si>
  <si>
    <t>Pausada: se conserva la última copia</t>
  </si>
  <si>
    <t>Rol Instructores LP NOVIEMBRE · ROL INS</t>
  </si>
  <si>
    <t>id</t>
  </si>
  <si>
    <t>2026-10_2823133</t>
  </si>
  <si>
    <t>{"mes":"2026-10","bp":"2823133","confirmado":true,"obs":[{"id":"mv5pvclv2xe","mes":"2026-10","dia":null,"texto":"hola","at":"2026-10-12T20:40:46.483Z","estado":"resuelta","resueltaAt":"2026-10-12T21:35:12.989Z","resueltaPor":"Mario Fernandez"}],"actualizadoAt":"2026-10-12T21:35:13.062Z","confirmadoAt":"2026-10-12T20:43:35.767Z"}</t>
  </si>
  <si>
    <t>Nombre (como aparece en el rol)</t>
  </si>
  <si>
    <t>Nombre completo</t>
  </si>
  <si>
    <t>Correo corporativo</t>
  </si>
  <si>
    <t>Flota</t>
  </si>
  <si>
    <t>Categoría</t>
  </si>
  <si>
    <t>Estado en dotación</t>
  </si>
  <si>
    <t>Observaciones</t>
  </si>
  <si>
    <t>Cargo</t>
  </si>
  <si>
    <t>Área</t>
  </si>
  <si>
    <t>Foto</t>
  </si>
  <si>
    <t>Fiorella Ruiz</t>
  </si>
  <si>
    <t>fiorella.ruiz@latam.com</t>
  </si>
  <si>
    <t>Instructor</t>
  </si>
  <si>
    <t>NB</t>
  </si>
  <si>
    <t>INS</t>
  </si>
  <si>
    <t>OOF</t>
  </si>
  <si>
    <t>Datos de dotación en otro formato (flota NB/WB, categoría INS, estado OOF). Validar.</t>
  </si>
  <si>
    <t>INSTRUCTOR SERVICIO A BORDO</t>
  </si>
  <si>
    <t>JEFETURA INSTRUC CAPACITACION</t>
  </si>
  <si>
    <t>https://lh3.googleusercontent.com/a-/ALV-UjW9_XU5JzpouNNe8HxmFpDtH0vgOz6JE4ocs9VAzxAzTCXUl9YJ=s100</t>
  </si>
  <si>
    <t>Sebastian Correa</t>
  </si>
  <si>
    <t>juan.correag@latam.com</t>
  </si>
  <si>
    <t>https://lh3.googleusercontent.com/a-/ALV-UjWzPzTmaMQBY3DM6G5o0zDZ1FG8nvjTQwm6u5DWTCS0YCcZ4ErG=s100</t>
  </si>
  <si>
    <t>Christian Rondon</t>
  </si>
  <si>
    <t>christian.rondon@latam.com</t>
  </si>
  <si>
    <t>WB</t>
  </si>
  <si>
    <t>https://lh3.googleusercontent.com/a-/ALV-UjVTX-KZEyLd63k7XgkxTfm1W8qbyXhb1VX0GbS3I-z3_4QmobFU=s100</t>
  </si>
  <si>
    <t>Karen Santa Cruz</t>
  </si>
  <si>
    <t>karen.santacruz@latam.com</t>
  </si>
  <si>
    <t>A319/A320/B767/B787</t>
  </si>
  <si>
    <t>JSB</t>
  </si>
  <si>
    <t>JEFE SERVICIO A BORDO</t>
  </si>
  <si>
    <t>Jennifert Acurio</t>
  </si>
  <si>
    <t>jennifert.acurio@latam.com</t>
  </si>
  <si>
    <t>Jazmin Guerra</t>
  </si>
  <si>
    <t>GUERRA SUAREZ JAZMIN KARINA</t>
  </si>
  <si>
    <t>jazmin.guerra@latam.com</t>
  </si>
  <si>
    <t>https://lh3.googleusercontent.com/a-/ALV-UjXbC0HjUO5B1zIDRHFBZwucZzBLHG9XdBjQy8pgoE2QpgbRURm-=s100</t>
  </si>
  <si>
    <t>claudia.floresf@latam.com</t>
  </si>
  <si>
    <t>https://lh3.googleusercontent.com/a-/ALV-UjWKRreAGr6BOWynGxFSkvr8_22MpIMhNaQYgBHs915SzZEKnb_zxISvS4Hygn0mGDMRKI8UyoULDmYXmhhw9z86201kWj8lyKskVyBlysaPIkd2ykpr0GhSuaot_y9mies1z5j03rDYFaVNxOYLe1zbJkQ69z5DUePtbO00AGPyG3NEUNGVed9Xr0zuIJduCkp7iQov_767NdfWCLoys170G_3wIGfmEQyMqTWJw84lnaIoL9-TWQFvfV5YBgVPn_8izqDQ-a_3AgG5jh2d84pSPnFsByDUBqZ1ABhPqSkyi21QjMC1F9in0uLSwdm_L9eB1hLuj3mj9GQzn-Bt3p7BD7pCKpR3LHg4fd2agDIMj73UPBn_05JgPSZKhPiv1rRP452AmUMlFjL7XDCK38mYmvVO2_k4ucjbztwgCoysN-XxZ6Fu48W1MvipxkQ6LkyTWo2wnUNJ_glWnaVNICYJ6wxhHztlU0BG2r_eLX_i1kAjXElphrRu38gYSUCiSpYRvek8C5GNwMMbssbi9zEkwOpQOk4lT035e57rUJ_fAFDgDge4w3ZkMVMwulfiWnGmH1pYIaQnphqy3uHgIrh_5WPlBkT2y16T0UEcUWPqTQMbsRaitG-oqZGYknlzbo0DCsec6IG9x7rJjENC8STosfIgvVCrmf9BHjHrPyqlAYXWMbPZSOsgwmb-x0lzhF1t9EIBqEv-0LeyefgpywMLfrJ-3d5-OtObjHnfy0zFZySXng5k4tWE1hhCPVXwESqrwdT6lrUP59Ct-gDfMxDE15cE8wVjnSjMKTE1JPJBk80eFlEs5TUPvqxwn3pAeBCzs77KjuC7rltFJV0Qs2ABf_ynCz9XDDtWyvpeq0EKeE5wY7FJAiKpGg3gwlc9WDvQcALjUoxL_rXo8Cn9UqodoJE3yH0cyfhslxXk_RW4jLsLUYB1c7Y3iNLPRMwiDB8ArMHJzuN6FAGCxVVJTsqw8k7x6zWzeI-C2tu6aY8Z8pDGpK1IPg-O3Phtcg1cKsAHlrzQ8yJjozw35SvNlb6K0MLUFsRCuU6bhLO_EZPlkoBQ6tcxlNVxLsM=s100</t>
  </si>
  <si>
    <t>Karla Moz</t>
  </si>
  <si>
    <t>karla.moz@latam.com</t>
  </si>
  <si>
    <t>JSBS</t>
  </si>
  <si>
    <t>Flota sin dato en la hoja de dotación.</t>
  </si>
  <si>
    <t>JEFE SERVICIO A BORDO SENIOR</t>
  </si>
  <si>
    <t>https://lh3.googleusercontent.com/a-/ALV-UjVDTehAWPc0XLi1fPSc_N_DAwNGFMDCNQ1Euo0D-7cnOjoGK_0_=s100</t>
  </si>
  <si>
    <t>Erika Dávila</t>
  </si>
  <si>
    <t>maria.davila@latam.com</t>
  </si>
  <si>
    <t>https://lh3.googleusercontent.com/a-/ALV-UjWt1oLv0xzfJ_OtRUQe_OjDzQyqOWHpy8rNqJBOtTFr-l2t9Mo=s100</t>
  </si>
  <si>
    <t>Elizabeth Torres</t>
  </si>
  <si>
    <t>elizabeth.torres@latam.com</t>
  </si>
  <si>
    <t>A319/A320/A321/B767</t>
  </si>
  <si>
    <t>https://lh3.googleusercontent.com/a-/ALV-UjUyBhWTF2irCZZl27RVR8qp7gy50MeWoO3bRqw3fCn_XBHt-pif=s100</t>
  </si>
  <si>
    <t>Patricia Najar</t>
  </si>
  <si>
    <t>patricia.najar@latam.com</t>
  </si>
  <si>
    <t>https://lh3.googleusercontent.com/a-/ALV-UjX9LzeuG2aIURdLulNzrkqqf7YTbMcXxatFgUXVo1-u75tEE8QF=s100</t>
  </si>
  <si>
    <t>Javier Zapata</t>
  </si>
  <si>
    <t>javier.zapata@latam.com</t>
  </si>
  <si>
    <t>Jefferson Mendez</t>
  </si>
  <si>
    <t>jefferson.mendez@latam.com</t>
  </si>
  <si>
    <t>https://lh3.googleusercontent.com/a-/ALV-UjVdrGbaNEDMTPbM8FUgqSf6QWWzQeth3iMJZB8kLP-0aL8qD5Yp=s100</t>
  </si>
  <si>
    <t>Gabriela Ungaro</t>
  </si>
  <si>
    <t>sara.ungaro@latam.com</t>
  </si>
  <si>
    <t>https://lh3.googleusercontent.com/a-/ALV-UjVZ2lBvQAym6yu4UNa6PcJl_6WJZWpgPZDxdT9NgYPCLpoKvcM=s100</t>
  </si>
  <si>
    <t>Mariella Carrasco</t>
  </si>
  <si>
    <t>rosa.carrasco@latam.com</t>
  </si>
  <si>
    <t>https://lh3.googleusercontent.com/a-/ALV-UjVu-jBQiDpfPXnQYowJ-T9_W43ZFiY2Y4M70ziPnO6x78ekGt1w=s100</t>
  </si>
  <si>
    <t>cesar.campos@latam.com</t>
  </si>
  <si>
    <t>https://lh3.googleusercontent.com/a-/ALV-UjX2pueORcc4xmZMVqeRtNVzWqnyYPFO1UQatAkAJY4c6mh5xQPs=s100</t>
  </si>
  <si>
    <t>Kevin Segovia</t>
  </si>
  <si>
    <t>ray.segovia@latam.com</t>
  </si>
  <si>
    <t>https://lh3.googleusercontent.com/a-/ALV-UjUpib57KGKB7mEoeDxKhiUdEEP8u1lvv28ai9YER9TIG8lX2PL2=s100</t>
  </si>
  <si>
    <t>Milagros Salas</t>
  </si>
  <si>
    <t>milagros.salas@latam.com</t>
  </si>
  <si>
    <t>https://lh3.googleusercontent.com/a-/ALV-UjVVQAYQw5fr-oIwym4Qs7Dx68DvNS0bU6hmw6t4FEooBpFbfHY=s100</t>
  </si>
  <si>
    <t>Judith Fernandez</t>
  </si>
  <si>
    <t>judith.fernandez@latam.com</t>
  </si>
  <si>
    <t>https://lh3.googleusercontent.com/a-/ALV-UjVf9V10_1o28dMLlRja0d6JlciqeMO0fD7nLRW--ZX-cQFSNiiC=s100</t>
  </si>
  <si>
    <t>Rafael Nieto</t>
  </si>
  <si>
    <t>NIETO SAENZ RAFAEL ANTONIO</t>
  </si>
  <si>
    <t>rafael.nieto@latam.com</t>
  </si>
  <si>
    <t>NME</t>
  </si>
  <si>
    <t>https://lh3.googleusercontent.com/a-/ALV-UjVE5uMlgLwlQ3_LaLDnmuljsYrczsbLUNUUPTHwMFWlDj0O6XsY=s100</t>
  </si>
  <si>
    <t>Gianfranco Celiz</t>
  </si>
  <si>
    <t>gianfranco.celiz@latam.com</t>
  </si>
  <si>
    <t>https://lh3.googleusercontent.com/a-/ALV-UjVsJ1qmgX3XzYc6y3QO8sKCcquakN2PdI-QUNrdmEFXzl6JgFo9=s100</t>
  </si>
  <si>
    <t>6019028</t>
  </si>
  <si>
    <t>Fernando Celadita</t>
  </si>
  <si>
    <t>FERNANDO CELADITA GASPAR</t>
  </si>
  <si>
    <t>fernando.celadita@latam.com</t>
  </si>
  <si>
    <t>Administrador</t>
  </si>
  <si>
    <t>PRACTICA</t>
  </si>
  <si>
    <t>SOPORTE SAB</t>
  </si>
  <si>
    <t>https://lh3.googleusercontent.com/a-/ALV-UjUSqWXsr3CP31eOmE-1rzQtVwPgpxjWkDqtGwBZg9am3b5kXPuIbkUmNZxctPl6Zzq8qtR7o1lY2QfcXo_Ln3P5F8bp5mV9W44q3tYiavecZ3jk8obU49qcqL2Swr-pGB-cLtiozhTaak0e-60CGEKAqesH3Ivh8khKzY8IayNEwAtcDaYCM7CIvUu8ASjsyhYbKjKTDriw18_KP5toXuJWXCmiWxnFjl-FZcEeN7GSeSwpzP3tdxLtATeI3-pUsvLjnGCRFhiIkvwE0-qLpJ3HrUADLyUaCT9Yie48zF-4VrSsv9OhvX4t9TMGz6ZMfCMDnYzG2OeCQBZ5xBqRvqyorjcnLddlxLHtrolKVi0CCQgAI4_dPzR1jlfFTT7vIIUlSDIpP2-CWXPC5voHaXBu4lnOaabOQ_2vDBsHDqrqFy6_VlkHwX06gV8gbHEMiOb-ACKp8GG_8MCQNl8rBbxQS-zwZycwWVlqtuNfqvRoNRt0ediE6on3LK0b2aqmtk-zTdfzg0NUSqqX8sCmqEzJcTltByVOn3mT3xFWRarvI-uumUbTRwG3MC4P3nDic6bRgYU9i9DN-jPCzTX1HRI-SvibCBrMZiQP2bAjAJluHPxW6v7NlwPWsxrP-Rvoa8FX2Fy4f361xYmCyTjbVnrNlXvxMZ9n-Tx_gJPXFef85x3gYeVaJQd7AEKTz7dKNJODKbPa3YUOWQoYOInM3_AQ6UN8k0wtVR3AOGGSb_fJ5rowVhtUVPtsHU3jqccF1m9hYY0myTV6AvmXVfDTAqf0ZqshGP0sdfwUujMT01OKYSCjnLj48jcGwcjX75xhlLEB0fiOUOitJqMDz_7gFh1QTNspAoZDdHnTMzTHE1JWsarT0C_rHTxzrOJ3EYplWYa_v8TLRcNe1hza4Uh7OlzAecAArUmt7baAv50T_v9Me_e29mXLVhg1j2Qd_CpkPdvWz-FDXCGc-3mIaOupF-p1cJPN5rR2jlQd6haY_5qmJeMolUxCrVMAliKZUS9P0cynI3LipdUz9WrgtTSL0B-Vopcvsn7T-nBwYtmupFVYAxhEGUKkHetJxMI=s192-c-mo</t>
  </si>
  <si>
    <t>6014982</t>
  </si>
  <si>
    <t>Mario Fernandez</t>
  </si>
  <si>
    <t>Mario Martin Fernandez Moscoso</t>
  </si>
  <si>
    <t>mario.fernandez@latam.com</t>
  </si>
  <si>
    <t>CONSULTOR SAB Y MEJORA CONTINUA</t>
  </si>
  <si>
    <t>GERENCIA SERVICIO A BORDO PERU</t>
  </si>
  <si>
    <t>https://lh3.googleusercontent.com/a-/ALV-UjV6uB3e6Fon1O7cvavUhuXJg5bUuy0Y6fNsR6PjlJ-ihd-m0R2o=s100</t>
  </si>
  <si>
    <t>31096</t>
  </si>
  <si>
    <t>Jorge Bodero</t>
  </si>
  <si>
    <t>Jorge Andres Bodero Wong</t>
  </si>
  <si>
    <t>jorge.bodero@latam.com</t>
  </si>
  <si>
    <t>Creado desde la app por Fernando Celadita el 2026-10-13</t>
  </si>
  <si>
    <t>JEFE INSTRUC CAPACITACION TEC REG ANDINA</t>
  </si>
  <si>
    <t>https://lh3.googleusercontent.com/a-/ALV-UjXCMyjEbpjiFOQQ42c7w-30WfgsMA3kCCMEq1sefbl5oUWy3qGw=s100</t>
  </si>
  <si>
    <t>4274543</t>
  </si>
  <si>
    <t>Anto C.</t>
  </si>
  <si>
    <t>Briggitte Antonella Luz Cotrina Parraga</t>
  </si>
  <si>
    <t>antonella.cotrina@latam.com</t>
  </si>
  <si>
    <t>Creado desde la app por Fernando Celadita el 2026-10-14</t>
  </si>
  <si>
    <t>SUPERVISOR SOPORTE SAB</t>
  </si>
  <si>
    <t>https://lh3.googleusercontent.com/a-/ALV-UjXFpsoudTAxF2BxxeprGIQozOOP7LIGlWWDEagUoXFjFhvZh3x0Y5ZAYuM_0lBoCJYDzmlzUCATeklZXRtLHsjmTjeOmyQxmuzUBmdrTWQ1cpaLjHjcmicGlsx1CFE7TYI3a6_FRD_b1qxZQrI6XHHZ6OfOo8ECKTixwk5lBcWfjTQKXxKgjcOKOR9KVdeYMNTgKkrV4O4Cl07GIGk6iYgkEAo5Pg4v6Vg6MQEsHydKHvACMpic2nURnwgANonmiVOMNz_TQAKo1Wl7Jn2_Ojg-jmxfZGtnU2EwD7--fvg7NjqlZWoYsiSBFX1G8PdG94_3iVQ7Oi8HDTcAB0Qv6XDUeyWI_4Udf7IOKsB50vmDejCGoUFOjQIhijmPw02NjEy2ZvtuVPH23k7LhqPKRp3HqGpvOq7PuFIKvSfZlcDe2hT3DDx9JlmkBShSxRcRrISlAC49hhvmgysvDcrK-nJJQSicyApfB7HG65D6fWCcRgt3eJEVGxVAmMD6wOlEx7eQUuOqjhtO_lymzIXCJl-4NgbQUNetCziD8Ume6nXie4Q9zWRGrFskaRZTKLTBgEgOosIojeNxyciRkmT5VyFVwAOL2_FLUsZVh2sb9gLstTf4W2jI6l_U8khqCPt--s2LdzCOEwpb-rJty0Z5ZwSqvsKTfSCdouhlZtSp9xFsBwY8VWb081C0HgY3o66UIeenLuoFw2gaAiQo8vvc24CdW5T1RGLA4IY5O13qeArcpDx4Oh3lqK0vXKVElYy8F8TbvreSJpc7iyDDJidhFBsgysNrOlo1Q3ooo-RfYNSmfjT8tO4HWbAGVev_-zL9QY72v0mAQbBZ1fhv8FJ35P3LIX509zuNpFq6ul23XFoDlD_F3jkIiCLwC97gA3kp7x5FiLPPMr8GrOc5M7CoL5ofDpEIWNP7-NN1Yt6hDo_PN7cg6bPTI6UybwSe7Dd9nTFiyqoYMsZA6QxF78eogGR_bNpBvhKcbCi9FA8lmZy0_WONotY6axWRXq0TLZhXmUDN1yQxeYwtE-ENOKLhunRq3zVts2pVF_Az6-3SSlDW9sBMJ_Qxi52NrWK_=s100</t>
  </si>
  <si>
    <t>3194152</t>
  </si>
  <si>
    <t>Virginia Celi Sullca Zapata</t>
  </si>
  <si>
    <t>virginia.sullca@latam.com</t>
  </si>
  <si>
    <t>COORDINADOR SOPORTE SAB</t>
  </si>
  <si>
    <t>Vista</t>
  </si>
  <si>
    <t>Alcance</t>
  </si>
  <si>
    <t>Vista por instructor</t>
  </si>
  <si>
    <t>El instructor ve solo su propio rol (según su BP). El administrador puede elegir a cualquiera.</t>
  </si>
  <si>
    <t>Equidad del Freeze, tendencias, alertas.</t>
  </si>
  <si>
    <t>Confirmaciones y observaciones por instructor.</t>
  </si>
  <si>
    <t>Matriz con todos los instructores del mes.</t>
  </si>
  <si>
    <t>Quiénes tienen actividad cada día.</t>
  </si>
  <si>
    <t>Carga del Excel del Freeze del mes.</t>
  </si>
  <si>
    <t>Códigos de acceso, sesiones e ingresos. Nunca disponible para instructores.</t>
  </si>
  <si>
    <t>Ventana de solicitudes, aprobación y saldo del equipo por periodo DGAC. Cada instructor ve sus propias vacaciones en Mi rol.</t>
  </si>
  <si>
    <t>Aprobar o rechazar los intercambios de actividades que acordaron dos instructores. Cada instructor propone y responde los suyos en Mi rol.</t>
  </si>
  <si>
    <t>Catálogo de tipos de actividad y sus colores; repintar el Google Sheet de un mes. Nunca disponible para instructores.</t>
  </si>
  <si>
    <t>asignado</t>
  </si>
  <si>
    <t>SICK</t>
  </si>
  <si>
    <t>Recurrente Auditor 2026</t>
  </si>
  <si>
    <t>Patricia del Pilar Najar</t>
  </si>
  <si>
    <t>Reunión Instructores</t>
  </si>
  <si>
    <t>no se asignó</t>
  </si>
  <si>
    <t>Luis Bacigalupo</t>
  </si>
  <si>
    <t>TTT CRM SVC</t>
  </si>
  <si>
    <t>TTT REVA SVC</t>
  </si>
  <si>
    <t>LDS</t>
  </si>
  <si>
    <t>Certificación INS Externo</t>
  </si>
  <si>
    <t>VC</t>
  </si>
  <si>
    <t>Auditoría Carpetas Técnicas</t>
  </si>
  <si>
    <t>Preparación IOSA 2026</t>
  </si>
  <si>
    <t>Auditoría PRO CAB</t>
  </si>
  <si>
    <t>CHEQUEO RENOVACIÓN IDE A320F</t>
  </si>
  <si>
    <t>CHEQUEO BI ANUAL INSTRUCTOR</t>
  </si>
  <si>
    <t>Curso INS B787 - Instructor</t>
  </si>
  <si>
    <t>Curso INS B787</t>
  </si>
  <si>
    <t>EXAMEN TEÓRICO DGAC 787</t>
  </si>
  <si>
    <t>ASIGNAR VUELO EXP REC A320 ANTES DE 07 DE SEPT</t>
  </si>
  <si>
    <t>CURSO FORMACIÓN FACILICTADORES CRM</t>
  </si>
  <si>
    <t>CLASE MODELO B787</t>
  </si>
  <si>
    <t>CHEQUEO BI ANUAL INST B767 - HACER CARTA
17/09: LA2698 (LIM - MIA)
18/09: LA2695 (MIA - LIM)</t>
  </si>
  <si>
    <t>ASIGNAR VUELO EXP REC A320 ANTES DE 20 DE SEPT</t>
  </si>
  <si>
    <t>ASIGNAR VUELO EXP REC B787 ANTES DE 23 DE SEPT</t>
  </si>
  <si>
    <t>CHEQUEO RENOVACIÓN IDE B767 - HACER CARTA
23/09: LA2698 (LIM - MIA)
24/09: LA2695 (MIA - LIM)</t>
  </si>
  <si>
    <t>Preparación Auditoría IOSA CAB</t>
  </si>
  <si>
    <t>ASIGNAR VUELO EXP REC B787 ANTES DE 07 OCT</t>
  </si>
  <si>
    <t>Experiencia reciente programada</t>
  </si>
  <si>
    <t>Última experiencia reciente</t>
  </si>
  <si>
    <t>VENCIDO</t>
  </si>
  <si>
    <t>Fecha y hora</t>
  </si>
  <si>
    <t>Correo</t>
  </si>
  <si>
    <t>Evento</t>
  </si>
  <si>
    <t>Resultado</t>
  </si>
  <si>
    <t>Dispositivo / navegador</t>
  </si>
  <si>
    <t>Intento fallido</t>
  </si>
  <si>
    <t>Cuenta sin activar</t>
  </si>
  <si>
    <t>Chrome en Windows</t>
  </si>
  <si>
    <t>Ingreso</t>
  </si>
  <si>
    <t>Código temporal generado</t>
  </si>
  <si>
    <t>Por Fernando Celadita</t>
  </si>
  <si>
    <t>Salida</t>
  </si>
  <si>
    <t>Chrome en Android</t>
  </si>
  <si>
    <t>Activación de cuenta</t>
  </si>
  <si>
    <t>Contraseña incorrecta</t>
  </si>
  <si>
    <t>Chrome en Linux</t>
  </si>
  <si>
    <t>Solicitud de vacaciones</t>
  </si>
  <si>
    <t>7 días</t>
  </si>
  <si>
    <t>Vacaciones rechazada</t>
  </si>
  <si>
    <t>7 días · por Mario Fernandez</t>
  </si>
  <si>
    <t>Código enviado por correo</t>
  </si>
  <si>
    <t>Error: No cuentas con el permiso para llamar a MailApp.sendEmail. Permisos necesarios: https://www.googleapis.com/auth/script.send_mail. Para obtener más información, consulta https://developers.google.com/apps-script/guides/support/troubleshooting#authorization-is</t>
  </si>
  <si>
    <t>Opera en Windows</t>
  </si>
  <si>
    <t>32 días</t>
  </si>
  <si>
    <t>32 días · por Mario Fernandez</t>
  </si>
  <si>
    <t>Sesiones cerradas</t>
  </si>
  <si>
    <t>Por Mario Fernandez</t>
  </si>
  <si>
    <t>Cambio de contraseña</t>
  </si>
  <si>
    <t>Administrador creado</t>
  </si>
  <si>
    <t>Acceso desactivado</t>
  </si>
  <si>
    <t>Intercambio solicitado</t>
  </si>
  <si>
    <t>Con Milagros Salas · el 29 de octubre</t>
  </si>
  <si>
    <t>Intercambio rechazado</t>
  </si>
  <si>
    <t>Con Claudia Flores · el 29 de octubre</t>
  </si>
  <si>
    <t>Con Christian Rondon · el 30 de octubre</t>
  </si>
  <si>
    <t>Intercambio aceptado</t>
  </si>
  <si>
    <t>Con Milagros Salas · el 30 de octubre</t>
  </si>
  <si>
    <t>Intercambio aprobado</t>
  </si>
  <si>
    <t>Milagros Salas ↔ Christian Rondon · el 30 de octubre</t>
  </si>
  <si>
    <t>Catálogo de colores actualizado</t>
  </si>
  <si>
    <t>1 tipos</t>
  </si>
  <si>
    <t>28 tipos</t>
  </si>
  <si>
    <t>Mes repintado con el catálogo</t>
  </si>
  <si>
    <t>2026-10 · 40 celdas</t>
  </si>
  <si>
    <t>Safari en macOS</t>
  </si>
  <si>
    <t>Christian Rondon ↔ Milagros Salas · el 30 de octubre</t>
  </si>
  <si>
    <t>Por Fernando Celadita (enviado por correo)</t>
  </si>
  <si>
    <t>Código inválido o vencido</t>
  </si>
  <si>
    <t>Aprobadores de intercambios</t>
  </si>
  <si>
    <t>Revisión: 2 · Final: 0</t>
  </si>
  <si>
    <t>Revisión: 2 · Final: 1</t>
  </si>
  <si>
    <t>Mes oculto a instructores</t>
  </si>
  <si>
    <t>Con Milagros Salas · el 19 de octubre</t>
  </si>
  <si>
    <t>Con Christian Rondon · el 19 de octubre</t>
  </si>
  <si>
    <t>Intercambio aprobado por coordinación</t>
  </si>
  <si>
    <t>Christian Rondon ↔ Milagros Salas · el 19 de octubre</t>
  </si>
  <si>
    <t>Safari en iOS</t>
  </si>
  <si>
    <t>Intercambio aprobado en aprobación final</t>
  </si>
  <si>
    <t>Usuario inactivo</t>
  </si>
  <si>
    <t>Revisión: 1 · Final: 1</t>
  </si>
  <si>
    <t>Con Milagros Salas · el 20 de octubre</t>
  </si>
  <si>
    <t>Con Christian Rondon · el 20 de octubre</t>
  </si>
  <si>
    <t>Christian Rondon ↔ Milagros Salas · el 20 de octubre</t>
  </si>
  <si>
    <t>Chrome en macOS</t>
  </si>
  <si>
    <t>jfernandez</t>
  </si>
  <si>
    <t>Usuario no registrado</t>
  </si>
  <si>
    <t>cesar augusto campos conche (latam)</t>
  </si>
  <si>
    <t>Acceso activado</t>
  </si>
  <si>
    <t>Datos editados</t>
  </si>
  <si>
    <t>correo: — → erika.davila@latam.com · por Fernando Celadita</t>
  </si>
  <si>
    <t>erika.davila@latam.com</t>
  </si>
  <si>
    <t>correo: — → juan.correag@latam.com · por Fernando Celadita</t>
  </si>
  <si>
    <t>Con Cesar Campos · el 26 de octubre</t>
  </si>
  <si>
    <t>Con Jazmin Guerra · el 26 de octubre</t>
  </si>
  <si>
    <t>Jazmin Guerra ↔ Cesar Campos · el 26 de octubre</t>
  </si>
  <si>
    <t>Fuente del rol cambiada</t>
  </si>
  <si>
    <t>2026-10 · 10 - Rol Instructores LP-OCT-26 · ROL INS</t>
  </si>
  <si>
    <t>2026-01 · 01 - Rol Instructores LP ENERO · ENERO</t>
  </si>
  <si>
    <t>Restablecimiento de contraseña</t>
  </si>
  <si>
    <t>Con Cesar Campos · el 21 de octubre</t>
  </si>
  <si>
    <t>Con Claudia Flores · el 21 de octubre</t>
  </si>
  <si>
    <t>Claudia Flores ↔ Cesar Campos · el 21 de octubre</t>
  </si>
  <si>
    <t>Revisión: 2 · Final: 2</t>
  </si>
  <si>
    <t>judith.fernande@latam.com</t>
  </si>
  <si>
    <t>msalas@latam.com</t>
  </si>
  <si>
    <t>Total de ingresos</t>
  </si>
  <si>
    <t>Último ingreso</t>
  </si>
  <si>
    <t>Último cierre de sesión</t>
  </si>
  <si>
    <t>Intentos fallidos</t>
  </si>
  <si>
    <t>Días desde el último ingreso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</si>
</sst>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/d/yyyy h:mm:ss"/>
    <numFmt numFmtId="166" formatCode="yyyy-m"/>
    <numFmt numFmtId="167" formatCode="dd/mm/yyyy\ hh:mm:ss"/>
    <numFmt numFmtId="168" formatCode="dd/mm/yyyy\ hh:mm"/>
  </numFmts>
  <fonts count="10">
    <font>
      <sz val="11.0"/>
      <color theme="1"/>
      <name val="Calibri"/>
      <scheme val="minor"/>
    </font>
    <font>
      <b/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color rgb="FF9AA0A6"/>
      <name val="Calibri"/>
      <scheme val="minor"/>
    </font>
    <font>
      <u/>
      <color rgb="FF0000FF"/>
    </font>
    <font>
      <u/>
      <color rgb="FF0000FF"/>
    </font>
    <font>
      <b/>
      <sz val="10.0"/>
      <color rgb="FFFFFFFF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</fills>
  <borders count="2">
    <border/>
    <border>
      <left style="thin">
        <color rgb="FFC9D0DB"/>
      </left>
      <right style="thin">
        <color rgb="FFC9D0DB"/>
      </right>
      <top style="thin">
        <color rgb="FFC9D0DB"/>
      </top>
      <bottom style="thin">
        <color rgb="FFC9D0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49" xfId="0" applyFont="1" applyNumberFormat="1"/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8" numFmtId="0" xfId="0" applyAlignment="1" applyBorder="1" applyFill="1" applyFont="1">
      <alignment horizontal="left" shrinkToFit="0" vertical="center" wrapText="1"/>
    </xf>
    <xf borderId="1" fillId="0" fontId="3" numFmtId="49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9" numFmtId="49" xfId="0" applyAlignment="1" applyFont="1" applyNumberFormat="1">
      <alignment readingOrder="0" shrinkToFit="0" vertical="bottom" wrapText="0"/>
    </xf>
    <xf borderId="0" fillId="0" fontId="9" numFmtId="49" xfId="0" applyAlignment="1" applyFont="1" applyNumberFormat="1">
      <alignment readingOrder="0" shrinkToFit="0" vertical="bottom" wrapText="0"/>
    </xf>
    <xf borderId="0" fillId="0" fontId="9" numFmtId="49" xfId="0" applyAlignment="1" applyFont="1" applyNumberFormat="1">
      <alignment shrinkToFit="0" vertical="bottom" wrapText="0"/>
    </xf>
    <xf borderId="0" fillId="0" fontId="4" numFmtId="0" xfId="0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4" numFmtId="1" xfId="0" applyAlignment="1" applyFont="1" applyNumberFormat="1">
      <alignment readingOrder="0"/>
    </xf>
    <xf borderId="0" fillId="0" fontId="9" numFmtId="165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9" numFmtId="167" xfId="0" applyAlignment="1" applyFont="1" applyNumberFormat="1">
      <alignment shrinkToFit="0" vertical="bottom" wrapText="0"/>
    </xf>
    <xf borderId="1" fillId="0" fontId="3" numFmtId="168" xfId="0" applyAlignment="1" applyBorder="1" applyFont="1" applyNumberForma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0" fontId="3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QWPuV1bLfyhMAG6ICQ-IGVDXPAV4Vj_Bkx9neqxpCo/edit?gid=1274318071" TargetMode="External"/><Relationship Id="rId2" Type="http://schemas.openxmlformats.org/officeDocument/2006/relationships/hyperlink" Target="https://docs.google.com/spreadsheets/d/162ow2AQkUZrgVUa__TQaGdy97AtlQsiqzSoBKSyjpjM/edit?gid=811083904" TargetMode="External"/><Relationship Id="rId3" Type="http://schemas.openxmlformats.org/officeDocument/2006/relationships/hyperlink" Target="https://docs.google.com/spreadsheets/d/1a7KAOeU0TpxsG77rhWZRpl8YBuLDaQ7sIARw3Pgb69w/edit?gid=268835517" TargetMode="External"/><Relationship Id="rId4" Type="http://schemas.openxmlformats.org/officeDocument/2006/relationships/hyperlink" Target="https://docs.google.com/spreadsheets/d/1dGwCDDda-28TzCIvmgThT3SINRfQK08bIwFgoJsKhxo/edit?gid=1265676691" TargetMode="External"/><Relationship Id="rId11" Type="http://schemas.openxmlformats.org/officeDocument/2006/relationships/hyperlink" Target="https://docs.google.com/spreadsheets/d/1B0IizPnZybvm3cm1nnRhKSUHGl0WcEAmeiK3gvEaqxw/edit?gid=681297197" TargetMode="External"/><Relationship Id="rId10" Type="http://schemas.openxmlformats.org/officeDocument/2006/relationships/hyperlink" Target="https://docs.google.com/spreadsheets/d/1zGLEOdsaRkBsbXFloYEl3wkhpjra9TWG-7sxIhnknLY/edit?gid=681297197" TargetMode="External"/><Relationship Id="rId12" Type="http://schemas.openxmlformats.org/officeDocument/2006/relationships/drawing" Target="../drawings/drawing12.xml"/><Relationship Id="rId9" Type="http://schemas.openxmlformats.org/officeDocument/2006/relationships/hyperlink" Target="https://docs.google.com/spreadsheets/d/1DJtx6oJUy6SEkUEnanDB_41SKnX8drT0JG3D_a1GeZM/edit?gid=681297197" TargetMode="External"/><Relationship Id="rId5" Type="http://schemas.openxmlformats.org/officeDocument/2006/relationships/hyperlink" Target="https://docs.google.com/spreadsheets/d/1rJftFyqVQggqIwpiNdWPz1BkGY_rbqqWVXCB010Fkng/edit?gid=663790086" TargetMode="External"/><Relationship Id="rId6" Type="http://schemas.openxmlformats.org/officeDocument/2006/relationships/hyperlink" Target="https://docs.google.com/spreadsheets/d/1d1Jf8ofaXok32el4HF0gK4YmIx5YZdga6fSbHI0Hd3U/edit?gid=1220769573" TargetMode="External"/><Relationship Id="rId7" Type="http://schemas.openxmlformats.org/officeDocument/2006/relationships/hyperlink" Target="https://docs.google.com/spreadsheets/d/1uyEkvQlHxlvBkCuynVM54RwUtu9iTBtIURAHIp79ugg/edit?gid=563239649" TargetMode="External"/><Relationship Id="rId8" Type="http://schemas.openxmlformats.org/officeDocument/2006/relationships/hyperlink" Target="https://docs.google.com/spreadsheets/d/14XVJZStsjbUMVqS9xqZkS2hSHXqfbeVqntbpzU2sJhw/edit?gid=820704924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4.xml"/><Relationship Id="rId11" Type="http://schemas.openxmlformats.org/officeDocument/2006/relationships/hyperlink" Target="https://lh3.googleusercontent.com/a-/ALV-UjVu-jBQiDpfPXnQYowJ-T9_W43ZFiY2Y4M70ziPnO6x78ekGt1w=s100" TargetMode="External"/><Relationship Id="rId10" Type="http://schemas.openxmlformats.org/officeDocument/2006/relationships/hyperlink" Target="https://lh3.googleusercontent.com/a-/ALV-UjVZ2lBvQAym6yu4UNa6PcJl_6WJZWpgPZDxdT9NgYPCLpoKvcM=s100" TargetMode="External"/><Relationship Id="rId13" Type="http://schemas.openxmlformats.org/officeDocument/2006/relationships/hyperlink" Target="https://lh3.googleusercontent.com/a-/ALV-UjUpib57KGKB7mEoeDxKhiUdEEP8u1lvv28ai9YER9TIG8lX2PL2=s100" TargetMode="External"/><Relationship Id="rId12" Type="http://schemas.openxmlformats.org/officeDocument/2006/relationships/hyperlink" Target="https://lh3.googleusercontent.com/a-/ALV-UjX2pueORcc4xmZMVqeRtNVzWqnyYPFO1UQatAkAJY4c6mh5xQPs=s100" TargetMode="External"/><Relationship Id="rId1" Type="http://schemas.openxmlformats.org/officeDocument/2006/relationships/hyperlink" Target="https://lh3.googleusercontent.com/a-/ALV-UjW9_XU5JzpouNNe8HxmFpDtH0vgOz6JE4ocs9VAzxAzTCXUl9YJ=s100" TargetMode="External"/><Relationship Id="rId2" Type="http://schemas.openxmlformats.org/officeDocument/2006/relationships/hyperlink" Target="https://lh3.googleusercontent.com/a-/ALV-UjWzPzTmaMQBY3DM6G5o0zDZ1FG8nvjTQwm6u5DWTCS0YCcZ4ErG=s100" TargetMode="External"/><Relationship Id="rId3" Type="http://schemas.openxmlformats.org/officeDocument/2006/relationships/hyperlink" Target="https://lh3.googleusercontent.com/a-/ALV-UjVTX-KZEyLd63k7XgkxTfm1W8qbyXhb1VX0GbS3I-z3_4QmobFU=s100" TargetMode="External"/><Relationship Id="rId4" Type="http://schemas.openxmlformats.org/officeDocument/2006/relationships/hyperlink" Target="https://lh3.googleusercontent.com/a-/ALV-UjXbC0HjUO5B1zIDRHFBZwucZzBLHG9XdBjQy8pgoE2QpgbRURm-=s100" TargetMode="External"/><Relationship Id="rId9" Type="http://schemas.openxmlformats.org/officeDocument/2006/relationships/hyperlink" Target="https://lh3.googleusercontent.com/a-/ALV-UjVdrGbaNEDMTPbM8FUgqSf6QWWzQeth3iMJZB8kLP-0aL8qD5Yp=s100" TargetMode="External"/><Relationship Id="rId15" Type="http://schemas.openxmlformats.org/officeDocument/2006/relationships/hyperlink" Target="https://lh3.googleusercontent.com/a-/ALV-UjVf9V10_1o28dMLlRja0d6JlciqeMO0fD7nLRW--ZX-cQFSNiiC=s100" TargetMode="External"/><Relationship Id="rId14" Type="http://schemas.openxmlformats.org/officeDocument/2006/relationships/hyperlink" Target="https://lh3.googleusercontent.com/a-/ALV-UjVVQAYQw5fr-oIwym4Qs7Dx68DvNS0bU6hmw6t4FEooBpFbfHY=s100" TargetMode="External"/><Relationship Id="rId17" Type="http://schemas.openxmlformats.org/officeDocument/2006/relationships/hyperlink" Target="https://lh3.googleusercontent.com/a-/ALV-UjVsJ1qmgX3XzYc6y3QO8sKCcquakN2PdI-QUNrdmEFXzl6JgFo9=s100" TargetMode="External"/><Relationship Id="rId16" Type="http://schemas.openxmlformats.org/officeDocument/2006/relationships/hyperlink" Target="https://lh3.googleusercontent.com/a-/ALV-UjVE5uMlgLwlQ3_LaLDnmuljsYrczsbLUNUUPTHwMFWlDj0O6XsY=s100" TargetMode="External"/><Relationship Id="rId5" Type="http://schemas.openxmlformats.org/officeDocument/2006/relationships/hyperlink" Target="https://lh3.googleusercontent.com/a-/ALV-UjVDTehAWPc0XLi1fPSc_N_DAwNGFMDCNQ1Euo0D-7cnOjoGK_0_=s100" TargetMode="External"/><Relationship Id="rId19" Type="http://schemas.openxmlformats.org/officeDocument/2006/relationships/hyperlink" Target="https://lh3.googleusercontent.com/a-/ALV-UjXCMyjEbpjiFOQQ42c7w-30WfgsMA3kCCMEq1sefbl5oUWy3qGw=s100" TargetMode="External"/><Relationship Id="rId6" Type="http://schemas.openxmlformats.org/officeDocument/2006/relationships/hyperlink" Target="https://lh3.googleusercontent.com/a-/ALV-UjWt1oLv0xzfJ_OtRUQe_OjDzQyqOWHpy8rNqJBOtTFr-l2t9Mo=s100" TargetMode="External"/><Relationship Id="rId18" Type="http://schemas.openxmlformats.org/officeDocument/2006/relationships/hyperlink" Target="https://lh3.googleusercontent.com/a-/ALV-UjV6uB3e6Fon1O7cvavUhuXJg5bUuy0Y6fNsR6PjlJ-ihd-m0R2o=s100" TargetMode="External"/><Relationship Id="rId7" Type="http://schemas.openxmlformats.org/officeDocument/2006/relationships/hyperlink" Target="https://lh3.googleusercontent.com/a-/ALV-UjUyBhWTF2irCZZl27RVR8qp7gy50MeWoO3bRqw3fCn_XBHt-pif=s100" TargetMode="External"/><Relationship Id="rId8" Type="http://schemas.openxmlformats.org/officeDocument/2006/relationships/hyperlink" Target="https://lh3.googleusercontent.com/a-/ALV-UjX9LzeuG2aIURdLulNzrkqqf7YTbMcXxatFgUXVo1-u75tEE8QF=s100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10">
      <c r="A10" s="2" t="s">
        <v>13</v>
      </c>
      <c r="B10" s="3" t="s">
        <v>14</v>
      </c>
    </row>
    <row r="11">
      <c r="A11" s="2" t="s">
        <v>15</v>
      </c>
      <c r="B11" s="3" t="s">
        <v>16</v>
      </c>
    </row>
    <row r="12">
      <c r="A12" s="4" t="s">
        <v>17</v>
      </c>
      <c r="B12" s="4" t="s">
        <v>18</v>
      </c>
    </row>
    <row r="13">
      <c r="A13" s="4" t="s">
        <v>19</v>
      </c>
      <c r="B13" s="4" t="s">
        <v>20</v>
      </c>
    </row>
    <row r="14">
      <c r="A14" s="4" t="s">
        <v>21</v>
      </c>
      <c r="B14" s="4" t="s">
        <v>22</v>
      </c>
    </row>
    <row r="15">
      <c r="A15" s="4" t="s">
        <v>23</v>
      </c>
      <c r="B15" s="4" t="s">
        <v>24</v>
      </c>
    </row>
    <row r="16">
      <c r="A16" s="4" t="s">
        <v>25</v>
      </c>
      <c r="B16" s="4" t="s">
        <v>26</v>
      </c>
    </row>
    <row r="17">
      <c r="A17" s="4" t="s">
        <v>27</v>
      </c>
      <c r="B17" s="4" t="s">
        <v>28</v>
      </c>
    </row>
    <row r="18">
      <c r="A18" s="4" t="s">
        <v>29</v>
      </c>
      <c r="B18" s="4" t="s">
        <v>30</v>
      </c>
    </row>
    <row r="19">
      <c r="A19" s="4" t="s">
        <v>31</v>
      </c>
      <c r="B19" s="4" t="s">
        <v>32</v>
      </c>
    </row>
    <row r="20">
      <c r="A20" s="4" t="s">
        <v>33</v>
      </c>
      <c r="B20" s="4" t="s">
        <v>34</v>
      </c>
    </row>
    <row r="21" ht="15.75" customHeight="1">
      <c r="A21" s="4" t="s">
        <v>35</v>
      </c>
      <c r="B21" s="4" t="s">
        <v>36</v>
      </c>
    </row>
    <row r="22" ht="15.75" customHeight="1">
      <c r="A22" s="4" t="s">
        <v>37</v>
      </c>
      <c r="B22" s="4" t="s">
        <v>38</v>
      </c>
    </row>
    <row r="23" ht="15.75" customHeight="1">
      <c r="A23" s="4" t="s">
        <v>39</v>
      </c>
      <c r="B23" s="4" t="s">
        <v>40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2" width="57.43"/>
    <col customWidth="1" min="3" max="3" width="11.0"/>
    <col customWidth="1" min="4" max="4" width="18.86"/>
    <col customWidth="1" min="5" max="5" width="12.29"/>
    <col customWidth="1" min="6" max="6" width="13.43"/>
    <col customWidth="1" min="7" max="7" width="12.86"/>
    <col customWidth="1" min="8" max="8" width="10.57"/>
    <col customWidth="1" min="9" max="10" width="12.29"/>
    <col customWidth="1" min="11" max="11" width="13.71"/>
    <col customWidth="1" min="12" max="12" width="17.0"/>
  </cols>
  <sheetData>
    <row r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25</v>
      </c>
      <c r="I1" s="4" t="s">
        <v>35</v>
      </c>
      <c r="J1" s="4" t="s">
        <v>48</v>
      </c>
      <c r="K1" s="4" t="s">
        <v>49</v>
      </c>
      <c r="L1" s="4" t="s">
        <v>50</v>
      </c>
    </row>
    <row r="2">
      <c r="A2" s="4" t="s">
        <v>51</v>
      </c>
      <c r="B2" s="4" t="s">
        <v>52</v>
      </c>
      <c r="C2" s="4" t="s">
        <v>53</v>
      </c>
      <c r="D2" s="4" t="s">
        <v>53</v>
      </c>
      <c r="E2" s="4" t="s">
        <v>53</v>
      </c>
      <c r="F2" s="4" t="s">
        <v>53</v>
      </c>
      <c r="G2" s="4" t="s">
        <v>53</v>
      </c>
      <c r="H2" s="4" t="s">
        <v>53</v>
      </c>
      <c r="I2" s="4" t="s">
        <v>53</v>
      </c>
      <c r="J2" s="4" t="s">
        <v>53</v>
      </c>
      <c r="K2" s="4" t="s">
        <v>53</v>
      </c>
      <c r="L2" s="4" t="s">
        <v>53</v>
      </c>
    </row>
    <row r="3">
      <c r="A3" s="4" t="s">
        <v>54</v>
      </c>
      <c r="B3" s="4" t="s">
        <v>55</v>
      </c>
      <c r="C3" s="4" t="s">
        <v>56</v>
      </c>
      <c r="D3" s="4" t="s">
        <v>56</v>
      </c>
      <c r="E3" s="4" t="s">
        <v>56</v>
      </c>
      <c r="F3" s="4" t="s">
        <v>56</v>
      </c>
      <c r="G3" s="4" t="s">
        <v>56</v>
      </c>
      <c r="H3" s="4" t="s">
        <v>56</v>
      </c>
      <c r="I3" s="4" t="s">
        <v>56</v>
      </c>
      <c r="J3" s="4" t="s">
        <v>57</v>
      </c>
      <c r="K3" s="4" t="s">
        <v>56</v>
      </c>
      <c r="L3" s="4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4" t="s">
        <v>74</v>
      </c>
      <c r="R1" s="4" t="s">
        <v>75</v>
      </c>
      <c r="S1" s="4" t="s">
        <v>76</v>
      </c>
      <c r="T1" s="4" t="s">
        <v>77</v>
      </c>
      <c r="U1" s="4" t="s">
        <v>78</v>
      </c>
      <c r="V1" s="4" t="s">
        <v>79</v>
      </c>
      <c r="W1" s="4" t="s">
        <v>80</v>
      </c>
      <c r="X1" s="4" t="s">
        <v>81</v>
      </c>
    </row>
    <row r="2">
      <c r="A2" s="5" t="s">
        <v>82</v>
      </c>
      <c r="B2" s="5" t="s">
        <v>83</v>
      </c>
      <c r="C2" s="5" t="s">
        <v>84</v>
      </c>
      <c r="D2" s="5" t="s">
        <v>85</v>
      </c>
      <c r="E2" s="5" t="s">
        <v>86</v>
      </c>
      <c r="F2" s="5" t="s">
        <v>87</v>
      </c>
      <c r="G2" s="5" t="s">
        <v>88</v>
      </c>
      <c r="H2" s="4" t="s">
        <v>89</v>
      </c>
      <c r="I2" s="4" t="s">
        <v>90</v>
      </c>
      <c r="J2" s="4" t="s">
        <v>91</v>
      </c>
      <c r="L2" s="4" t="s">
        <v>92</v>
      </c>
      <c r="N2" s="6">
        <v>46314.689890023146</v>
      </c>
      <c r="O2" s="6">
        <v>46314.693238506945</v>
      </c>
      <c r="P2" s="6">
        <v>46315.55797041667</v>
      </c>
      <c r="Q2" s="4" t="s">
        <v>93</v>
      </c>
      <c r="R2" s="4" t="s">
        <v>94</v>
      </c>
      <c r="S2" s="4" t="s">
        <v>95</v>
      </c>
      <c r="T2" s="4" t="s">
        <v>96</v>
      </c>
      <c r="U2" s="6">
        <v>46314.69607686343</v>
      </c>
      <c r="V2" s="4" t="s">
        <v>93</v>
      </c>
      <c r="X2" s="4" t="s">
        <v>97</v>
      </c>
    </row>
    <row r="3">
      <c r="A3" s="5"/>
      <c r="B3" s="5"/>
      <c r="C3" s="5"/>
      <c r="D3" s="5"/>
      <c r="E3" s="5"/>
      <c r="F3" s="5"/>
      <c r="G3" s="5"/>
      <c r="N3" s="6"/>
      <c r="O3" s="6"/>
      <c r="P3" s="6"/>
    </row>
    <row r="4">
      <c r="A4" s="5"/>
      <c r="B4" s="5"/>
      <c r="C4" s="5"/>
      <c r="D4" s="5"/>
      <c r="E4" s="5"/>
      <c r="F4" s="5"/>
      <c r="G4" s="5"/>
      <c r="N4" s="6"/>
      <c r="O4" s="6"/>
      <c r="P4" s="6"/>
    </row>
    <row r="5">
      <c r="A5" s="5"/>
      <c r="B5" s="5"/>
      <c r="C5" s="5"/>
      <c r="D5" s="5"/>
      <c r="E5" s="5"/>
      <c r="F5" s="5"/>
      <c r="G5" s="5"/>
      <c r="N5" s="6"/>
      <c r="O5" s="6"/>
      <c r="P5" s="6"/>
      <c r="U5" s="6"/>
    </row>
    <row r="6">
      <c r="A6" s="5"/>
      <c r="B6" s="5"/>
      <c r="C6" s="5"/>
      <c r="D6" s="5"/>
      <c r="E6" s="5"/>
      <c r="F6" s="5"/>
      <c r="G6" s="5"/>
      <c r="N6" s="6"/>
      <c r="O6" s="6"/>
      <c r="U6" s="6"/>
    </row>
    <row r="7">
      <c r="A7" s="5"/>
      <c r="B7" s="5"/>
      <c r="C7" s="5"/>
      <c r="D7" s="5"/>
      <c r="E7" s="5"/>
      <c r="F7" s="5"/>
      <c r="G7" s="5"/>
      <c r="N7" s="6"/>
      <c r="O7" s="6"/>
      <c r="P7" s="6"/>
      <c r="U7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98</v>
      </c>
      <c r="B1" s="4" t="s">
        <v>99</v>
      </c>
      <c r="C1" s="4" t="s">
        <v>100</v>
      </c>
      <c r="D1" s="4" t="s">
        <v>101</v>
      </c>
      <c r="E1" s="4" t="s">
        <v>102</v>
      </c>
      <c r="F1" s="4" t="s">
        <v>5</v>
      </c>
      <c r="G1" s="4" t="s">
        <v>103</v>
      </c>
    </row>
    <row r="2">
      <c r="A2" s="7">
        <v>1.0</v>
      </c>
      <c r="B2" s="4" t="s">
        <v>104</v>
      </c>
      <c r="C2" s="4" t="s">
        <v>105</v>
      </c>
      <c r="D2" s="4" t="s">
        <v>106</v>
      </c>
      <c r="E2" s="4" t="s">
        <v>107</v>
      </c>
      <c r="F2" s="4" t="s">
        <v>108</v>
      </c>
    </row>
    <row r="3">
      <c r="A3" s="7">
        <v>2.0</v>
      </c>
      <c r="B3" s="4" t="s">
        <v>25</v>
      </c>
      <c r="C3" s="4" t="s">
        <v>109</v>
      </c>
      <c r="D3" s="4" t="s">
        <v>110</v>
      </c>
      <c r="E3" s="4" t="s">
        <v>107</v>
      </c>
      <c r="F3" s="4" t="s">
        <v>108</v>
      </c>
    </row>
    <row r="4">
      <c r="A4" s="7">
        <v>3.0</v>
      </c>
      <c r="B4" s="4" t="s">
        <v>111</v>
      </c>
      <c r="C4" s="4" t="s">
        <v>112</v>
      </c>
      <c r="D4" s="4" t="s">
        <v>113</v>
      </c>
      <c r="E4" s="4" t="s">
        <v>107</v>
      </c>
      <c r="F4" s="4" t="s">
        <v>114</v>
      </c>
    </row>
    <row r="5">
      <c r="A5" s="7">
        <v>4.0</v>
      </c>
      <c r="B5" s="4" t="s">
        <v>115</v>
      </c>
      <c r="C5" s="4" t="s">
        <v>116</v>
      </c>
      <c r="D5" s="4" t="s">
        <v>117</v>
      </c>
      <c r="E5" s="4" t="s">
        <v>107</v>
      </c>
      <c r="F5" s="4" t="s">
        <v>108</v>
      </c>
    </row>
    <row r="6">
      <c r="A6" s="7">
        <v>5.0</v>
      </c>
      <c r="B6" s="4" t="s">
        <v>118</v>
      </c>
      <c r="C6" s="4" t="s">
        <v>119</v>
      </c>
      <c r="D6" s="4" t="s">
        <v>120</v>
      </c>
      <c r="E6" s="4" t="s">
        <v>107</v>
      </c>
      <c r="F6" s="4" t="s">
        <v>108</v>
      </c>
    </row>
    <row r="7">
      <c r="A7" s="7">
        <v>6.0</v>
      </c>
      <c r="B7" s="4" t="s">
        <v>121</v>
      </c>
      <c r="C7" s="4" t="s">
        <v>122</v>
      </c>
      <c r="D7" s="4" t="s">
        <v>123</v>
      </c>
      <c r="E7" s="4" t="s">
        <v>106</v>
      </c>
      <c r="F7" s="4" t="s">
        <v>108</v>
      </c>
    </row>
    <row r="8">
      <c r="A8" s="7">
        <v>7.0</v>
      </c>
      <c r="B8" s="4" t="s">
        <v>124</v>
      </c>
      <c r="C8" s="4" t="s">
        <v>125</v>
      </c>
      <c r="D8" s="4" t="s">
        <v>126</v>
      </c>
      <c r="E8" s="4" t="s">
        <v>107</v>
      </c>
      <c r="F8" s="4" t="s">
        <v>108</v>
      </c>
    </row>
    <row r="9">
      <c r="A9" s="7">
        <v>8.0</v>
      </c>
      <c r="B9" s="4" t="s">
        <v>127</v>
      </c>
      <c r="C9" s="4" t="s">
        <v>128</v>
      </c>
      <c r="D9" s="4" t="s">
        <v>129</v>
      </c>
      <c r="E9" s="4" t="s">
        <v>107</v>
      </c>
      <c r="F9" s="4" t="s">
        <v>108</v>
      </c>
    </row>
    <row r="10">
      <c r="A10" s="7">
        <v>9.0</v>
      </c>
      <c r="B10" s="4" t="s">
        <v>130</v>
      </c>
      <c r="C10" s="4" t="s">
        <v>131</v>
      </c>
      <c r="D10" s="4" t="s">
        <v>132</v>
      </c>
      <c r="E10" s="4" t="s">
        <v>107</v>
      </c>
      <c r="F10" s="4" t="s">
        <v>108</v>
      </c>
    </row>
    <row r="11">
      <c r="A11" s="7">
        <v>10.0</v>
      </c>
      <c r="B11" s="4" t="s">
        <v>133</v>
      </c>
      <c r="C11" s="4" t="s">
        <v>134</v>
      </c>
      <c r="D11" s="4" t="s">
        <v>135</v>
      </c>
      <c r="E11" s="4" t="s">
        <v>107</v>
      </c>
      <c r="F11" s="4" t="s">
        <v>108</v>
      </c>
    </row>
    <row r="12">
      <c r="A12" s="7">
        <v>11.0</v>
      </c>
      <c r="B12" s="4" t="s">
        <v>136</v>
      </c>
      <c r="C12" s="4" t="s">
        <v>137</v>
      </c>
      <c r="D12" s="4" t="s">
        <v>138</v>
      </c>
      <c r="E12" s="4" t="s">
        <v>107</v>
      </c>
      <c r="F12" s="4" t="s">
        <v>108</v>
      </c>
    </row>
    <row r="13">
      <c r="A13" s="7">
        <v>12.0</v>
      </c>
      <c r="B13" s="4" t="s">
        <v>139</v>
      </c>
      <c r="C13" s="4" t="s">
        <v>140</v>
      </c>
      <c r="D13" s="4" t="s">
        <v>141</v>
      </c>
      <c r="E13" s="4" t="s">
        <v>106</v>
      </c>
      <c r="F13" s="4" t="s">
        <v>108</v>
      </c>
    </row>
    <row r="14">
      <c r="A14" s="7">
        <v>13.0</v>
      </c>
      <c r="B14" s="4" t="s">
        <v>142</v>
      </c>
      <c r="C14" s="4" t="s">
        <v>143</v>
      </c>
      <c r="D14" s="4" t="s">
        <v>141</v>
      </c>
      <c r="E14" s="4" t="s">
        <v>107</v>
      </c>
      <c r="F14" s="4" t="s">
        <v>108</v>
      </c>
    </row>
    <row r="15">
      <c r="A15" s="7">
        <v>14.0</v>
      </c>
      <c r="B15" s="4" t="s">
        <v>144</v>
      </c>
      <c r="C15" s="4" t="s">
        <v>145</v>
      </c>
      <c r="D15" s="4" t="s">
        <v>146</v>
      </c>
      <c r="E15" s="4" t="s">
        <v>107</v>
      </c>
      <c r="F15" s="4" t="s">
        <v>108</v>
      </c>
    </row>
    <row r="16">
      <c r="A16" s="7">
        <v>15.0</v>
      </c>
      <c r="B16" s="4" t="s">
        <v>147</v>
      </c>
      <c r="C16" s="4" t="s">
        <v>148</v>
      </c>
      <c r="D16" s="4" t="s">
        <v>149</v>
      </c>
      <c r="E16" s="4" t="s">
        <v>107</v>
      </c>
      <c r="F16" s="4" t="s">
        <v>108</v>
      </c>
    </row>
    <row r="17">
      <c r="A17" s="7">
        <v>16.0</v>
      </c>
      <c r="B17" s="4" t="s">
        <v>150</v>
      </c>
      <c r="C17" s="4" t="s">
        <v>151</v>
      </c>
      <c r="D17" s="4" t="s">
        <v>152</v>
      </c>
      <c r="E17" s="4" t="s">
        <v>107</v>
      </c>
      <c r="F17" s="4" t="s">
        <v>108</v>
      </c>
    </row>
    <row r="18">
      <c r="A18" s="7">
        <v>17.0</v>
      </c>
      <c r="B18" s="4" t="s">
        <v>153</v>
      </c>
      <c r="C18" s="4" t="s">
        <v>154</v>
      </c>
      <c r="D18" s="4" t="s">
        <v>155</v>
      </c>
      <c r="E18" s="4" t="s">
        <v>106</v>
      </c>
      <c r="F18" s="4" t="s">
        <v>108</v>
      </c>
    </row>
    <row r="19">
      <c r="A19" s="7">
        <v>18.0</v>
      </c>
      <c r="B19" s="4" t="s">
        <v>156</v>
      </c>
      <c r="C19" s="4" t="s">
        <v>157</v>
      </c>
      <c r="D19" s="4" t="s">
        <v>158</v>
      </c>
      <c r="E19" s="4" t="s">
        <v>107</v>
      </c>
      <c r="F19" s="4" t="s">
        <v>108</v>
      </c>
    </row>
    <row r="20">
      <c r="A20" s="7">
        <v>19.0</v>
      </c>
      <c r="B20" s="4" t="s">
        <v>133</v>
      </c>
      <c r="C20" s="4" t="s">
        <v>159</v>
      </c>
      <c r="D20" s="4" t="s">
        <v>160</v>
      </c>
      <c r="E20" s="4" t="s">
        <v>107</v>
      </c>
      <c r="F20" s="4" t="s">
        <v>108</v>
      </c>
    </row>
    <row r="21">
      <c r="A21" s="7">
        <v>20.0</v>
      </c>
      <c r="B21" s="4" t="s">
        <v>161</v>
      </c>
      <c r="C21" s="4" t="s">
        <v>162</v>
      </c>
      <c r="D21" s="4" t="s">
        <v>163</v>
      </c>
      <c r="E21" s="4" t="s">
        <v>107</v>
      </c>
      <c r="F21" s="4" t="s">
        <v>108</v>
      </c>
    </row>
    <row r="22">
      <c r="A22" s="7">
        <v>21.0</v>
      </c>
      <c r="B22" s="4" t="s">
        <v>164</v>
      </c>
      <c r="C22" s="4" t="s">
        <v>165</v>
      </c>
      <c r="D22" s="4" t="s">
        <v>166</v>
      </c>
      <c r="E22" s="4" t="s">
        <v>107</v>
      </c>
      <c r="F22" s="4" t="s">
        <v>108</v>
      </c>
    </row>
    <row r="23">
      <c r="A23" s="7">
        <v>22.0</v>
      </c>
      <c r="B23" s="4" t="s">
        <v>167</v>
      </c>
      <c r="C23" s="4" t="s">
        <v>168</v>
      </c>
      <c r="D23" s="4" t="s">
        <v>169</v>
      </c>
      <c r="E23" s="4" t="s">
        <v>106</v>
      </c>
      <c r="F23" s="4" t="s">
        <v>108</v>
      </c>
    </row>
    <row r="24">
      <c r="A24" s="7">
        <v>23.0</v>
      </c>
      <c r="B24" s="4" t="s">
        <v>170</v>
      </c>
      <c r="C24" s="4" t="s">
        <v>171</v>
      </c>
      <c r="D24" s="4" t="s">
        <v>172</v>
      </c>
      <c r="E24" s="4" t="s">
        <v>107</v>
      </c>
      <c r="F24" s="4" t="s">
        <v>108</v>
      </c>
    </row>
    <row r="25">
      <c r="A25" s="7">
        <v>24.0</v>
      </c>
      <c r="B25" s="4" t="s">
        <v>136</v>
      </c>
      <c r="C25" s="4" t="s">
        <v>137</v>
      </c>
      <c r="D25" s="4" t="s">
        <v>173</v>
      </c>
      <c r="E25" s="4" t="s">
        <v>107</v>
      </c>
      <c r="F25" s="4" t="s">
        <v>108</v>
      </c>
    </row>
    <row r="26">
      <c r="A26" s="7">
        <v>25.0</v>
      </c>
      <c r="B26" s="4" t="s">
        <v>174</v>
      </c>
      <c r="C26" s="4" t="s">
        <v>175</v>
      </c>
      <c r="D26" s="4" t="s">
        <v>176</v>
      </c>
      <c r="E26" s="4" t="s">
        <v>107</v>
      </c>
      <c r="F26" s="4" t="s">
        <v>108</v>
      </c>
    </row>
    <row r="27">
      <c r="A27" s="7">
        <v>26.0</v>
      </c>
      <c r="B27" s="4" t="s">
        <v>177</v>
      </c>
      <c r="C27" s="4" t="s">
        <v>178</v>
      </c>
      <c r="D27" s="4" t="s">
        <v>179</v>
      </c>
      <c r="E27" s="4" t="s">
        <v>107</v>
      </c>
      <c r="F27" s="4" t="s">
        <v>108</v>
      </c>
    </row>
    <row r="28">
      <c r="A28" s="7">
        <v>27.0</v>
      </c>
      <c r="B28" s="4" t="s">
        <v>180</v>
      </c>
      <c r="C28" s="4" t="s">
        <v>181</v>
      </c>
      <c r="D28" s="4" t="s">
        <v>182</v>
      </c>
      <c r="E28" s="4" t="s">
        <v>107</v>
      </c>
      <c r="F28" s="4" t="s">
        <v>108</v>
      </c>
    </row>
    <row r="29">
      <c r="A29" s="7">
        <v>28.0</v>
      </c>
      <c r="B29" s="4" t="s">
        <v>183</v>
      </c>
      <c r="C29" s="4" t="s">
        <v>184</v>
      </c>
      <c r="D29" s="4" t="s">
        <v>185</v>
      </c>
      <c r="E29" s="4" t="s">
        <v>107</v>
      </c>
      <c r="F29" s="4" t="s">
        <v>108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" t="s">
        <v>186</v>
      </c>
      <c r="B1" s="5" t="s">
        <v>59</v>
      </c>
      <c r="C1" s="4" t="s">
        <v>60</v>
      </c>
    </row>
    <row r="2">
      <c r="A2" s="5" t="s">
        <v>187</v>
      </c>
      <c r="B2" s="5" t="s">
        <v>188</v>
      </c>
      <c r="C2" s="7">
        <v>8.0</v>
      </c>
    </row>
    <row r="3">
      <c r="A3" s="5" t="s">
        <v>187</v>
      </c>
      <c r="B3" s="5" t="s">
        <v>189</v>
      </c>
      <c r="C3" s="7">
        <v>7.0</v>
      </c>
    </row>
    <row r="4">
      <c r="A4" s="5" t="s">
        <v>187</v>
      </c>
      <c r="B4" s="5" t="s">
        <v>83</v>
      </c>
      <c r="C4" s="7">
        <v>15.0</v>
      </c>
    </row>
    <row r="5">
      <c r="A5" s="5" t="s">
        <v>187</v>
      </c>
      <c r="B5" s="5" t="s">
        <v>190</v>
      </c>
      <c r="C5" s="7">
        <v>11.0</v>
      </c>
    </row>
    <row r="6">
      <c r="A6" s="5" t="s">
        <v>191</v>
      </c>
      <c r="B6" s="5" t="s">
        <v>192</v>
      </c>
      <c r="C6" s="7">
        <v>7.0</v>
      </c>
    </row>
    <row r="7">
      <c r="A7" s="5" t="s">
        <v>193</v>
      </c>
      <c r="B7" s="5" t="s">
        <v>194</v>
      </c>
      <c r="C7" s="7">
        <v>15.0</v>
      </c>
    </row>
    <row r="8">
      <c r="A8" s="5" t="s">
        <v>193</v>
      </c>
      <c r="B8" s="5" t="s">
        <v>192</v>
      </c>
      <c r="C8" s="7">
        <v>7.0</v>
      </c>
    </row>
    <row r="9">
      <c r="A9" s="5" t="s">
        <v>193</v>
      </c>
      <c r="B9" s="5" t="s">
        <v>195</v>
      </c>
      <c r="C9" s="7">
        <v>24.0</v>
      </c>
    </row>
    <row r="10">
      <c r="A10" s="5" t="s">
        <v>196</v>
      </c>
      <c r="B10" s="5" t="s">
        <v>192</v>
      </c>
      <c r="C10" s="7">
        <v>6.0</v>
      </c>
    </row>
    <row r="11">
      <c r="A11" s="5" t="s">
        <v>196</v>
      </c>
      <c r="B11" s="5" t="s">
        <v>197</v>
      </c>
      <c r="C11" s="7">
        <v>1.0</v>
      </c>
    </row>
    <row r="12">
      <c r="A12" s="5" t="s">
        <v>196</v>
      </c>
      <c r="B12" s="5" t="s">
        <v>188</v>
      </c>
      <c r="C12" s="7">
        <v>7.0</v>
      </c>
    </row>
    <row r="13">
      <c r="A13" s="5" t="s">
        <v>196</v>
      </c>
      <c r="B13" s="5" t="s">
        <v>195</v>
      </c>
      <c r="C13" s="7">
        <v>7.0</v>
      </c>
    </row>
    <row r="14">
      <c r="A14" s="5" t="s">
        <v>198</v>
      </c>
      <c r="B14" s="5" t="s">
        <v>194</v>
      </c>
      <c r="C14" s="7">
        <v>6.0</v>
      </c>
    </row>
    <row r="15">
      <c r="A15" s="5" t="s">
        <v>198</v>
      </c>
      <c r="B15" s="5" t="s">
        <v>199</v>
      </c>
      <c r="C15" s="7">
        <v>7.0</v>
      </c>
    </row>
    <row r="16">
      <c r="A16" s="5" t="s">
        <v>198</v>
      </c>
      <c r="B16" s="5" t="s">
        <v>195</v>
      </c>
      <c r="C16" s="7">
        <v>7.0</v>
      </c>
    </row>
    <row r="17">
      <c r="A17" s="5" t="s">
        <v>198</v>
      </c>
      <c r="B17" s="5" t="s">
        <v>200</v>
      </c>
      <c r="C17" s="7">
        <v>7.0</v>
      </c>
    </row>
    <row r="18">
      <c r="A18" s="5" t="s">
        <v>198</v>
      </c>
      <c r="B18" s="5" t="s">
        <v>83</v>
      </c>
      <c r="C18" s="7">
        <v>15.0</v>
      </c>
    </row>
    <row r="19">
      <c r="A19" s="5" t="s">
        <v>201</v>
      </c>
      <c r="B19" s="5" t="s">
        <v>194</v>
      </c>
      <c r="C19" s="7">
        <v>12.0</v>
      </c>
    </row>
    <row r="20">
      <c r="A20" s="5" t="s">
        <v>201</v>
      </c>
      <c r="B20" s="5" t="s">
        <v>189</v>
      </c>
      <c r="C20" s="7">
        <v>8.0</v>
      </c>
    </row>
    <row r="21">
      <c r="A21" s="5" t="s">
        <v>201</v>
      </c>
      <c r="B21" s="5" t="s">
        <v>200</v>
      </c>
      <c r="C21" s="7">
        <v>15.0</v>
      </c>
    </row>
    <row r="22">
      <c r="A22" s="5" t="s">
        <v>201</v>
      </c>
      <c r="B22" s="5" t="s">
        <v>202</v>
      </c>
      <c r="C22" s="7">
        <v>7.0</v>
      </c>
    </row>
    <row r="23">
      <c r="A23" s="5" t="s">
        <v>203</v>
      </c>
      <c r="B23" s="5" t="s">
        <v>199</v>
      </c>
      <c r="C23" s="7">
        <v>18.0</v>
      </c>
    </row>
    <row r="24">
      <c r="A24" s="5" t="s">
        <v>203</v>
      </c>
      <c r="B24" s="5" t="s">
        <v>189</v>
      </c>
      <c r="C24" s="7">
        <v>8.0</v>
      </c>
    </row>
    <row r="25">
      <c r="A25" s="5" t="s">
        <v>203</v>
      </c>
      <c r="B25" s="5" t="s">
        <v>202</v>
      </c>
      <c r="C25" s="7">
        <v>5.0</v>
      </c>
    </row>
    <row r="26">
      <c r="A26" s="5" t="s">
        <v>204</v>
      </c>
      <c r="B26" s="5" t="s">
        <v>188</v>
      </c>
      <c r="C26" s="7">
        <v>29.0</v>
      </c>
    </row>
    <row r="27">
      <c r="A27" s="5" t="s">
        <v>204</v>
      </c>
      <c r="B27" s="5" t="s">
        <v>83</v>
      </c>
      <c r="C27" s="7">
        <v>15.0</v>
      </c>
    </row>
    <row r="28">
      <c r="A28" s="5" t="s">
        <v>205</v>
      </c>
      <c r="B28" s="5" t="s">
        <v>194</v>
      </c>
      <c r="C28" s="7">
        <v>7.0</v>
      </c>
    </row>
    <row r="29">
      <c r="A29" s="5" t="s">
        <v>205</v>
      </c>
      <c r="B29" s="5" t="s">
        <v>192</v>
      </c>
      <c r="C29" s="7">
        <v>14.0</v>
      </c>
    </row>
    <row r="30">
      <c r="A30" s="5" t="s">
        <v>205</v>
      </c>
      <c r="B30" s="5" t="s">
        <v>195</v>
      </c>
      <c r="C30" s="7">
        <v>15.0</v>
      </c>
    </row>
    <row r="31">
      <c r="A31" s="5" t="s">
        <v>205</v>
      </c>
      <c r="B31" s="5" t="s">
        <v>83</v>
      </c>
      <c r="C31" s="7">
        <v>8.0</v>
      </c>
    </row>
    <row r="32">
      <c r="A32" s="5" t="s">
        <v>206</v>
      </c>
      <c r="B32" s="5" t="s">
        <v>192</v>
      </c>
      <c r="C32" s="7">
        <v>10.0</v>
      </c>
    </row>
    <row r="33">
      <c r="A33" s="5" t="s">
        <v>206</v>
      </c>
      <c r="B33" s="5" t="s">
        <v>188</v>
      </c>
      <c r="C33" s="7">
        <v>8.0</v>
      </c>
    </row>
    <row r="34">
      <c r="A34" s="5" t="s">
        <v>206</v>
      </c>
      <c r="B34" s="5" t="s">
        <v>200</v>
      </c>
      <c r="C34" s="7">
        <v>15.0</v>
      </c>
    </row>
    <row r="35">
      <c r="A35" s="5" t="s">
        <v>206</v>
      </c>
      <c r="B35" s="5" t="s">
        <v>202</v>
      </c>
      <c r="C35" s="7">
        <v>7.0</v>
      </c>
    </row>
    <row r="36">
      <c r="A36" s="5" t="s">
        <v>207</v>
      </c>
      <c r="B36" s="5" t="s">
        <v>197</v>
      </c>
      <c r="C36" s="7">
        <v>5.0</v>
      </c>
    </row>
    <row r="37">
      <c r="A37" s="5" t="s">
        <v>207</v>
      </c>
      <c r="B37" s="5" t="s">
        <v>188</v>
      </c>
      <c r="C37" s="7">
        <v>2.0</v>
      </c>
    </row>
    <row r="38">
      <c r="A38" s="5" t="s">
        <v>207</v>
      </c>
      <c r="B38" s="5" t="s">
        <v>208</v>
      </c>
      <c r="C38" s="7">
        <v>1.0</v>
      </c>
    </row>
    <row r="39">
      <c r="A39" s="5" t="s">
        <v>207</v>
      </c>
      <c r="B39" s="5" t="s">
        <v>83</v>
      </c>
      <c r="C39" s="7">
        <v>29.0</v>
      </c>
    </row>
    <row r="40">
      <c r="A40" s="5" t="s">
        <v>207</v>
      </c>
      <c r="B40" s="5" t="s">
        <v>202</v>
      </c>
      <c r="C40" s="7">
        <v>4.0</v>
      </c>
    </row>
    <row r="41">
      <c r="A41" s="5" t="s">
        <v>87</v>
      </c>
      <c r="B41" s="5" t="s">
        <v>189</v>
      </c>
      <c r="C41" s="7">
        <v>15.0</v>
      </c>
    </row>
    <row r="42">
      <c r="A42" s="5" t="s">
        <v>87</v>
      </c>
      <c r="B42" s="5" t="s">
        <v>208</v>
      </c>
      <c r="C42" s="7">
        <v>15.0</v>
      </c>
    </row>
    <row r="43">
      <c r="A43" s="5" t="s">
        <v>87</v>
      </c>
      <c r="B43" s="5" t="s">
        <v>190</v>
      </c>
      <c r="C43" s="7">
        <v>11.0</v>
      </c>
    </row>
    <row r="44">
      <c r="A44" s="5" t="s">
        <v>209</v>
      </c>
      <c r="B44" s="5" t="s">
        <v>194</v>
      </c>
      <c r="C44" s="7">
        <v>14.0</v>
      </c>
    </row>
    <row r="45">
      <c r="A45" s="5" t="s">
        <v>209</v>
      </c>
      <c r="B45" s="5" t="s">
        <v>208</v>
      </c>
      <c r="C45" s="7">
        <v>12.0</v>
      </c>
    </row>
    <row r="46">
      <c r="A46" s="5" t="s">
        <v>209</v>
      </c>
      <c r="B46" s="5" t="s">
        <v>83</v>
      </c>
      <c r="C46" s="7">
        <v>16.0</v>
      </c>
    </row>
    <row r="47">
      <c r="A47" s="5" t="s">
        <v>210</v>
      </c>
      <c r="B47" s="5" t="s">
        <v>197</v>
      </c>
      <c r="C47" s="7">
        <v>23.0</v>
      </c>
    </row>
    <row r="48">
      <c r="A48" s="5" t="s">
        <v>210</v>
      </c>
      <c r="B48" s="5" t="s">
        <v>83</v>
      </c>
      <c r="C48" s="7">
        <v>23.0</v>
      </c>
    </row>
    <row r="49">
      <c r="A49" s="5" t="s">
        <v>211</v>
      </c>
      <c r="B49" s="5" t="s">
        <v>189</v>
      </c>
      <c r="C49" s="7">
        <v>7.0</v>
      </c>
    </row>
    <row r="50">
      <c r="A50" s="5" t="s">
        <v>211</v>
      </c>
      <c r="B50" s="5" t="s">
        <v>195</v>
      </c>
      <c r="C50" s="7">
        <v>16.0</v>
      </c>
    </row>
    <row r="51">
      <c r="A51" s="5" t="s">
        <v>211</v>
      </c>
      <c r="B51" s="5" t="s">
        <v>200</v>
      </c>
      <c r="C51" s="7">
        <v>18.0</v>
      </c>
    </row>
    <row r="52">
      <c r="A52" s="5" t="s">
        <v>85</v>
      </c>
      <c r="B52" s="5" t="s">
        <v>199</v>
      </c>
      <c r="C52" s="7">
        <v>15.0</v>
      </c>
    </row>
    <row r="53">
      <c r="A53" s="5" t="s">
        <v>85</v>
      </c>
      <c r="B53" s="5" t="s">
        <v>200</v>
      </c>
      <c r="C53" s="7">
        <v>15.0</v>
      </c>
    </row>
    <row r="54">
      <c r="A54" s="5" t="s">
        <v>85</v>
      </c>
      <c r="B54" s="5" t="s">
        <v>202</v>
      </c>
      <c r="C54" s="7">
        <v>11.0</v>
      </c>
    </row>
    <row r="55">
      <c r="A55" s="5" t="s">
        <v>212</v>
      </c>
      <c r="B55" s="5" t="s">
        <v>199</v>
      </c>
      <c r="C55" s="7">
        <v>20.0</v>
      </c>
    </row>
    <row r="56">
      <c r="A56" s="5" t="s">
        <v>212</v>
      </c>
      <c r="B56" s="5" t="s">
        <v>200</v>
      </c>
      <c r="C56" s="7">
        <v>8.0</v>
      </c>
    </row>
    <row r="57">
      <c r="A57" s="5" t="s">
        <v>212</v>
      </c>
      <c r="B57" s="5" t="s">
        <v>202</v>
      </c>
      <c r="C57" s="7">
        <v>7.0</v>
      </c>
    </row>
    <row r="58">
      <c r="A58" s="5" t="s">
        <v>213</v>
      </c>
      <c r="B58" s="5" t="s">
        <v>199</v>
      </c>
      <c r="C58" s="7">
        <v>8.0</v>
      </c>
    </row>
    <row r="59">
      <c r="A59" s="5" t="s">
        <v>213</v>
      </c>
      <c r="B59" s="5" t="s">
        <v>189</v>
      </c>
      <c r="C59" s="7">
        <v>15.0</v>
      </c>
    </row>
    <row r="60">
      <c r="A60" s="5" t="s">
        <v>213</v>
      </c>
      <c r="B60" s="5" t="s">
        <v>202</v>
      </c>
      <c r="C60" s="7">
        <v>15.0</v>
      </c>
    </row>
    <row r="61">
      <c r="A61" s="5" t="s">
        <v>214</v>
      </c>
      <c r="B61" s="5" t="s">
        <v>200</v>
      </c>
      <c r="C61" s="7">
        <v>8.0</v>
      </c>
    </row>
    <row r="62">
      <c r="A62" s="5" t="s">
        <v>215</v>
      </c>
      <c r="B62" s="5" t="s">
        <v>194</v>
      </c>
      <c r="C62" s="7">
        <v>8.0</v>
      </c>
    </row>
    <row r="63">
      <c r="A63" s="5" t="s">
        <v>215</v>
      </c>
      <c r="B63" s="5" t="s">
        <v>189</v>
      </c>
      <c r="C63" s="7">
        <v>7.0</v>
      </c>
    </row>
    <row r="64">
      <c r="A64" s="5" t="s">
        <v>215</v>
      </c>
      <c r="B64" s="5" t="s">
        <v>208</v>
      </c>
      <c r="C64" s="7">
        <v>17.0</v>
      </c>
    </row>
    <row r="65">
      <c r="A65" s="5" t="s">
        <v>215</v>
      </c>
      <c r="B65" s="5" t="s">
        <v>195</v>
      </c>
      <c r="C65" s="7">
        <v>7.0</v>
      </c>
    </row>
    <row r="66">
      <c r="A66" s="5" t="s">
        <v>216</v>
      </c>
      <c r="B66" s="5" t="s">
        <v>197</v>
      </c>
      <c r="C66" s="7">
        <v>8.0</v>
      </c>
    </row>
    <row r="67">
      <c r="A67" s="5" t="s">
        <v>216</v>
      </c>
      <c r="B67" s="5" t="s">
        <v>188</v>
      </c>
      <c r="C67" s="7">
        <v>8.0</v>
      </c>
    </row>
    <row r="68">
      <c r="A68" s="5" t="s">
        <v>216</v>
      </c>
      <c r="B68" s="5" t="s">
        <v>189</v>
      </c>
      <c r="C68" s="7">
        <v>7.0</v>
      </c>
    </row>
    <row r="69">
      <c r="A69" s="5" t="s">
        <v>216</v>
      </c>
      <c r="B69" s="5" t="s">
        <v>195</v>
      </c>
      <c r="C69" s="7">
        <v>16.0</v>
      </c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" t="s">
        <v>186</v>
      </c>
      <c r="B1" s="5" t="s">
        <v>217</v>
      </c>
      <c r="C1" s="4" t="s">
        <v>218</v>
      </c>
      <c r="D1" s="4" t="s">
        <v>219</v>
      </c>
    </row>
    <row r="2">
      <c r="A2" s="5" t="s">
        <v>187</v>
      </c>
      <c r="B2" s="5" t="s">
        <v>220</v>
      </c>
      <c r="C2" s="7">
        <v>40.0</v>
      </c>
      <c r="D2" s="7">
        <v>41.0</v>
      </c>
    </row>
    <row r="3">
      <c r="A3" s="5" t="s">
        <v>187</v>
      </c>
      <c r="B3" s="5" t="s">
        <v>221</v>
      </c>
      <c r="C3" s="7">
        <v>41.0</v>
      </c>
    </row>
    <row r="4">
      <c r="A4" s="5" t="s">
        <v>191</v>
      </c>
      <c r="B4" s="5" t="s">
        <v>220</v>
      </c>
      <c r="C4" s="7">
        <v>45.0</v>
      </c>
      <c r="D4" s="7">
        <v>7.0</v>
      </c>
    </row>
    <row r="5">
      <c r="A5" s="5" t="s">
        <v>191</v>
      </c>
      <c r="B5" s="5" t="s">
        <v>221</v>
      </c>
      <c r="C5" s="7">
        <v>45.0</v>
      </c>
    </row>
    <row r="6">
      <c r="A6" s="5" t="s">
        <v>193</v>
      </c>
      <c r="B6" s="5" t="s">
        <v>220</v>
      </c>
      <c r="C6" s="7">
        <v>45.0</v>
      </c>
      <c r="D6" s="7">
        <v>46.0</v>
      </c>
    </row>
    <row r="7">
      <c r="A7" s="5" t="s">
        <v>193</v>
      </c>
      <c r="B7" s="5" t="s">
        <v>221</v>
      </c>
      <c r="C7" s="7">
        <v>45.0</v>
      </c>
    </row>
    <row r="8">
      <c r="A8" s="5" t="s">
        <v>196</v>
      </c>
      <c r="B8" s="5" t="s">
        <v>220</v>
      </c>
      <c r="C8" s="7">
        <v>45.0</v>
      </c>
      <c r="D8" s="7">
        <v>21.0</v>
      </c>
    </row>
    <row r="9">
      <c r="A9" s="5" t="s">
        <v>196</v>
      </c>
      <c r="B9" s="5" t="s">
        <v>221</v>
      </c>
      <c r="C9" s="7">
        <v>45.0</v>
      </c>
    </row>
    <row r="10">
      <c r="A10" s="5" t="s">
        <v>198</v>
      </c>
      <c r="B10" s="5" t="s">
        <v>220</v>
      </c>
      <c r="C10" s="7">
        <v>44.0</v>
      </c>
      <c r="D10" s="7">
        <v>42.0</v>
      </c>
    </row>
    <row r="11">
      <c r="A11" s="5" t="s">
        <v>198</v>
      </c>
      <c r="B11" s="5" t="s">
        <v>221</v>
      </c>
      <c r="C11" s="7">
        <v>45.0</v>
      </c>
    </row>
    <row r="12">
      <c r="A12" s="5" t="s">
        <v>201</v>
      </c>
      <c r="B12" s="5" t="s">
        <v>220</v>
      </c>
      <c r="C12" s="7">
        <v>44.0</v>
      </c>
      <c r="D12" s="7">
        <v>42.0</v>
      </c>
    </row>
    <row r="13">
      <c r="A13" s="5" t="s">
        <v>201</v>
      </c>
      <c r="B13" s="5" t="s">
        <v>221</v>
      </c>
      <c r="C13" s="7">
        <v>45.0</v>
      </c>
    </row>
    <row r="14">
      <c r="A14" s="5" t="s">
        <v>203</v>
      </c>
      <c r="B14" s="5" t="s">
        <v>220</v>
      </c>
      <c r="C14" s="7">
        <v>43.0</v>
      </c>
      <c r="D14" s="7">
        <v>31.0</v>
      </c>
    </row>
    <row r="15">
      <c r="A15" s="5" t="s">
        <v>203</v>
      </c>
      <c r="B15" s="5" t="s">
        <v>221</v>
      </c>
      <c r="C15" s="7">
        <v>45.0</v>
      </c>
    </row>
    <row r="16">
      <c r="A16" s="5" t="s">
        <v>204</v>
      </c>
      <c r="B16" s="5" t="s">
        <v>220</v>
      </c>
      <c r="C16" s="7">
        <v>44.0</v>
      </c>
      <c r="D16" s="7">
        <v>44.0</v>
      </c>
    </row>
    <row r="17">
      <c r="A17" s="5" t="s">
        <v>204</v>
      </c>
      <c r="B17" s="5" t="s">
        <v>221</v>
      </c>
      <c r="C17" s="7">
        <v>45.0</v>
      </c>
    </row>
    <row r="18">
      <c r="A18" s="5" t="s">
        <v>205</v>
      </c>
      <c r="B18" s="5" t="s">
        <v>220</v>
      </c>
      <c r="C18" s="7">
        <v>44.0</v>
      </c>
      <c r="D18" s="7">
        <v>44.0</v>
      </c>
    </row>
    <row r="19">
      <c r="A19" s="5" t="s">
        <v>205</v>
      </c>
      <c r="B19" s="5" t="s">
        <v>221</v>
      </c>
      <c r="C19" s="7">
        <v>45.0</v>
      </c>
    </row>
    <row r="20">
      <c r="A20" s="5" t="s">
        <v>206</v>
      </c>
      <c r="B20" s="5" t="s">
        <v>220</v>
      </c>
      <c r="C20" s="7">
        <v>41.0</v>
      </c>
      <c r="D20" s="7">
        <v>40.0</v>
      </c>
    </row>
    <row r="21">
      <c r="A21" s="5" t="s">
        <v>206</v>
      </c>
      <c r="B21" s="5" t="s">
        <v>221</v>
      </c>
      <c r="C21" s="7">
        <v>42.0</v>
      </c>
    </row>
    <row r="22">
      <c r="A22" s="5" t="s">
        <v>207</v>
      </c>
      <c r="B22" s="5" t="s">
        <v>220</v>
      </c>
      <c r="C22" s="7">
        <v>45.0</v>
      </c>
      <c r="D22" s="7">
        <v>41.0</v>
      </c>
    </row>
    <row r="23">
      <c r="A23" s="5" t="s">
        <v>207</v>
      </c>
      <c r="B23" s="5" t="s">
        <v>221</v>
      </c>
      <c r="C23" s="7">
        <v>45.0</v>
      </c>
    </row>
    <row r="24">
      <c r="A24" s="5" t="s">
        <v>87</v>
      </c>
      <c r="B24" s="5" t="s">
        <v>220</v>
      </c>
      <c r="C24" s="7">
        <v>40.0</v>
      </c>
      <c r="D24" s="7">
        <v>41.0</v>
      </c>
    </row>
    <row r="25">
      <c r="A25" s="5" t="s">
        <v>87</v>
      </c>
      <c r="B25" s="5" t="s">
        <v>221</v>
      </c>
      <c r="C25" s="7">
        <v>41.0</v>
      </c>
    </row>
    <row r="26">
      <c r="A26" s="5" t="s">
        <v>209</v>
      </c>
      <c r="B26" s="5" t="s">
        <v>220</v>
      </c>
      <c r="C26" s="7">
        <v>42.0</v>
      </c>
      <c r="D26" s="7">
        <v>42.0</v>
      </c>
    </row>
    <row r="27">
      <c r="A27" s="5" t="s">
        <v>209</v>
      </c>
      <c r="B27" s="5" t="s">
        <v>221</v>
      </c>
      <c r="C27" s="7">
        <v>43.0</v>
      </c>
    </row>
    <row r="28">
      <c r="A28" s="5" t="s">
        <v>210</v>
      </c>
      <c r="B28" s="5" t="s">
        <v>220</v>
      </c>
      <c r="C28" s="7">
        <v>41.0</v>
      </c>
      <c r="D28" s="7">
        <v>46.0</v>
      </c>
    </row>
    <row r="29">
      <c r="A29" s="5" t="s">
        <v>210</v>
      </c>
      <c r="B29" s="5" t="s">
        <v>221</v>
      </c>
      <c r="C29" s="7">
        <v>42.0</v>
      </c>
    </row>
    <row r="30">
      <c r="A30" s="5" t="s">
        <v>211</v>
      </c>
      <c r="B30" s="5" t="s">
        <v>220</v>
      </c>
      <c r="C30" s="7">
        <v>40.0</v>
      </c>
      <c r="D30" s="7">
        <v>41.0</v>
      </c>
    </row>
    <row r="31">
      <c r="A31" s="5" t="s">
        <v>211</v>
      </c>
      <c r="B31" s="5" t="s">
        <v>221</v>
      </c>
      <c r="C31" s="7">
        <v>41.0</v>
      </c>
    </row>
    <row r="32">
      <c r="A32" s="5" t="s">
        <v>85</v>
      </c>
      <c r="B32" s="5" t="s">
        <v>220</v>
      </c>
      <c r="C32" s="7">
        <v>40.0</v>
      </c>
      <c r="D32" s="7">
        <v>41.0</v>
      </c>
    </row>
    <row r="33">
      <c r="A33" s="5" t="s">
        <v>85</v>
      </c>
      <c r="B33" s="5" t="s">
        <v>221</v>
      </c>
      <c r="C33" s="7">
        <v>41.0</v>
      </c>
    </row>
    <row r="34">
      <c r="A34" s="5" t="s">
        <v>212</v>
      </c>
      <c r="B34" s="5" t="s">
        <v>220</v>
      </c>
      <c r="C34" s="7">
        <v>36.0</v>
      </c>
      <c r="D34" s="7">
        <v>35.0</v>
      </c>
    </row>
    <row r="35">
      <c r="A35" s="5" t="s">
        <v>212</v>
      </c>
      <c r="B35" s="5" t="s">
        <v>221</v>
      </c>
      <c r="C35" s="7">
        <v>37.0</v>
      </c>
    </row>
    <row r="36">
      <c r="A36" s="5" t="s">
        <v>213</v>
      </c>
      <c r="B36" s="5" t="s">
        <v>220</v>
      </c>
      <c r="C36" s="7">
        <v>38.0</v>
      </c>
      <c r="D36" s="7">
        <v>38.0</v>
      </c>
    </row>
    <row r="37">
      <c r="A37" s="5" t="s">
        <v>213</v>
      </c>
      <c r="B37" s="5" t="s">
        <v>221</v>
      </c>
      <c r="C37" s="7">
        <v>39.0</v>
      </c>
    </row>
    <row r="38">
      <c r="A38" s="5" t="s">
        <v>214</v>
      </c>
      <c r="B38" s="5" t="s">
        <v>220</v>
      </c>
      <c r="C38" s="7">
        <v>38.0</v>
      </c>
      <c r="D38" s="7">
        <v>8.0</v>
      </c>
    </row>
    <row r="39">
      <c r="A39" s="5" t="s">
        <v>214</v>
      </c>
      <c r="B39" s="5" t="s">
        <v>221</v>
      </c>
      <c r="C39" s="7">
        <v>39.0</v>
      </c>
    </row>
    <row r="40">
      <c r="A40" s="5" t="s">
        <v>215</v>
      </c>
      <c r="B40" s="5" t="s">
        <v>220</v>
      </c>
      <c r="C40" s="7">
        <v>37.0</v>
      </c>
      <c r="D40" s="7">
        <v>39.0</v>
      </c>
    </row>
    <row r="41">
      <c r="A41" s="5" t="s">
        <v>215</v>
      </c>
      <c r="B41" s="5" t="s">
        <v>221</v>
      </c>
      <c r="C41" s="7">
        <v>38.0</v>
      </c>
    </row>
    <row r="42">
      <c r="A42" s="5" t="s">
        <v>216</v>
      </c>
      <c r="B42" s="5" t="s">
        <v>220</v>
      </c>
      <c r="C42" s="7">
        <v>37.0</v>
      </c>
      <c r="D42" s="7">
        <v>39.0</v>
      </c>
    </row>
    <row r="43">
      <c r="A43" s="5" t="s">
        <v>216</v>
      </c>
      <c r="B43" s="5" t="s">
        <v>221</v>
      </c>
      <c r="C43" s="7">
        <v>38.0</v>
      </c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41.14"/>
    <col customWidth="1" min="3" max="3" width="18.29"/>
    <col customWidth="1" min="4" max="5" width="16.29"/>
    <col customWidth="1" min="6" max="7" width="15.86"/>
    <col customWidth="1" min="8" max="8" width="16.29"/>
    <col customWidth="1" min="9" max="9" width="23.71"/>
  </cols>
  <sheetData>
    <row r="1">
      <c r="A1" s="4" t="s">
        <v>186</v>
      </c>
      <c r="B1" s="4" t="s">
        <v>222</v>
      </c>
      <c r="C1" s="4" t="s">
        <v>223</v>
      </c>
      <c r="D1" s="4" t="s">
        <v>224</v>
      </c>
      <c r="E1" s="4" t="s">
        <v>225</v>
      </c>
      <c r="F1" s="9" t="s">
        <v>226</v>
      </c>
      <c r="G1" s="9" t="s">
        <v>227</v>
      </c>
      <c r="H1" s="9" t="s">
        <v>228</v>
      </c>
      <c r="I1" s="10" t="s">
        <v>229</v>
      </c>
    </row>
    <row r="2">
      <c r="A2" s="4">
        <v>29530.0</v>
      </c>
      <c r="B2" s="4" t="s">
        <v>230</v>
      </c>
      <c r="C2" s="11">
        <v>40567.0</v>
      </c>
      <c r="D2" s="11">
        <v>45681.0</v>
      </c>
      <c r="E2" s="11">
        <v>46046.0</v>
      </c>
      <c r="F2" s="12">
        <v>40.0</v>
      </c>
      <c r="G2" s="12">
        <v>41.0</v>
      </c>
      <c r="H2" s="12">
        <v>41.0</v>
      </c>
      <c r="I2" s="10" t="s">
        <v>231</v>
      </c>
    </row>
    <row r="3">
      <c r="A3" s="4">
        <v>71348.0</v>
      </c>
      <c r="B3" s="4" t="s">
        <v>232</v>
      </c>
      <c r="C3" s="11">
        <v>38223.0</v>
      </c>
      <c r="D3" s="11">
        <v>45893.0</v>
      </c>
      <c r="E3" s="11">
        <v>46258.0</v>
      </c>
      <c r="F3" s="12">
        <v>45.0</v>
      </c>
      <c r="G3" s="12">
        <v>45.0</v>
      </c>
      <c r="H3" s="12">
        <v>7.0</v>
      </c>
      <c r="I3" s="10" t="s">
        <v>233</v>
      </c>
    </row>
    <row r="4">
      <c r="A4" s="4">
        <v>967092.0</v>
      </c>
      <c r="B4" s="4" t="s">
        <v>234</v>
      </c>
      <c r="C4" s="11">
        <v>38139.0</v>
      </c>
      <c r="D4" s="11">
        <v>45809.0</v>
      </c>
      <c r="E4" s="11">
        <v>46174.0</v>
      </c>
      <c r="F4" s="12">
        <v>45.0</v>
      </c>
      <c r="G4" s="12">
        <v>45.0</v>
      </c>
      <c r="H4" s="12">
        <v>46.0</v>
      </c>
      <c r="I4" s="10" t="s">
        <v>235</v>
      </c>
    </row>
    <row r="5">
      <c r="A5" s="4">
        <v>1271571.0</v>
      </c>
      <c r="B5" s="4" t="s">
        <v>236</v>
      </c>
      <c r="D5" s="11">
        <v>45950.0</v>
      </c>
      <c r="E5" s="11">
        <v>46315.0</v>
      </c>
      <c r="F5" s="12">
        <v>45.0</v>
      </c>
      <c r="G5" s="12">
        <v>45.0</v>
      </c>
      <c r="H5" s="12">
        <v>21.0</v>
      </c>
      <c r="I5" s="10" t="s">
        <v>237</v>
      </c>
    </row>
    <row r="6">
      <c r="A6" s="4">
        <v>2369624.0</v>
      </c>
      <c r="B6" s="4" t="s">
        <v>238</v>
      </c>
      <c r="C6" s="11">
        <v>39187.0</v>
      </c>
      <c r="D6" s="11">
        <v>45762.0</v>
      </c>
      <c r="E6" s="11">
        <v>46127.0</v>
      </c>
      <c r="F6" s="12">
        <v>44.0</v>
      </c>
      <c r="G6" s="12">
        <v>45.0</v>
      </c>
      <c r="H6" s="12">
        <v>42.0</v>
      </c>
      <c r="I6" s="10" t="s">
        <v>239</v>
      </c>
    </row>
    <row r="7">
      <c r="A7" s="4">
        <v>2369641.0</v>
      </c>
      <c r="B7" s="4" t="s">
        <v>240</v>
      </c>
      <c r="C7" s="11">
        <v>39197.0</v>
      </c>
      <c r="D7" s="11">
        <v>45772.0</v>
      </c>
      <c r="E7" s="11">
        <v>46137.0</v>
      </c>
      <c r="F7" s="12">
        <v>44.0</v>
      </c>
      <c r="G7" s="12">
        <v>45.0</v>
      </c>
      <c r="H7" s="12">
        <v>42.0</v>
      </c>
      <c r="I7" s="10" t="s">
        <v>241</v>
      </c>
    </row>
    <row r="8">
      <c r="A8" s="4">
        <v>2396710.0</v>
      </c>
      <c r="B8" s="4" t="s">
        <v>242</v>
      </c>
      <c r="D8" s="11">
        <v>45823.0</v>
      </c>
      <c r="E8" s="11">
        <v>46188.0</v>
      </c>
      <c r="F8" s="12">
        <v>43.0</v>
      </c>
      <c r="G8" s="12">
        <v>45.0</v>
      </c>
      <c r="H8" s="12">
        <v>31.0</v>
      </c>
      <c r="I8" s="10" t="s">
        <v>243</v>
      </c>
    </row>
    <row r="9">
      <c r="A9" s="4">
        <v>2415373.0</v>
      </c>
      <c r="B9" s="4" t="s">
        <v>244</v>
      </c>
      <c r="C9" s="11">
        <v>39295.0</v>
      </c>
      <c r="D9" s="11">
        <v>45870.0</v>
      </c>
      <c r="E9" s="11">
        <v>46235.0</v>
      </c>
      <c r="F9" s="12">
        <v>44.0</v>
      </c>
      <c r="G9" s="12">
        <v>45.0</v>
      </c>
      <c r="H9" s="12">
        <v>44.0</v>
      </c>
      <c r="I9" s="10" t="s">
        <v>245</v>
      </c>
    </row>
    <row r="10">
      <c r="A10" s="4">
        <v>2440915.0</v>
      </c>
      <c r="B10" s="4" t="s">
        <v>246</v>
      </c>
      <c r="C10" s="11">
        <v>39356.0</v>
      </c>
      <c r="D10" s="11">
        <v>45931.0</v>
      </c>
      <c r="E10" s="11">
        <v>46296.0</v>
      </c>
      <c r="F10" s="12">
        <v>44.0</v>
      </c>
      <c r="G10" s="12">
        <v>45.0</v>
      </c>
      <c r="H10" s="12">
        <v>44.0</v>
      </c>
      <c r="I10" s="10" t="s">
        <v>247</v>
      </c>
    </row>
    <row r="11">
      <c r="A11" s="4">
        <v>2604360.0</v>
      </c>
      <c r="B11" s="4" t="s">
        <v>248</v>
      </c>
      <c r="C11" s="11">
        <v>40301.0</v>
      </c>
      <c r="D11" s="11">
        <v>45780.0</v>
      </c>
      <c r="E11" s="11">
        <v>46145.0</v>
      </c>
      <c r="F11" s="12">
        <v>41.0</v>
      </c>
      <c r="G11" s="12">
        <v>42.0</v>
      </c>
      <c r="H11" s="12">
        <v>40.0</v>
      </c>
      <c r="I11" s="10" t="s">
        <v>249</v>
      </c>
    </row>
    <row r="12">
      <c r="A12" s="4">
        <v>2713993.0</v>
      </c>
      <c r="B12" s="4" t="s">
        <v>250</v>
      </c>
      <c r="D12" s="11">
        <v>45689.0</v>
      </c>
      <c r="E12" s="11">
        <v>46054.0</v>
      </c>
      <c r="F12" s="12">
        <v>45.0</v>
      </c>
      <c r="G12" s="12">
        <v>45.0</v>
      </c>
      <c r="H12" s="12">
        <v>41.0</v>
      </c>
      <c r="I12" s="10" t="s">
        <v>251</v>
      </c>
    </row>
    <row r="13">
      <c r="A13" s="4">
        <v>2823133.0</v>
      </c>
      <c r="B13" s="4" t="s">
        <v>252</v>
      </c>
      <c r="C13" s="11">
        <v>40546.0</v>
      </c>
      <c r="D13" s="11">
        <v>45660.0</v>
      </c>
      <c r="E13" s="11">
        <v>46025.0</v>
      </c>
      <c r="F13" s="12">
        <v>40.0</v>
      </c>
      <c r="G13" s="12">
        <v>41.0</v>
      </c>
      <c r="H13" s="12">
        <v>41.0</v>
      </c>
      <c r="I13" s="10" t="s">
        <v>253</v>
      </c>
    </row>
    <row r="14">
      <c r="A14" s="4">
        <v>2843319.0</v>
      </c>
      <c r="B14" s="4" t="s">
        <v>254</v>
      </c>
      <c r="C14" s="11">
        <v>40026.0</v>
      </c>
      <c r="D14" s="11">
        <v>45870.0</v>
      </c>
      <c r="E14" s="11">
        <v>46235.0</v>
      </c>
      <c r="F14" s="12">
        <v>42.0</v>
      </c>
      <c r="G14" s="12">
        <v>43.0</v>
      </c>
      <c r="H14" s="12">
        <v>42.0</v>
      </c>
      <c r="I14" s="10" t="s">
        <v>255</v>
      </c>
    </row>
    <row r="15">
      <c r="A15" s="4">
        <v>3134911.0</v>
      </c>
      <c r="B15" s="4" t="s">
        <v>256</v>
      </c>
      <c r="C15" s="11">
        <v>40462.0</v>
      </c>
      <c r="D15" s="11">
        <v>45941.0</v>
      </c>
      <c r="E15" s="11">
        <v>46306.0</v>
      </c>
      <c r="F15" s="12">
        <v>41.0</v>
      </c>
      <c r="G15" s="12">
        <v>42.0</v>
      </c>
      <c r="H15" s="12">
        <v>46.0</v>
      </c>
      <c r="I15" s="10" t="s">
        <v>257</v>
      </c>
    </row>
    <row r="16">
      <c r="A16" s="4">
        <v>3189967.0</v>
      </c>
      <c r="B16" s="4" t="s">
        <v>258</v>
      </c>
      <c r="C16" s="11">
        <v>40546.0</v>
      </c>
      <c r="D16" s="11">
        <v>45660.0</v>
      </c>
      <c r="E16" s="11">
        <v>46025.0</v>
      </c>
      <c r="F16" s="12">
        <v>40.0</v>
      </c>
      <c r="G16" s="12">
        <v>41.0</v>
      </c>
      <c r="H16" s="12">
        <v>41.0</v>
      </c>
      <c r="I16" s="10" t="s">
        <v>259</v>
      </c>
    </row>
    <row r="17">
      <c r="A17" s="4">
        <v>3217561.0</v>
      </c>
      <c r="B17" s="4" t="s">
        <v>260</v>
      </c>
      <c r="C17" s="11">
        <v>40567.0</v>
      </c>
      <c r="D17" s="11">
        <v>45681.0</v>
      </c>
      <c r="E17" s="11">
        <v>46046.0</v>
      </c>
      <c r="F17" s="12">
        <v>40.0</v>
      </c>
      <c r="G17" s="12">
        <v>41.0</v>
      </c>
      <c r="H17" s="12">
        <v>41.0</v>
      </c>
      <c r="I17" s="10" t="s">
        <v>261</v>
      </c>
    </row>
    <row r="18">
      <c r="A18" s="4">
        <v>3750335.0</v>
      </c>
      <c r="B18" s="4" t="s">
        <v>262</v>
      </c>
      <c r="C18" s="11">
        <v>42186.0</v>
      </c>
      <c r="D18" s="11">
        <v>45839.0</v>
      </c>
      <c r="E18" s="11">
        <v>46204.0</v>
      </c>
      <c r="F18" s="12">
        <v>36.0</v>
      </c>
      <c r="G18" s="12">
        <v>37.0</v>
      </c>
      <c r="H18" s="12">
        <v>35.0</v>
      </c>
      <c r="I18" s="10" t="s">
        <v>263</v>
      </c>
    </row>
    <row r="19">
      <c r="A19" s="4">
        <v>3779550.0</v>
      </c>
      <c r="B19" s="4" t="s">
        <v>264</v>
      </c>
      <c r="C19" s="11">
        <v>41470.0</v>
      </c>
      <c r="D19" s="11">
        <v>45853.0</v>
      </c>
      <c r="E19" s="11">
        <v>46218.0</v>
      </c>
      <c r="F19" s="12">
        <v>38.0</v>
      </c>
      <c r="G19" s="12">
        <v>39.0</v>
      </c>
      <c r="H19" s="12">
        <v>38.0</v>
      </c>
      <c r="I19" s="10" t="s">
        <v>265</v>
      </c>
    </row>
    <row r="20">
      <c r="A20" s="4">
        <v>3796947.0</v>
      </c>
      <c r="B20" s="4" t="s">
        <v>266</v>
      </c>
      <c r="C20" s="11">
        <v>41526.0</v>
      </c>
      <c r="F20" s="12">
        <v>38.0</v>
      </c>
      <c r="G20" s="12">
        <v>39.0</v>
      </c>
      <c r="H20" s="12">
        <v>8.0</v>
      </c>
      <c r="I20" s="10" t="s">
        <v>267</v>
      </c>
    </row>
    <row r="21">
      <c r="A21" s="4">
        <v>3841387.0</v>
      </c>
      <c r="B21" s="4" t="s">
        <v>268</v>
      </c>
      <c r="C21" s="11">
        <v>41656.0</v>
      </c>
      <c r="D21" s="11">
        <v>45674.0</v>
      </c>
      <c r="E21" s="11">
        <v>46039.0</v>
      </c>
      <c r="F21" s="12">
        <v>37.0</v>
      </c>
      <c r="G21" s="12">
        <v>38.0</v>
      </c>
      <c r="H21" s="12">
        <v>39.0</v>
      </c>
      <c r="I21" s="10" t="s">
        <v>269</v>
      </c>
    </row>
    <row r="22">
      <c r="A22" s="4">
        <v>3852423.0</v>
      </c>
      <c r="B22" s="4" t="s">
        <v>270</v>
      </c>
      <c r="C22" s="11">
        <v>41835.0</v>
      </c>
      <c r="D22" s="11">
        <v>45853.0</v>
      </c>
      <c r="E22" s="11">
        <v>46218.0</v>
      </c>
      <c r="F22" s="12">
        <v>37.0</v>
      </c>
      <c r="G22" s="12">
        <v>38.0</v>
      </c>
      <c r="H22" s="12">
        <v>39.0</v>
      </c>
      <c r="I22" s="10" t="s">
        <v>271</v>
      </c>
    </row>
    <row r="23">
      <c r="F23" s="13"/>
      <c r="G23" s="13"/>
      <c r="H23" s="13"/>
      <c r="I23" s="14"/>
    </row>
    <row r="24">
      <c r="F24" s="13"/>
      <c r="G24" s="13"/>
      <c r="H24" s="13"/>
      <c r="I24" s="14"/>
    </row>
    <row r="25">
      <c r="F25" s="13"/>
      <c r="G25" s="13"/>
      <c r="H25" s="13"/>
      <c r="I25" s="14"/>
    </row>
    <row r="26">
      <c r="F26" s="13"/>
      <c r="G26" s="13"/>
      <c r="H26" s="13"/>
      <c r="I26" s="14"/>
    </row>
    <row r="27">
      <c r="F27" s="13"/>
      <c r="G27" s="13"/>
      <c r="H27" s="13"/>
      <c r="I27" s="14"/>
    </row>
    <row r="28">
      <c r="F28" s="13"/>
      <c r="G28" s="13"/>
      <c r="H28" s="13"/>
      <c r="I28" s="14"/>
    </row>
    <row r="29">
      <c r="F29" s="13"/>
      <c r="G29" s="13"/>
      <c r="H29" s="13"/>
      <c r="I29" s="14"/>
    </row>
    <row r="30">
      <c r="F30" s="13"/>
      <c r="G30" s="13"/>
      <c r="H30" s="13"/>
      <c r="I30" s="14"/>
    </row>
    <row r="31">
      <c r="F31" s="13"/>
      <c r="G31" s="13"/>
      <c r="H31" s="13"/>
      <c r="I31" s="14"/>
    </row>
    <row r="32">
      <c r="F32" s="13"/>
      <c r="G32" s="13"/>
      <c r="H32" s="13"/>
      <c r="I32" s="14"/>
    </row>
    <row r="33">
      <c r="F33" s="13"/>
      <c r="G33" s="13"/>
      <c r="H33" s="13"/>
      <c r="I33" s="14"/>
    </row>
    <row r="34">
      <c r="F34" s="13"/>
      <c r="G34" s="13"/>
      <c r="H34" s="13"/>
      <c r="I34" s="14"/>
    </row>
    <row r="35">
      <c r="F35" s="13"/>
      <c r="G35" s="13"/>
      <c r="H35" s="13"/>
      <c r="I35" s="14"/>
    </row>
    <row r="36">
      <c r="F36" s="13"/>
      <c r="G36" s="13"/>
      <c r="H36" s="13"/>
      <c r="I36" s="14"/>
    </row>
    <row r="37">
      <c r="F37" s="13"/>
      <c r="G37" s="13"/>
      <c r="H37" s="13"/>
      <c r="I37" s="14"/>
    </row>
    <row r="38">
      <c r="F38" s="13"/>
      <c r="G38" s="13"/>
      <c r="H38" s="13"/>
      <c r="I38" s="14"/>
    </row>
    <row r="39">
      <c r="F39" s="13"/>
      <c r="G39" s="13"/>
      <c r="H39" s="13"/>
      <c r="I39" s="14"/>
    </row>
    <row r="40">
      <c r="F40" s="13"/>
      <c r="G40" s="13"/>
      <c r="H40" s="13"/>
      <c r="I40" s="14"/>
    </row>
    <row r="41">
      <c r="F41" s="13"/>
      <c r="G41" s="13"/>
      <c r="H41" s="13"/>
      <c r="I41" s="14"/>
    </row>
    <row r="42">
      <c r="F42" s="13"/>
      <c r="G42" s="13"/>
      <c r="H42" s="13"/>
      <c r="I42" s="14"/>
    </row>
    <row r="43">
      <c r="F43" s="13"/>
      <c r="G43" s="13"/>
      <c r="H43" s="13"/>
      <c r="I43" s="14"/>
    </row>
    <row r="44">
      <c r="F44" s="13"/>
      <c r="G44" s="13"/>
      <c r="H44" s="13"/>
      <c r="I44" s="14"/>
    </row>
    <row r="45">
      <c r="F45" s="13"/>
      <c r="G45" s="13"/>
      <c r="H45" s="13"/>
      <c r="I45" s="14"/>
    </row>
    <row r="46">
      <c r="F46" s="13"/>
      <c r="G46" s="13"/>
      <c r="H46" s="13"/>
      <c r="I46" s="14"/>
    </row>
    <row r="47">
      <c r="F47" s="13"/>
      <c r="G47" s="13"/>
      <c r="H47" s="13"/>
      <c r="I47" s="14"/>
    </row>
    <row r="48">
      <c r="F48" s="13"/>
      <c r="G48" s="13"/>
      <c r="H48" s="13"/>
      <c r="I48" s="14"/>
    </row>
    <row r="49">
      <c r="F49" s="13"/>
      <c r="G49" s="13"/>
      <c r="H49" s="13"/>
      <c r="I49" s="14"/>
    </row>
    <row r="50">
      <c r="F50" s="13"/>
      <c r="G50" s="13"/>
      <c r="H50" s="13"/>
      <c r="I50" s="14"/>
    </row>
    <row r="51">
      <c r="F51" s="13"/>
      <c r="G51" s="13"/>
      <c r="H51" s="13"/>
      <c r="I51" s="14"/>
    </row>
    <row r="52">
      <c r="F52" s="13"/>
      <c r="G52" s="13"/>
      <c r="H52" s="13"/>
      <c r="I52" s="14"/>
    </row>
    <row r="53">
      <c r="F53" s="13"/>
      <c r="G53" s="13"/>
      <c r="H53" s="13"/>
      <c r="I53" s="14"/>
    </row>
    <row r="54">
      <c r="F54" s="13"/>
      <c r="G54" s="13"/>
      <c r="H54" s="13"/>
      <c r="I54" s="14"/>
    </row>
    <row r="55">
      <c r="F55" s="13"/>
      <c r="G55" s="13"/>
      <c r="H55" s="13"/>
      <c r="I55" s="14"/>
    </row>
    <row r="56">
      <c r="F56" s="13"/>
      <c r="G56" s="13"/>
      <c r="H56" s="13"/>
      <c r="I56" s="14"/>
    </row>
    <row r="57">
      <c r="F57" s="13"/>
      <c r="G57" s="13"/>
      <c r="H57" s="13"/>
      <c r="I57" s="14"/>
    </row>
    <row r="58">
      <c r="F58" s="13"/>
      <c r="G58" s="13"/>
      <c r="H58" s="13"/>
      <c r="I58" s="14"/>
    </row>
    <row r="59">
      <c r="F59" s="13"/>
      <c r="G59" s="13"/>
      <c r="H59" s="13"/>
      <c r="I59" s="14"/>
    </row>
    <row r="60">
      <c r="F60" s="13"/>
      <c r="G60" s="13"/>
      <c r="H60" s="13"/>
      <c r="I60" s="14"/>
    </row>
    <row r="61">
      <c r="F61" s="13"/>
      <c r="G61" s="13"/>
      <c r="H61" s="13"/>
      <c r="I61" s="14"/>
    </row>
    <row r="62">
      <c r="F62" s="13"/>
      <c r="G62" s="13"/>
      <c r="H62" s="13"/>
      <c r="I62" s="14"/>
    </row>
    <row r="63">
      <c r="F63" s="13"/>
      <c r="G63" s="13"/>
      <c r="H63" s="13"/>
      <c r="I63" s="14"/>
    </row>
    <row r="64">
      <c r="F64" s="13"/>
      <c r="G64" s="13"/>
      <c r="H64" s="13"/>
      <c r="I64" s="14"/>
    </row>
    <row r="65">
      <c r="F65" s="13"/>
      <c r="G65" s="13"/>
      <c r="H65" s="13"/>
      <c r="I65" s="14"/>
    </row>
    <row r="66">
      <c r="F66" s="13"/>
      <c r="G66" s="13"/>
      <c r="H66" s="13"/>
      <c r="I66" s="14"/>
    </row>
    <row r="67">
      <c r="F67" s="13"/>
      <c r="G67" s="13"/>
      <c r="H67" s="13"/>
      <c r="I67" s="14"/>
    </row>
    <row r="68">
      <c r="F68" s="13"/>
      <c r="G68" s="13"/>
      <c r="H68" s="13"/>
      <c r="I68" s="14"/>
    </row>
    <row r="69">
      <c r="F69" s="13"/>
      <c r="G69" s="13"/>
      <c r="H69" s="13"/>
      <c r="I69" s="14"/>
    </row>
    <row r="70">
      <c r="F70" s="13"/>
      <c r="G70" s="13"/>
      <c r="H70" s="13"/>
      <c r="I70" s="14"/>
    </row>
    <row r="71">
      <c r="F71" s="13"/>
      <c r="G71" s="13"/>
      <c r="H71" s="13"/>
      <c r="I71" s="14"/>
    </row>
    <row r="72">
      <c r="F72" s="13"/>
      <c r="G72" s="13"/>
      <c r="H72" s="13"/>
      <c r="I72" s="14"/>
    </row>
    <row r="73">
      <c r="F73" s="13"/>
      <c r="G73" s="13"/>
      <c r="H73" s="13"/>
      <c r="I73" s="14"/>
    </row>
    <row r="74">
      <c r="F74" s="13"/>
      <c r="G74" s="13"/>
      <c r="H74" s="13"/>
      <c r="I74" s="14"/>
    </row>
    <row r="75">
      <c r="F75" s="13"/>
      <c r="G75" s="13"/>
      <c r="H75" s="13"/>
      <c r="I75" s="14"/>
    </row>
    <row r="76">
      <c r="F76" s="13"/>
      <c r="G76" s="13"/>
      <c r="H76" s="13"/>
      <c r="I76" s="14"/>
    </row>
    <row r="77">
      <c r="F77" s="13"/>
      <c r="G77" s="13"/>
      <c r="H77" s="13"/>
      <c r="I77" s="14"/>
    </row>
    <row r="78">
      <c r="F78" s="13"/>
      <c r="G78" s="13"/>
      <c r="H78" s="13"/>
      <c r="I78" s="14"/>
    </row>
    <row r="79">
      <c r="F79" s="13"/>
      <c r="G79" s="13"/>
      <c r="H79" s="13"/>
      <c r="I79" s="14"/>
    </row>
    <row r="80">
      <c r="F80" s="13"/>
      <c r="G80" s="13"/>
      <c r="H80" s="13"/>
      <c r="I80" s="14"/>
    </row>
    <row r="81">
      <c r="F81" s="13"/>
      <c r="G81" s="13"/>
      <c r="H81" s="13"/>
      <c r="I81" s="14"/>
    </row>
    <row r="82">
      <c r="F82" s="13"/>
      <c r="G82" s="13"/>
      <c r="H82" s="13"/>
      <c r="I82" s="14"/>
    </row>
    <row r="83">
      <c r="F83" s="13"/>
      <c r="G83" s="13"/>
      <c r="H83" s="13"/>
      <c r="I83" s="14"/>
    </row>
    <row r="84">
      <c r="F84" s="13"/>
      <c r="G84" s="13"/>
      <c r="H84" s="13"/>
      <c r="I84" s="14"/>
    </row>
    <row r="85">
      <c r="F85" s="13"/>
      <c r="G85" s="13"/>
      <c r="H85" s="13"/>
      <c r="I85" s="14"/>
    </row>
    <row r="86">
      <c r="F86" s="13"/>
      <c r="G86" s="13"/>
      <c r="H86" s="13"/>
      <c r="I86" s="14"/>
    </row>
    <row r="87">
      <c r="F87" s="13"/>
      <c r="G87" s="13"/>
      <c r="H87" s="13"/>
      <c r="I87" s="14"/>
    </row>
    <row r="88">
      <c r="F88" s="13"/>
      <c r="G88" s="13"/>
      <c r="H88" s="13"/>
      <c r="I88" s="14"/>
    </row>
    <row r="89">
      <c r="F89" s="13"/>
      <c r="G89" s="13"/>
      <c r="H89" s="13"/>
      <c r="I89" s="14"/>
    </row>
    <row r="90">
      <c r="F90" s="13"/>
      <c r="G90" s="13"/>
      <c r="H90" s="13"/>
      <c r="I90" s="14"/>
    </row>
    <row r="91">
      <c r="F91" s="13"/>
      <c r="G91" s="13"/>
      <c r="H91" s="13"/>
      <c r="I91" s="14"/>
    </row>
    <row r="92">
      <c r="F92" s="13"/>
      <c r="G92" s="13"/>
      <c r="H92" s="13"/>
      <c r="I92" s="14"/>
    </row>
    <row r="93">
      <c r="F93" s="13"/>
      <c r="G93" s="13"/>
      <c r="H93" s="13"/>
      <c r="I93" s="14"/>
    </row>
    <row r="94">
      <c r="F94" s="13"/>
      <c r="G94" s="13"/>
      <c r="H94" s="13"/>
      <c r="I94" s="14"/>
    </row>
    <row r="95">
      <c r="F95" s="13"/>
      <c r="G95" s="13"/>
      <c r="H95" s="13"/>
      <c r="I95" s="14"/>
    </row>
    <row r="96">
      <c r="F96" s="13"/>
      <c r="G96" s="13"/>
      <c r="H96" s="13"/>
      <c r="I96" s="14"/>
    </row>
    <row r="97">
      <c r="F97" s="13"/>
      <c r="G97" s="13"/>
      <c r="H97" s="13"/>
      <c r="I97" s="14"/>
    </row>
    <row r="98">
      <c r="F98" s="13"/>
      <c r="G98" s="13"/>
      <c r="H98" s="13"/>
      <c r="I98" s="14"/>
    </row>
    <row r="99">
      <c r="F99" s="13"/>
      <c r="G99" s="13"/>
      <c r="H99" s="13"/>
      <c r="I99" s="14"/>
    </row>
    <row r="100">
      <c r="F100" s="13"/>
      <c r="G100" s="13"/>
      <c r="H100" s="13"/>
      <c r="I100" s="14"/>
    </row>
    <row r="101">
      <c r="F101" s="13"/>
      <c r="G101" s="13"/>
      <c r="H101" s="13"/>
      <c r="I101" s="14"/>
    </row>
    <row r="102">
      <c r="F102" s="13"/>
      <c r="G102" s="13"/>
      <c r="H102" s="13"/>
      <c r="I102" s="14"/>
    </row>
    <row r="103">
      <c r="F103" s="13"/>
      <c r="G103" s="13"/>
      <c r="H103" s="13"/>
      <c r="I103" s="14"/>
    </row>
    <row r="104">
      <c r="F104" s="13"/>
      <c r="G104" s="13"/>
      <c r="H104" s="13"/>
      <c r="I104" s="14"/>
    </row>
    <row r="105">
      <c r="F105" s="13"/>
      <c r="G105" s="13"/>
      <c r="H105" s="13"/>
      <c r="I105" s="14"/>
    </row>
    <row r="106">
      <c r="F106" s="13"/>
      <c r="G106" s="13"/>
      <c r="H106" s="13"/>
      <c r="I106" s="14"/>
    </row>
    <row r="107">
      <c r="F107" s="13"/>
      <c r="G107" s="13"/>
      <c r="H107" s="13"/>
      <c r="I107" s="14"/>
    </row>
    <row r="108">
      <c r="F108" s="13"/>
      <c r="G108" s="13"/>
      <c r="H108" s="13"/>
      <c r="I108" s="14"/>
    </row>
    <row r="109">
      <c r="F109" s="13"/>
      <c r="G109" s="13"/>
      <c r="H109" s="13"/>
      <c r="I109" s="14"/>
    </row>
    <row r="110">
      <c r="F110" s="13"/>
      <c r="G110" s="13"/>
      <c r="H110" s="13"/>
      <c r="I110" s="14"/>
    </row>
    <row r="111">
      <c r="F111" s="13"/>
      <c r="G111" s="13"/>
      <c r="H111" s="13"/>
      <c r="I111" s="14"/>
    </row>
    <row r="112">
      <c r="F112" s="13"/>
      <c r="G112" s="13"/>
      <c r="H112" s="13"/>
      <c r="I112" s="14"/>
    </row>
    <row r="113">
      <c r="F113" s="13"/>
      <c r="G113" s="13"/>
      <c r="H113" s="13"/>
      <c r="I113" s="14"/>
    </row>
    <row r="114">
      <c r="F114" s="13"/>
      <c r="G114" s="13"/>
      <c r="H114" s="13"/>
      <c r="I114" s="14"/>
    </row>
    <row r="115">
      <c r="F115" s="13"/>
      <c r="G115" s="13"/>
      <c r="H115" s="13"/>
      <c r="I115" s="14"/>
    </row>
    <row r="116">
      <c r="F116" s="13"/>
      <c r="G116" s="13"/>
      <c r="H116" s="13"/>
      <c r="I116" s="14"/>
    </row>
    <row r="117">
      <c r="F117" s="13"/>
      <c r="G117" s="13"/>
      <c r="H117" s="13"/>
      <c r="I117" s="14"/>
    </row>
    <row r="118">
      <c r="F118" s="13"/>
      <c r="G118" s="13"/>
      <c r="H118" s="13"/>
      <c r="I118" s="14"/>
    </row>
    <row r="119">
      <c r="F119" s="13"/>
      <c r="G119" s="13"/>
      <c r="H119" s="13"/>
      <c r="I119" s="14"/>
    </row>
    <row r="120">
      <c r="F120" s="13"/>
      <c r="G120" s="13"/>
      <c r="H120" s="13"/>
      <c r="I120" s="14"/>
    </row>
    <row r="121">
      <c r="F121" s="13"/>
      <c r="G121" s="13"/>
      <c r="H121" s="13"/>
      <c r="I121" s="14"/>
    </row>
    <row r="122">
      <c r="F122" s="13"/>
      <c r="G122" s="13"/>
      <c r="H122" s="13"/>
      <c r="I122" s="14"/>
    </row>
    <row r="123">
      <c r="F123" s="13"/>
      <c r="G123" s="13"/>
      <c r="H123" s="13"/>
      <c r="I123" s="14"/>
    </row>
    <row r="124">
      <c r="F124" s="13"/>
      <c r="G124" s="13"/>
      <c r="H124" s="13"/>
      <c r="I124" s="14"/>
    </row>
    <row r="125">
      <c r="F125" s="13"/>
      <c r="G125" s="13"/>
      <c r="H125" s="13"/>
      <c r="I125" s="14"/>
    </row>
    <row r="126">
      <c r="F126" s="13"/>
      <c r="G126" s="13"/>
      <c r="H126" s="13"/>
      <c r="I126" s="14"/>
    </row>
    <row r="127">
      <c r="F127" s="13"/>
      <c r="G127" s="13"/>
      <c r="H127" s="13"/>
      <c r="I127" s="14"/>
    </row>
    <row r="128">
      <c r="F128" s="13"/>
      <c r="G128" s="13"/>
      <c r="H128" s="13"/>
      <c r="I128" s="14"/>
    </row>
    <row r="129">
      <c r="F129" s="13"/>
      <c r="G129" s="13"/>
      <c r="H129" s="13"/>
      <c r="I129" s="14"/>
    </row>
    <row r="130">
      <c r="F130" s="13"/>
      <c r="G130" s="13"/>
      <c r="H130" s="13"/>
      <c r="I130" s="14"/>
    </row>
    <row r="131">
      <c r="F131" s="13"/>
      <c r="G131" s="13"/>
      <c r="H131" s="13"/>
      <c r="I131" s="14"/>
    </row>
    <row r="132">
      <c r="F132" s="13"/>
      <c r="G132" s="13"/>
      <c r="H132" s="13"/>
      <c r="I132" s="14"/>
    </row>
    <row r="133">
      <c r="F133" s="13"/>
      <c r="G133" s="13"/>
      <c r="H133" s="13"/>
      <c r="I133" s="14"/>
    </row>
    <row r="134">
      <c r="F134" s="13"/>
      <c r="G134" s="13"/>
      <c r="H134" s="13"/>
      <c r="I134" s="14"/>
    </row>
    <row r="135">
      <c r="F135" s="13"/>
      <c r="G135" s="13"/>
      <c r="H135" s="13"/>
      <c r="I135" s="14"/>
    </row>
    <row r="136">
      <c r="F136" s="13"/>
      <c r="G136" s="13"/>
      <c r="H136" s="13"/>
      <c r="I136" s="14"/>
    </row>
    <row r="137">
      <c r="F137" s="13"/>
      <c r="G137" s="13"/>
      <c r="H137" s="13"/>
      <c r="I137" s="14"/>
    </row>
    <row r="138">
      <c r="F138" s="13"/>
      <c r="G138" s="13"/>
      <c r="H138" s="13"/>
      <c r="I138" s="14"/>
    </row>
    <row r="139">
      <c r="F139" s="13"/>
      <c r="G139" s="13"/>
      <c r="H139" s="13"/>
      <c r="I139" s="14"/>
    </row>
    <row r="140">
      <c r="F140" s="13"/>
      <c r="G140" s="13"/>
      <c r="H140" s="13"/>
      <c r="I140" s="14"/>
    </row>
    <row r="141">
      <c r="F141" s="13"/>
      <c r="G141" s="13"/>
      <c r="H141" s="13"/>
      <c r="I141" s="14"/>
    </row>
    <row r="142">
      <c r="F142" s="13"/>
      <c r="G142" s="13"/>
      <c r="H142" s="13"/>
      <c r="I142" s="14"/>
    </row>
    <row r="143">
      <c r="F143" s="13"/>
      <c r="G143" s="13"/>
      <c r="H143" s="13"/>
      <c r="I143" s="14"/>
    </row>
    <row r="144">
      <c r="F144" s="13"/>
      <c r="G144" s="13"/>
      <c r="H144" s="13"/>
      <c r="I144" s="14"/>
    </row>
    <row r="145">
      <c r="F145" s="13"/>
      <c r="G145" s="13"/>
      <c r="H145" s="13"/>
      <c r="I145" s="14"/>
    </row>
    <row r="146">
      <c r="F146" s="13"/>
      <c r="G146" s="13"/>
      <c r="H146" s="13"/>
      <c r="I146" s="14"/>
    </row>
    <row r="147">
      <c r="F147" s="13"/>
      <c r="G147" s="13"/>
      <c r="H147" s="13"/>
      <c r="I147" s="14"/>
    </row>
    <row r="148">
      <c r="F148" s="13"/>
      <c r="G148" s="13"/>
      <c r="H148" s="13"/>
      <c r="I148" s="14"/>
    </row>
    <row r="149">
      <c r="F149" s="13"/>
      <c r="G149" s="13"/>
      <c r="H149" s="13"/>
      <c r="I149" s="14"/>
    </row>
    <row r="150">
      <c r="F150" s="13"/>
      <c r="G150" s="13"/>
      <c r="H150" s="13"/>
      <c r="I150" s="14"/>
    </row>
    <row r="151">
      <c r="F151" s="13"/>
      <c r="G151" s="13"/>
      <c r="H151" s="13"/>
      <c r="I151" s="14"/>
    </row>
    <row r="152">
      <c r="F152" s="13"/>
      <c r="G152" s="13"/>
      <c r="H152" s="13"/>
      <c r="I152" s="14"/>
    </row>
    <row r="153">
      <c r="F153" s="13"/>
      <c r="G153" s="13"/>
      <c r="H153" s="13"/>
      <c r="I153" s="14"/>
    </row>
    <row r="154">
      <c r="F154" s="13"/>
      <c r="G154" s="13"/>
      <c r="H154" s="13"/>
      <c r="I154" s="14"/>
    </row>
    <row r="155">
      <c r="F155" s="13"/>
      <c r="G155" s="13"/>
      <c r="H155" s="13"/>
      <c r="I155" s="14"/>
    </row>
    <row r="156">
      <c r="F156" s="13"/>
      <c r="G156" s="13"/>
      <c r="H156" s="13"/>
      <c r="I156" s="14"/>
    </row>
    <row r="157">
      <c r="F157" s="13"/>
      <c r="G157" s="13"/>
      <c r="H157" s="13"/>
      <c r="I157" s="14"/>
    </row>
    <row r="158">
      <c r="F158" s="13"/>
      <c r="G158" s="13"/>
      <c r="H158" s="13"/>
      <c r="I158" s="14"/>
    </row>
    <row r="159">
      <c r="F159" s="13"/>
      <c r="G159" s="13"/>
      <c r="H159" s="13"/>
      <c r="I159" s="14"/>
    </row>
    <row r="160">
      <c r="F160" s="13"/>
      <c r="G160" s="13"/>
      <c r="H160" s="13"/>
      <c r="I160" s="14"/>
    </row>
    <row r="161">
      <c r="F161" s="13"/>
      <c r="G161" s="13"/>
      <c r="H161" s="13"/>
      <c r="I161" s="14"/>
    </row>
    <row r="162">
      <c r="F162" s="13"/>
      <c r="G162" s="13"/>
      <c r="H162" s="13"/>
      <c r="I162" s="14"/>
    </row>
    <row r="163">
      <c r="F163" s="13"/>
      <c r="G163" s="13"/>
      <c r="H163" s="13"/>
      <c r="I163" s="14"/>
    </row>
    <row r="164">
      <c r="F164" s="13"/>
      <c r="G164" s="13"/>
      <c r="H164" s="13"/>
      <c r="I164" s="14"/>
    </row>
    <row r="165">
      <c r="F165" s="13"/>
      <c r="G165" s="13"/>
      <c r="H165" s="13"/>
      <c r="I165" s="14"/>
    </row>
    <row r="166">
      <c r="F166" s="13"/>
      <c r="G166" s="13"/>
      <c r="H166" s="13"/>
      <c r="I166" s="14"/>
    </row>
    <row r="167">
      <c r="F167" s="13"/>
      <c r="G167" s="13"/>
      <c r="H167" s="13"/>
      <c r="I167" s="14"/>
    </row>
    <row r="168">
      <c r="F168" s="13"/>
      <c r="G168" s="13"/>
      <c r="H168" s="13"/>
      <c r="I168" s="14"/>
    </row>
    <row r="169">
      <c r="F169" s="13"/>
      <c r="G169" s="13"/>
      <c r="H169" s="13"/>
      <c r="I169" s="14"/>
    </row>
    <row r="170">
      <c r="F170" s="13"/>
      <c r="G170" s="13"/>
      <c r="H170" s="13"/>
      <c r="I170" s="14"/>
    </row>
    <row r="171">
      <c r="F171" s="13"/>
      <c r="G171" s="13"/>
      <c r="H171" s="13"/>
      <c r="I171" s="14"/>
    </row>
    <row r="172">
      <c r="F172" s="13"/>
      <c r="G172" s="13"/>
      <c r="H172" s="13"/>
      <c r="I172" s="14"/>
    </row>
    <row r="173">
      <c r="F173" s="13"/>
      <c r="G173" s="13"/>
      <c r="H173" s="13"/>
      <c r="I173" s="14"/>
    </row>
    <row r="174">
      <c r="F174" s="13"/>
      <c r="G174" s="13"/>
      <c r="H174" s="13"/>
      <c r="I174" s="14"/>
    </row>
    <row r="175">
      <c r="F175" s="13"/>
      <c r="G175" s="13"/>
      <c r="H175" s="13"/>
      <c r="I175" s="14"/>
    </row>
    <row r="176">
      <c r="F176" s="13"/>
      <c r="G176" s="13"/>
      <c r="H176" s="13"/>
      <c r="I176" s="14"/>
    </row>
    <row r="177">
      <c r="F177" s="13"/>
      <c r="G177" s="13"/>
      <c r="H177" s="13"/>
      <c r="I177" s="14"/>
    </row>
    <row r="178">
      <c r="F178" s="13"/>
      <c r="G178" s="13"/>
      <c r="H178" s="13"/>
      <c r="I178" s="14"/>
    </row>
    <row r="179">
      <c r="F179" s="13"/>
      <c r="G179" s="13"/>
      <c r="H179" s="13"/>
      <c r="I179" s="14"/>
    </row>
    <row r="180">
      <c r="F180" s="13"/>
      <c r="G180" s="13"/>
      <c r="H180" s="13"/>
      <c r="I180" s="14"/>
    </row>
    <row r="181">
      <c r="F181" s="13"/>
      <c r="G181" s="13"/>
      <c r="H181" s="13"/>
      <c r="I181" s="14"/>
    </row>
    <row r="182">
      <c r="F182" s="13"/>
      <c r="G182" s="13"/>
      <c r="H182" s="13"/>
      <c r="I182" s="14"/>
    </row>
    <row r="183">
      <c r="F183" s="13"/>
      <c r="G183" s="13"/>
      <c r="H183" s="13"/>
      <c r="I183" s="14"/>
    </row>
    <row r="184">
      <c r="F184" s="13"/>
      <c r="G184" s="13"/>
      <c r="H184" s="13"/>
      <c r="I184" s="14"/>
    </row>
    <row r="185">
      <c r="F185" s="13"/>
      <c r="G185" s="13"/>
      <c r="H185" s="13"/>
      <c r="I185" s="14"/>
    </row>
    <row r="186">
      <c r="F186" s="13"/>
      <c r="G186" s="13"/>
      <c r="H186" s="13"/>
      <c r="I186" s="14"/>
    </row>
    <row r="187">
      <c r="F187" s="13"/>
      <c r="G187" s="13"/>
      <c r="H187" s="13"/>
      <c r="I187" s="14"/>
    </row>
    <row r="188">
      <c r="F188" s="13"/>
      <c r="G188" s="13"/>
      <c r="H188" s="13"/>
      <c r="I188" s="14"/>
    </row>
    <row r="189">
      <c r="F189" s="13"/>
      <c r="G189" s="13"/>
      <c r="H189" s="13"/>
      <c r="I189" s="14"/>
    </row>
    <row r="190">
      <c r="F190" s="13"/>
      <c r="G190" s="13"/>
      <c r="H190" s="13"/>
      <c r="I190" s="14"/>
    </row>
    <row r="191">
      <c r="F191" s="13"/>
      <c r="G191" s="13"/>
      <c r="H191" s="13"/>
      <c r="I191" s="14"/>
    </row>
    <row r="192">
      <c r="F192" s="13"/>
      <c r="G192" s="13"/>
      <c r="H192" s="13"/>
      <c r="I192" s="14"/>
    </row>
    <row r="193">
      <c r="F193" s="13"/>
      <c r="G193" s="13"/>
      <c r="H193" s="13"/>
      <c r="I193" s="14"/>
    </row>
    <row r="194">
      <c r="F194" s="13"/>
      <c r="G194" s="13"/>
      <c r="H194" s="13"/>
      <c r="I194" s="14"/>
    </row>
    <row r="195">
      <c r="F195" s="13"/>
      <c r="G195" s="13"/>
      <c r="H195" s="13"/>
      <c r="I195" s="14"/>
    </row>
    <row r="196">
      <c r="F196" s="13"/>
      <c r="G196" s="13"/>
      <c r="H196" s="13"/>
      <c r="I196" s="14"/>
    </row>
    <row r="197">
      <c r="F197" s="13"/>
      <c r="G197" s="13"/>
      <c r="H197" s="13"/>
      <c r="I197" s="14"/>
    </row>
    <row r="198">
      <c r="F198" s="13"/>
      <c r="G198" s="13"/>
      <c r="H198" s="13"/>
      <c r="I198" s="14"/>
    </row>
    <row r="199">
      <c r="F199" s="13"/>
      <c r="G199" s="13"/>
      <c r="H199" s="13"/>
      <c r="I199" s="14"/>
    </row>
    <row r="200">
      <c r="F200" s="13"/>
      <c r="G200" s="13"/>
      <c r="H200" s="13"/>
      <c r="I200" s="14"/>
    </row>
    <row r="201">
      <c r="F201" s="13"/>
      <c r="G201" s="13"/>
      <c r="H201" s="13"/>
      <c r="I201" s="14"/>
    </row>
    <row r="202">
      <c r="F202" s="13"/>
      <c r="G202" s="13"/>
      <c r="H202" s="13"/>
      <c r="I202" s="14"/>
    </row>
    <row r="203">
      <c r="F203" s="13"/>
      <c r="G203" s="13"/>
      <c r="H203" s="13"/>
      <c r="I203" s="14"/>
    </row>
    <row r="204">
      <c r="F204" s="13"/>
      <c r="G204" s="13"/>
      <c r="H204" s="13"/>
      <c r="I204" s="14"/>
    </row>
    <row r="205">
      <c r="F205" s="13"/>
      <c r="G205" s="13"/>
      <c r="H205" s="13"/>
      <c r="I205" s="14"/>
    </row>
    <row r="206">
      <c r="F206" s="13"/>
      <c r="G206" s="13"/>
      <c r="H206" s="13"/>
      <c r="I206" s="14"/>
    </row>
    <row r="207">
      <c r="F207" s="13"/>
      <c r="G207" s="13"/>
      <c r="H207" s="13"/>
      <c r="I207" s="14"/>
    </row>
    <row r="208">
      <c r="F208" s="13"/>
      <c r="G208" s="13"/>
      <c r="H208" s="13"/>
      <c r="I208" s="14"/>
    </row>
    <row r="209">
      <c r="F209" s="13"/>
      <c r="G209" s="13"/>
      <c r="H209" s="13"/>
      <c r="I209" s="14"/>
    </row>
    <row r="210">
      <c r="F210" s="13"/>
      <c r="G210" s="13"/>
      <c r="H210" s="13"/>
      <c r="I210" s="14"/>
    </row>
    <row r="211">
      <c r="F211" s="13"/>
      <c r="G211" s="13"/>
      <c r="H211" s="13"/>
      <c r="I211" s="14"/>
    </row>
    <row r="212">
      <c r="F212" s="13"/>
      <c r="G212" s="13"/>
      <c r="H212" s="13"/>
      <c r="I212" s="14"/>
    </row>
    <row r="213">
      <c r="F213" s="13"/>
      <c r="G213" s="13"/>
      <c r="H213" s="13"/>
      <c r="I213" s="14"/>
    </row>
    <row r="214">
      <c r="F214" s="13"/>
      <c r="G214" s="13"/>
      <c r="H214" s="13"/>
      <c r="I214" s="14"/>
    </row>
    <row r="215">
      <c r="F215" s="13"/>
      <c r="G215" s="13"/>
      <c r="H215" s="13"/>
      <c r="I215" s="14"/>
    </row>
    <row r="216">
      <c r="F216" s="13"/>
      <c r="G216" s="13"/>
      <c r="H216" s="13"/>
      <c r="I216" s="14"/>
    </row>
    <row r="217">
      <c r="F217" s="13"/>
      <c r="G217" s="13"/>
      <c r="H217" s="13"/>
      <c r="I217" s="14"/>
    </row>
    <row r="218">
      <c r="F218" s="13"/>
      <c r="G218" s="13"/>
      <c r="H218" s="13"/>
      <c r="I218" s="14"/>
    </row>
    <row r="219">
      <c r="F219" s="13"/>
      <c r="G219" s="13"/>
      <c r="H219" s="13"/>
      <c r="I219" s="14"/>
    </row>
    <row r="220">
      <c r="F220" s="13"/>
      <c r="G220" s="13"/>
      <c r="H220" s="13"/>
      <c r="I220" s="14"/>
    </row>
    <row r="221">
      <c r="F221" s="13"/>
      <c r="G221" s="13"/>
      <c r="H221" s="13"/>
      <c r="I221" s="14"/>
    </row>
    <row r="222">
      <c r="F222" s="13"/>
      <c r="G222" s="13"/>
      <c r="H222" s="13"/>
      <c r="I222" s="14"/>
    </row>
    <row r="223">
      <c r="F223" s="13"/>
      <c r="G223" s="13"/>
      <c r="H223" s="13"/>
      <c r="I223" s="14"/>
    </row>
    <row r="224">
      <c r="F224" s="13"/>
      <c r="G224" s="13"/>
      <c r="H224" s="13"/>
      <c r="I224" s="14"/>
    </row>
    <row r="225">
      <c r="F225" s="13"/>
      <c r="G225" s="13"/>
      <c r="H225" s="13"/>
      <c r="I225" s="14"/>
    </row>
    <row r="226">
      <c r="F226" s="13"/>
      <c r="G226" s="13"/>
      <c r="H226" s="13"/>
      <c r="I226" s="14"/>
    </row>
    <row r="227">
      <c r="F227" s="13"/>
      <c r="G227" s="13"/>
      <c r="H227" s="13"/>
      <c r="I227" s="14"/>
    </row>
    <row r="228">
      <c r="F228" s="13"/>
      <c r="G228" s="13"/>
      <c r="H228" s="13"/>
      <c r="I228" s="14"/>
    </row>
    <row r="229">
      <c r="F229" s="13"/>
      <c r="G229" s="13"/>
      <c r="H229" s="13"/>
      <c r="I229" s="14"/>
    </row>
    <row r="230">
      <c r="F230" s="13"/>
      <c r="G230" s="13"/>
      <c r="H230" s="13"/>
      <c r="I230" s="14"/>
    </row>
    <row r="231">
      <c r="F231" s="13"/>
      <c r="G231" s="13"/>
      <c r="H231" s="13"/>
      <c r="I231" s="14"/>
    </row>
    <row r="232">
      <c r="F232" s="13"/>
      <c r="G232" s="13"/>
      <c r="H232" s="13"/>
      <c r="I232" s="14"/>
    </row>
    <row r="233">
      <c r="F233" s="13"/>
      <c r="G233" s="13"/>
      <c r="H233" s="13"/>
      <c r="I233" s="14"/>
    </row>
    <row r="234">
      <c r="F234" s="13"/>
      <c r="G234" s="13"/>
      <c r="H234" s="13"/>
      <c r="I234" s="14"/>
    </row>
    <row r="235">
      <c r="F235" s="13"/>
      <c r="G235" s="13"/>
      <c r="H235" s="13"/>
      <c r="I235" s="14"/>
    </row>
    <row r="236">
      <c r="F236" s="13"/>
      <c r="G236" s="13"/>
      <c r="H236" s="13"/>
      <c r="I236" s="14"/>
    </row>
    <row r="237">
      <c r="F237" s="13"/>
      <c r="G237" s="13"/>
      <c r="H237" s="13"/>
      <c r="I237" s="14"/>
    </row>
    <row r="238">
      <c r="F238" s="13"/>
      <c r="G238" s="13"/>
      <c r="H238" s="13"/>
      <c r="I238" s="14"/>
    </row>
    <row r="239">
      <c r="F239" s="13"/>
      <c r="G239" s="13"/>
      <c r="H239" s="13"/>
      <c r="I239" s="14"/>
    </row>
    <row r="240">
      <c r="F240" s="13"/>
      <c r="G240" s="13"/>
      <c r="H240" s="13"/>
      <c r="I240" s="14"/>
    </row>
    <row r="241">
      <c r="F241" s="13"/>
      <c r="G241" s="13"/>
      <c r="H241" s="13"/>
      <c r="I241" s="14"/>
    </row>
    <row r="242">
      <c r="F242" s="13"/>
      <c r="G242" s="13"/>
      <c r="H242" s="13"/>
      <c r="I242" s="14"/>
    </row>
    <row r="243">
      <c r="F243" s="13"/>
      <c r="G243" s="13"/>
      <c r="H243" s="13"/>
      <c r="I243" s="14"/>
    </row>
    <row r="244">
      <c r="F244" s="13"/>
      <c r="G244" s="13"/>
      <c r="H244" s="13"/>
      <c r="I244" s="14"/>
    </row>
    <row r="245">
      <c r="F245" s="13"/>
      <c r="G245" s="13"/>
      <c r="H245" s="13"/>
      <c r="I245" s="14"/>
    </row>
    <row r="246">
      <c r="F246" s="13"/>
      <c r="G246" s="13"/>
      <c r="H246" s="13"/>
      <c r="I246" s="14"/>
    </row>
    <row r="247">
      <c r="F247" s="13"/>
      <c r="G247" s="13"/>
      <c r="H247" s="13"/>
      <c r="I247" s="14"/>
    </row>
    <row r="248">
      <c r="F248" s="13"/>
      <c r="G248" s="13"/>
      <c r="H248" s="13"/>
      <c r="I248" s="14"/>
    </row>
    <row r="249">
      <c r="F249" s="13"/>
      <c r="G249" s="13"/>
      <c r="H249" s="13"/>
      <c r="I249" s="14"/>
    </row>
    <row r="250">
      <c r="F250" s="13"/>
      <c r="G250" s="13"/>
      <c r="H250" s="13"/>
      <c r="I250" s="14"/>
    </row>
    <row r="251">
      <c r="F251" s="13"/>
      <c r="G251" s="13"/>
      <c r="H251" s="13"/>
      <c r="I251" s="14"/>
    </row>
    <row r="252">
      <c r="F252" s="13"/>
      <c r="G252" s="13"/>
      <c r="H252" s="13"/>
      <c r="I252" s="14"/>
    </row>
    <row r="253">
      <c r="F253" s="13"/>
      <c r="G253" s="13"/>
      <c r="H253" s="13"/>
      <c r="I253" s="14"/>
    </row>
    <row r="254">
      <c r="F254" s="13"/>
      <c r="G254" s="13"/>
      <c r="H254" s="13"/>
      <c r="I254" s="14"/>
    </row>
    <row r="255">
      <c r="F255" s="13"/>
      <c r="G255" s="13"/>
      <c r="H255" s="13"/>
      <c r="I255" s="14"/>
    </row>
    <row r="256">
      <c r="F256" s="13"/>
      <c r="G256" s="13"/>
      <c r="H256" s="13"/>
      <c r="I256" s="14"/>
    </row>
    <row r="257">
      <c r="F257" s="13"/>
      <c r="G257" s="13"/>
      <c r="H257" s="13"/>
      <c r="I257" s="14"/>
    </row>
    <row r="258">
      <c r="F258" s="13"/>
      <c r="G258" s="13"/>
      <c r="H258" s="13"/>
      <c r="I258" s="14"/>
    </row>
    <row r="259">
      <c r="F259" s="13"/>
      <c r="G259" s="13"/>
      <c r="H259" s="13"/>
      <c r="I259" s="14"/>
    </row>
    <row r="260">
      <c r="F260" s="13"/>
      <c r="G260" s="13"/>
      <c r="H260" s="13"/>
      <c r="I260" s="14"/>
    </row>
    <row r="261">
      <c r="F261" s="13"/>
      <c r="G261" s="13"/>
      <c r="H261" s="13"/>
      <c r="I261" s="14"/>
    </row>
    <row r="262">
      <c r="F262" s="13"/>
      <c r="G262" s="13"/>
      <c r="H262" s="13"/>
      <c r="I262" s="14"/>
    </row>
    <row r="263">
      <c r="F263" s="13"/>
      <c r="G263" s="13"/>
      <c r="H263" s="13"/>
      <c r="I263" s="14"/>
    </row>
    <row r="264">
      <c r="F264" s="13"/>
      <c r="G264" s="13"/>
      <c r="H264" s="13"/>
      <c r="I264" s="14"/>
    </row>
    <row r="265">
      <c r="F265" s="13"/>
      <c r="G265" s="13"/>
      <c r="H265" s="13"/>
      <c r="I265" s="14"/>
    </row>
    <row r="266">
      <c r="F266" s="13"/>
      <c r="G266" s="13"/>
      <c r="H266" s="13"/>
      <c r="I266" s="14"/>
    </row>
    <row r="267">
      <c r="F267" s="13"/>
      <c r="G267" s="13"/>
      <c r="H267" s="13"/>
      <c r="I267" s="14"/>
    </row>
    <row r="268">
      <c r="F268" s="13"/>
      <c r="G268" s="13"/>
      <c r="H268" s="13"/>
      <c r="I268" s="14"/>
    </row>
    <row r="269">
      <c r="F269" s="13"/>
      <c r="G269" s="13"/>
      <c r="H269" s="13"/>
      <c r="I269" s="14"/>
    </row>
    <row r="270">
      <c r="F270" s="13"/>
      <c r="G270" s="13"/>
      <c r="H270" s="13"/>
      <c r="I270" s="14"/>
    </row>
    <row r="271">
      <c r="F271" s="13"/>
      <c r="G271" s="13"/>
      <c r="H271" s="13"/>
      <c r="I271" s="14"/>
    </row>
    <row r="272">
      <c r="F272" s="13"/>
      <c r="G272" s="13"/>
      <c r="H272" s="13"/>
      <c r="I272" s="14"/>
    </row>
    <row r="273">
      <c r="F273" s="13"/>
      <c r="G273" s="13"/>
      <c r="H273" s="13"/>
      <c r="I273" s="14"/>
    </row>
    <row r="274">
      <c r="F274" s="13"/>
      <c r="G274" s="13"/>
      <c r="H274" s="13"/>
      <c r="I274" s="14"/>
    </row>
    <row r="275">
      <c r="F275" s="13"/>
      <c r="G275" s="13"/>
      <c r="H275" s="13"/>
      <c r="I275" s="14"/>
    </row>
    <row r="276">
      <c r="F276" s="13"/>
      <c r="G276" s="13"/>
      <c r="H276" s="13"/>
      <c r="I276" s="14"/>
    </row>
    <row r="277">
      <c r="F277" s="13"/>
      <c r="G277" s="13"/>
      <c r="H277" s="13"/>
      <c r="I277" s="14"/>
    </row>
    <row r="278">
      <c r="F278" s="13"/>
      <c r="G278" s="13"/>
      <c r="H278" s="13"/>
      <c r="I278" s="14"/>
    </row>
    <row r="279">
      <c r="F279" s="13"/>
      <c r="G279" s="13"/>
      <c r="H279" s="13"/>
      <c r="I279" s="14"/>
    </row>
    <row r="280">
      <c r="F280" s="13"/>
      <c r="G280" s="13"/>
      <c r="H280" s="13"/>
      <c r="I280" s="14"/>
    </row>
    <row r="281">
      <c r="F281" s="13"/>
      <c r="G281" s="13"/>
      <c r="H281" s="13"/>
      <c r="I281" s="14"/>
    </row>
    <row r="282">
      <c r="F282" s="13"/>
      <c r="G282" s="13"/>
      <c r="H282" s="13"/>
      <c r="I282" s="14"/>
    </row>
    <row r="283">
      <c r="F283" s="13"/>
      <c r="G283" s="13"/>
      <c r="H283" s="13"/>
      <c r="I283" s="14"/>
    </row>
    <row r="284">
      <c r="F284" s="13"/>
      <c r="G284" s="13"/>
      <c r="H284" s="13"/>
      <c r="I284" s="14"/>
    </row>
    <row r="285">
      <c r="F285" s="13"/>
      <c r="G285" s="13"/>
      <c r="H285" s="13"/>
      <c r="I285" s="14"/>
    </row>
    <row r="286">
      <c r="F286" s="13"/>
      <c r="G286" s="13"/>
      <c r="H286" s="13"/>
      <c r="I286" s="14"/>
    </row>
    <row r="287">
      <c r="F287" s="13"/>
      <c r="G287" s="13"/>
      <c r="H287" s="13"/>
      <c r="I287" s="14"/>
    </row>
    <row r="288">
      <c r="F288" s="13"/>
      <c r="G288" s="13"/>
      <c r="H288" s="13"/>
      <c r="I288" s="14"/>
    </row>
    <row r="289">
      <c r="F289" s="13"/>
      <c r="G289" s="13"/>
      <c r="H289" s="13"/>
      <c r="I289" s="14"/>
    </row>
    <row r="290">
      <c r="F290" s="13"/>
      <c r="G290" s="13"/>
      <c r="H290" s="13"/>
      <c r="I290" s="14"/>
    </row>
    <row r="291">
      <c r="F291" s="13"/>
      <c r="G291" s="13"/>
      <c r="H291" s="13"/>
      <c r="I291" s="14"/>
    </row>
    <row r="292">
      <c r="F292" s="13"/>
      <c r="G292" s="13"/>
      <c r="H292" s="13"/>
      <c r="I292" s="14"/>
    </row>
    <row r="293">
      <c r="F293" s="13"/>
      <c r="G293" s="13"/>
      <c r="H293" s="13"/>
      <c r="I293" s="14"/>
    </row>
    <row r="294">
      <c r="F294" s="13"/>
      <c r="G294" s="13"/>
      <c r="H294" s="13"/>
      <c r="I294" s="14"/>
    </row>
    <row r="295">
      <c r="F295" s="13"/>
      <c r="G295" s="13"/>
      <c r="H295" s="13"/>
      <c r="I295" s="14"/>
    </row>
    <row r="296">
      <c r="F296" s="13"/>
      <c r="G296" s="13"/>
      <c r="H296" s="13"/>
      <c r="I296" s="14"/>
    </row>
    <row r="297">
      <c r="F297" s="13"/>
      <c r="G297" s="13"/>
      <c r="H297" s="13"/>
      <c r="I297" s="14"/>
    </row>
    <row r="298">
      <c r="F298" s="13"/>
      <c r="G298" s="13"/>
      <c r="H298" s="13"/>
      <c r="I298" s="14"/>
    </row>
    <row r="299">
      <c r="F299" s="13"/>
      <c r="G299" s="13"/>
      <c r="H299" s="13"/>
      <c r="I299" s="14"/>
    </row>
    <row r="300">
      <c r="F300" s="13"/>
      <c r="G300" s="13"/>
      <c r="H300" s="13"/>
      <c r="I300" s="14"/>
    </row>
    <row r="301">
      <c r="F301" s="13"/>
      <c r="G301" s="13"/>
      <c r="H301" s="13"/>
      <c r="I301" s="14"/>
    </row>
    <row r="302">
      <c r="F302" s="13"/>
      <c r="G302" s="13"/>
      <c r="H302" s="13"/>
      <c r="I302" s="14"/>
    </row>
    <row r="303">
      <c r="F303" s="13"/>
      <c r="G303" s="13"/>
      <c r="H303" s="13"/>
      <c r="I303" s="14"/>
    </row>
    <row r="304">
      <c r="F304" s="13"/>
      <c r="G304" s="13"/>
      <c r="H304" s="13"/>
      <c r="I304" s="14"/>
    </row>
    <row r="305">
      <c r="F305" s="13"/>
      <c r="G305" s="13"/>
      <c r="H305" s="13"/>
      <c r="I305" s="14"/>
    </row>
    <row r="306">
      <c r="F306" s="13"/>
      <c r="G306" s="13"/>
      <c r="H306" s="13"/>
      <c r="I306" s="14"/>
    </row>
    <row r="307">
      <c r="F307" s="13"/>
      <c r="G307" s="13"/>
      <c r="H307" s="13"/>
      <c r="I307" s="14"/>
    </row>
    <row r="308">
      <c r="F308" s="13"/>
      <c r="G308" s="13"/>
      <c r="H308" s="13"/>
      <c r="I308" s="14"/>
    </row>
    <row r="309">
      <c r="F309" s="13"/>
      <c r="G309" s="13"/>
      <c r="H309" s="13"/>
      <c r="I309" s="14"/>
    </row>
    <row r="310">
      <c r="F310" s="13"/>
      <c r="G310" s="13"/>
      <c r="H310" s="13"/>
      <c r="I310" s="14"/>
    </row>
    <row r="311">
      <c r="F311" s="13"/>
      <c r="G311" s="13"/>
      <c r="H311" s="13"/>
      <c r="I311" s="14"/>
    </row>
    <row r="312">
      <c r="F312" s="13"/>
      <c r="G312" s="13"/>
      <c r="H312" s="13"/>
      <c r="I312" s="14"/>
    </row>
    <row r="313">
      <c r="F313" s="13"/>
      <c r="G313" s="13"/>
      <c r="H313" s="13"/>
      <c r="I313" s="14"/>
    </row>
    <row r="314">
      <c r="F314" s="13"/>
      <c r="G314" s="13"/>
      <c r="H314" s="13"/>
      <c r="I314" s="14"/>
    </row>
    <row r="315">
      <c r="F315" s="13"/>
      <c r="G315" s="13"/>
      <c r="H315" s="13"/>
      <c r="I315" s="14"/>
    </row>
    <row r="316">
      <c r="F316" s="13"/>
      <c r="G316" s="13"/>
      <c r="H316" s="13"/>
      <c r="I316" s="14"/>
    </row>
    <row r="317">
      <c r="F317" s="13"/>
      <c r="G317" s="13"/>
      <c r="H317" s="13"/>
      <c r="I317" s="14"/>
    </row>
    <row r="318">
      <c r="F318" s="13"/>
      <c r="G318" s="13"/>
      <c r="H318" s="13"/>
      <c r="I318" s="14"/>
    </row>
    <row r="319">
      <c r="F319" s="13"/>
      <c r="G319" s="13"/>
      <c r="H319" s="13"/>
      <c r="I319" s="14"/>
    </row>
    <row r="320">
      <c r="F320" s="13"/>
      <c r="G320" s="13"/>
      <c r="H320" s="13"/>
      <c r="I320" s="14"/>
    </row>
    <row r="321">
      <c r="F321" s="13"/>
      <c r="G321" s="13"/>
      <c r="H321" s="13"/>
      <c r="I321" s="14"/>
    </row>
    <row r="322">
      <c r="F322" s="13"/>
      <c r="G322" s="13"/>
      <c r="H322" s="13"/>
      <c r="I322" s="14"/>
    </row>
    <row r="323">
      <c r="F323" s="13"/>
      <c r="G323" s="13"/>
      <c r="H323" s="13"/>
      <c r="I323" s="14"/>
    </row>
    <row r="324">
      <c r="F324" s="13"/>
      <c r="G324" s="13"/>
      <c r="H324" s="13"/>
      <c r="I324" s="14"/>
    </row>
    <row r="325">
      <c r="F325" s="13"/>
      <c r="G325" s="13"/>
      <c r="H325" s="13"/>
      <c r="I325" s="14"/>
    </row>
    <row r="326">
      <c r="F326" s="13"/>
      <c r="G326" s="13"/>
      <c r="H326" s="13"/>
      <c r="I326" s="14"/>
    </row>
    <row r="327">
      <c r="F327" s="13"/>
      <c r="G327" s="13"/>
      <c r="H327" s="13"/>
      <c r="I327" s="14"/>
    </row>
    <row r="328">
      <c r="F328" s="13"/>
      <c r="G328" s="13"/>
      <c r="H328" s="13"/>
      <c r="I328" s="14"/>
    </row>
    <row r="329">
      <c r="F329" s="13"/>
      <c r="G329" s="13"/>
      <c r="H329" s="13"/>
      <c r="I329" s="14"/>
    </row>
    <row r="330">
      <c r="F330" s="13"/>
      <c r="G330" s="13"/>
      <c r="H330" s="13"/>
      <c r="I330" s="14"/>
    </row>
    <row r="331">
      <c r="F331" s="13"/>
      <c r="G331" s="13"/>
      <c r="H331" s="13"/>
      <c r="I331" s="14"/>
    </row>
    <row r="332">
      <c r="F332" s="13"/>
      <c r="G332" s="13"/>
      <c r="H332" s="13"/>
      <c r="I332" s="14"/>
    </row>
    <row r="333">
      <c r="F333" s="13"/>
      <c r="G333" s="13"/>
      <c r="H333" s="13"/>
      <c r="I333" s="14"/>
    </row>
    <row r="334">
      <c r="F334" s="13"/>
      <c r="G334" s="13"/>
      <c r="H334" s="13"/>
      <c r="I334" s="14"/>
    </row>
    <row r="335">
      <c r="F335" s="13"/>
      <c r="G335" s="13"/>
      <c r="H335" s="13"/>
      <c r="I335" s="14"/>
    </row>
    <row r="336">
      <c r="F336" s="13"/>
      <c r="G336" s="13"/>
      <c r="H336" s="13"/>
      <c r="I336" s="14"/>
    </row>
    <row r="337">
      <c r="F337" s="13"/>
      <c r="G337" s="13"/>
      <c r="H337" s="13"/>
      <c r="I337" s="14"/>
    </row>
    <row r="338">
      <c r="F338" s="13"/>
      <c r="G338" s="13"/>
      <c r="H338" s="13"/>
      <c r="I338" s="14"/>
    </row>
    <row r="339">
      <c r="F339" s="13"/>
      <c r="G339" s="13"/>
      <c r="H339" s="13"/>
      <c r="I339" s="14"/>
    </row>
    <row r="340">
      <c r="F340" s="13"/>
      <c r="G340" s="13"/>
      <c r="H340" s="13"/>
      <c r="I340" s="14"/>
    </row>
    <row r="341">
      <c r="F341" s="13"/>
      <c r="G341" s="13"/>
      <c r="H341" s="13"/>
      <c r="I341" s="14"/>
    </row>
    <row r="342">
      <c r="F342" s="13"/>
      <c r="G342" s="13"/>
      <c r="H342" s="13"/>
      <c r="I342" s="14"/>
    </row>
    <row r="343">
      <c r="F343" s="13"/>
      <c r="G343" s="13"/>
      <c r="H343" s="13"/>
      <c r="I343" s="14"/>
    </row>
    <row r="344">
      <c r="F344" s="13"/>
      <c r="G344" s="13"/>
      <c r="H344" s="13"/>
      <c r="I344" s="14"/>
    </row>
    <row r="345">
      <c r="F345" s="13"/>
      <c r="G345" s="13"/>
      <c r="H345" s="13"/>
      <c r="I345" s="14"/>
    </row>
    <row r="346">
      <c r="F346" s="13"/>
      <c r="G346" s="13"/>
      <c r="H346" s="13"/>
      <c r="I346" s="14"/>
    </row>
    <row r="347">
      <c r="F347" s="13"/>
      <c r="G347" s="13"/>
      <c r="H347" s="13"/>
      <c r="I347" s="14"/>
    </row>
    <row r="348">
      <c r="F348" s="13"/>
      <c r="G348" s="13"/>
      <c r="H348" s="13"/>
      <c r="I348" s="14"/>
    </row>
    <row r="349">
      <c r="F349" s="13"/>
      <c r="G349" s="13"/>
      <c r="H349" s="13"/>
      <c r="I349" s="14"/>
    </row>
    <row r="350">
      <c r="F350" s="13"/>
      <c r="G350" s="13"/>
      <c r="H350" s="13"/>
      <c r="I350" s="14"/>
    </row>
    <row r="351">
      <c r="F351" s="13"/>
      <c r="G351" s="13"/>
      <c r="H351" s="13"/>
      <c r="I351" s="14"/>
    </row>
    <row r="352">
      <c r="F352" s="13"/>
      <c r="G352" s="13"/>
      <c r="H352" s="13"/>
      <c r="I352" s="14"/>
    </row>
    <row r="353">
      <c r="F353" s="13"/>
      <c r="G353" s="13"/>
      <c r="H353" s="13"/>
      <c r="I353" s="14"/>
    </row>
    <row r="354">
      <c r="F354" s="13"/>
      <c r="G354" s="13"/>
      <c r="H354" s="13"/>
      <c r="I354" s="14"/>
    </row>
    <row r="355">
      <c r="F355" s="13"/>
      <c r="G355" s="13"/>
      <c r="H355" s="13"/>
      <c r="I355" s="14"/>
    </row>
    <row r="356">
      <c r="F356" s="13"/>
      <c r="G356" s="13"/>
      <c r="H356" s="13"/>
      <c r="I356" s="14"/>
    </row>
    <row r="357">
      <c r="F357" s="13"/>
      <c r="G357" s="13"/>
      <c r="H357" s="13"/>
      <c r="I357" s="14"/>
    </row>
    <row r="358">
      <c r="F358" s="13"/>
      <c r="G358" s="13"/>
      <c r="H358" s="13"/>
      <c r="I358" s="14"/>
    </row>
    <row r="359">
      <c r="F359" s="13"/>
      <c r="G359" s="13"/>
      <c r="H359" s="13"/>
      <c r="I359" s="14"/>
    </row>
    <row r="360">
      <c r="F360" s="13"/>
      <c r="G360" s="13"/>
      <c r="H360" s="13"/>
      <c r="I360" s="14"/>
    </row>
    <row r="361">
      <c r="F361" s="13"/>
      <c r="G361" s="13"/>
      <c r="H361" s="13"/>
      <c r="I361" s="14"/>
    </row>
    <row r="362">
      <c r="F362" s="13"/>
      <c r="G362" s="13"/>
      <c r="H362" s="13"/>
      <c r="I362" s="14"/>
    </row>
    <row r="363">
      <c r="F363" s="13"/>
      <c r="G363" s="13"/>
      <c r="H363" s="13"/>
      <c r="I363" s="14"/>
    </row>
    <row r="364">
      <c r="F364" s="13"/>
      <c r="G364" s="13"/>
      <c r="H364" s="13"/>
      <c r="I364" s="14"/>
    </row>
    <row r="365">
      <c r="F365" s="13"/>
      <c r="G365" s="13"/>
      <c r="H365" s="13"/>
      <c r="I365" s="14"/>
    </row>
    <row r="366">
      <c r="F366" s="13"/>
      <c r="G366" s="13"/>
      <c r="H366" s="13"/>
      <c r="I366" s="14"/>
    </row>
    <row r="367">
      <c r="F367" s="13"/>
      <c r="G367" s="13"/>
      <c r="H367" s="13"/>
      <c r="I367" s="14"/>
    </row>
    <row r="368">
      <c r="F368" s="13"/>
      <c r="G368" s="13"/>
      <c r="H368" s="13"/>
      <c r="I368" s="14"/>
    </row>
    <row r="369">
      <c r="F369" s="13"/>
      <c r="G369" s="13"/>
      <c r="H369" s="13"/>
      <c r="I369" s="14"/>
    </row>
    <row r="370">
      <c r="F370" s="13"/>
      <c r="G370" s="13"/>
      <c r="H370" s="13"/>
      <c r="I370" s="14"/>
    </row>
    <row r="371">
      <c r="F371" s="13"/>
      <c r="G371" s="13"/>
      <c r="H371" s="13"/>
      <c r="I371" s="14"/>
    </row>
    <row r="372">
      <c r="F372" s="13"/>
      <c r="G372" s="13"/>
      <c r="H372" s="13"/>
      <c r="I372" s="14"/>
    </row>
    <row r="373">
      <c r="F373" s="13"/>
      <c r="G373" s="13"/>
      <c r="H373" s="13"/>
      <c r="I373" s="14"/>
    </row>
    <row r="374">
      <c r="F374" s="13"/>
      <c r="G374" s="13"/>
      <c r="H374" s="13"/>
      <c r="I374" s="14"/>
    </row>
    <row r="375">
      <c r="F375" s="13"/>
      <c r="G375" s="13"/>
      <c r="H375" s="13"/>
      <c r="I375" s="14"/>
    </row>
    <row r="376">
      <c r="F376" s="13"/>
      <c r="G376" s="13"/>
      <c r="H376" s="13"/>
      <c r="I376" s="14"/>
    </row>
    <row r="377">
      <c r="F377" s="13"/>
      <c r="G377" s="13"/>
      <c r="H377" s="13"/>
      <c r="I377" s="14"/>
    </row>
    <row r="378">
      <c r="F378" s="13"/>
      <c r="G378" s="13"/>
      <c r="H378" s="13"/>
      <c r="I378" s="14"/>
    </row>
    <row r="379">
      <c r="F379" s="13"/>
      <c r="G379" s="13"/>
      <c r="H379" s="13"/>
      <c r="I379" s="14"/>
    </row>
    <row r="380">
      <c r="F380" s="13"/>
      <c r="G380" s="13"/>
      <c r="H380" s="13"/>
      <c r="I380" s="14"/>
    </row>
    <row r="381">
      <c r="F381" s="13"/>
      <c r="G381" s="13"/>
      <c r="H381" s="13"/>
      <c r="I381" s="14"/>
    </row>
    <row r="382">
      <c r="F382" s="13"/>
      <c r="G382" s="13"/>
      <c r="H382" s="13"/>
      <c r="I382" s="14"/>
    </row>
    <row r="383">
      <c r="F383" s="13"/>
      <c r="G383" s="13"/>
      <c r="H383" s="13"/>
      <c r="I383" s="14"/>
    </row>
    <row r="384">
      <c r="F384" s="13"/>
      <c r="G384" s="13"/>
      <c r="H384" s="13"/>
      <c r="I384" s="14"/>
    </row>
    <row r="385">
      <c r="F385" s="13"/>
      <c r="G385" s="13"/>
      <c r="H385" s="13"/>
      <c r="I385" s="14"/>
    </row>
    <row r="386">
      <c r="F386" s="13"/>
      <c r="G386" s="13"/>
      <c r="H386" s="13"/>
      <c r="I386" s="14"/>
    </row>
    <row r="387">
      <c r="F387" s="13"/>
      <c r="G387" s="13"/>
      <c r="H387" s="13"/>
      <c r="I387" s="14"/>
    </row>
    <row r="388">
      <c r="F388" s="13"/>
      <c r="G388" s="13"/>
      <c r="H388" s="13"/>
      <c r="I388" s="14"/>
    </row>
    <row r="389">
      <c r="F389" s="13"/>
      <c r="G389" s="13"/>
      <c r="H389" s="13"/>
      <c r="I389" s="14"/>
    </row>
    <row r="390">
      <c r="F390" s="13"/>
      <c r="G390" s="13"/>
      <c r="H390" s="13"/>
      <c r="I390" s="14"/>
    </row>
    <row r="391">
      <c r="F391" s="13"/>
      <c r="G391" s="13"/>
      <c r="H391" s="13"/>
      <c r="I391" s="14"/>
    </row>
    <row r="392">
      <c r="F392" s="13"/>
      <c r="G392" s="13"/>
      <c r="H392" s="13"/>
      <c r="I392" s="14"/>
    </row>
    <row r="393">
      <c r="F393" s="13"/>
      <c r="G393" s="13"/>
      <c r="H393" s="13"/>
      <c r="I393" s="14"/>
    </row>
    <row r="394">
      <c r="F394" s="13"/>
      <c r="G394" s="13"/>
      <c r="H394" s="13"/>
      <c r="I394" s="14"/>
    </row>
    <row r="395">
      <c r="F395" s="13"/>
      <c r="G395" s="13"/>
      <c r="H395" s="13"/>
      <c r="I395" s="14"/>
    </row>
    <row r="396">
      <c r="F396" s="13"/>
      <c r="G396" s="13"/>
      <c r="H396" s="13"/>
      <c r="I396" s="14"/>
    </row>
    <row r="397">
      <c r="F397" s="13"/>
      <c r="G397" s="13"/>
      <c r="H397" s="13"/>
      <c r="I397" s="14"/>
    </row>
    <row r="398">
      <c r="F398" s="13"/>
      <c r="G398" s="13"/>
      <c r="H398" s="13"/>
      <c r="I398" s="14"/>
    </row>
    <row r="399">
      <c r="F399" s="13"/>
      <c r="G399" s="13"/>
      <c r="H399" s="13"/>
      <c r="I399" s="14"/>
    </row>
    <row r="400">
      <c r="F400" s="13"/>
      <c r="G400" s="13"/>
      <c r="H400" s="13"/>
      <c r="I400" s="14"/>
    </row>
    <row r="401">
      <c r="F401" s="13"/>
      <c r="G401" s="13"/>
      <c r="H401" s="13"/>
      <c r="I401" s="14"/>
    </row>
    <row r="402">
      <c r="F402" s="13"/>
      <c r="G402" s="13"/>
      <c r="H402" s="13"/>
      <c r="I402" s="14"/>
    </row>
    <row r="403">
      <c r="F403" s="13"/>
      <c r="G403" s="13"/>
      <c r="H403" s="13"/>
      <c r="I403" s="14"/>
    </row>
    <row r="404">
      <c r="F404" s="13"/>
      <c r="G404" s="13"/>
      <c r="H404" s="13"/>
      <c r="I404" s="14"/>
    </row>
    <row r="405">
      <c r="F405" s="13"/>
      <c r="G405" s="13"/>
      <c r="H405" s="13"/>
      <c r="I405" s="14"/>
    </row>
    <row r="406">
      <c r="F406" s="13"/>
      <c r="G406" s="13"/>
      <c r="H406" s="13"/>
      <c r="I406" s="14"/>
    </row>
    <row r="407">
      <c r="F407" s="13"/>
      <c r="G407" s="13"/>
      <c r="H407" s="13"/>
      <c r="I407" s="14"/>
    </row>
    <row r="408">
      <c r="F408" s="13"/>
      <c r="G408" s="13"/>
      <c r="H408" s="13"/>
      <c r="I408" s="14"/>
    </row>
    <row r="409">
      <c r="F409" s="13"/>
      <c r="G409" s="13"/>
      <c r="H409" s="13"/>
      <c r="I409" s="14"/>
    </row>
    <row r="410">
      <c r="F410" s="13"/>
      <c r="G410" s="13"/>
      <c r="H410" s="13"/>
      <c r="I410" s="14"/>
    </row>
    <row r="411">
      <c r="F411" s="13"/>
      <c r="G411" s="13"/>
      <c r="H411" s="13"/>
      <c r="I411" s="14"/>
    </row>
    <row r="412">
      <c r="F412" s="13"/>
      <c r="G412" s="13"/>
      <c r="H412" s="13"/>
      <c r="I412" s="14"/>
    </row>
    <row r="413">
      <c r="F413" s="13"/>
      <c r="G413" s="13"/>
      <c r="H413" s="13"/>
      <c r="I413" s="14"/>
    </row>
    <row r="414">
      <c r="F414" s="13"/>
      <c r="G414" s="13"/>
      <c r="H414" s="13"/>
      <c r="I414" s="14"/>
    </row>
    <row r="415">
      <c r="F415" s="13"/>
      <c r="G415" s="13"/>
      <c r="H415" s="13"/>
      <c r="I415" s="14"/>
    </row>
    <row r="416">
      <c r="F416" s="13"/>
      <c r="G416" s="13"/>
      <c r="H416" s="13"/>
      <c r="I416" s="14"/>
    </row>
    <row r="417">
      <c r="F417" s="13"/>
      <c r="G417" s="13"/>
      <c r="H417" s="13"/>
      <c r="I417" s="14"/>
    </row>
    <row r="418">
      <c r="F418" s="13"/>
      <c r="G418" s="13"/>
      <c r="H418" s="13"/>
      <c r="I418" s="14"/>
    </row>
    <row r="419">
      <c r="F419" s="13"/>
      <c r="G419" s="13"/>
      <c r="H419" s="13"/>
      <c r="I419" s="14"/>
    </row>
    <row r="420">
      <c r="F420" s="13"/>
      <c r="G420" s="13"/>
      <c r="H420" s="13"/>
      <c r="I420" s="14"/>
    </row>
    <row r="421">
      <c r="F421" s="13"/>
      <c r="G421" s="13"/>
      <c r="H421" s="13"/>
      <c r="I421" s="14"/>
    </row>
    <row r="422">
      <c r="F422" s="13"/>
      <c r="G422" s="13"/>
      <c r="H422" s="13"/>
      <c r="I422" s="14"/>
    </row>
    <row r="423">
      <c r="F423" s="13"/>
      <c r="G423" s="13"/>
      <c r="H423" s="13"/>
      <c r="I423" s="14"/>
    </row>
    <row r="424">
      <c r="F424" s="13"/>
      <c r="G424" s="13"/>
      <c r="H424" s="13"/>
      <c r="I424" s="14"/>
    </row>
    <row r="425">
      <c r="F425" s="13"/>
      <c r="G425" s="13"/>
      <c r="H425" s="13"/>
      <c r="I425" s="14"/>
    </row>
    <row r="426">
      <c r="F426" s="13"/>
      <c r="G426" s="13"/>
      <c r="H426" s="13"/>
      <c r="I426" s="14"/>
    </row>
    <row r="427">
      <c r="F427" s="13"/>
      <c r="G427" s="13"/>
      <c r="H427" s="13"/>
      <c r="I427" s="14"/>
    </row>
    <row r="428">
      <c r="F428" s="13"/>
      <c r="G428" s="13"/>
      <c r="H428" s="13"/>
      <c r="I428" s="14"/>
    </row>
    <row r="429">
      <c r="F429" s="13"/>
      <c r="G429" s="13"/>
      <c r="H429" s="13"/>
      <c r="I429" s="14"/>
    </row>
    <row r="430">
      <c r="F430" s="13"/>
      <c r="G430" s="13"/>
      <c r="H430" s="13"/>
      <c r="I430" s="14"/>
    </row>
    <row r="431">
      <c r="F431" s="13"/>
      <c r="G431" s="13"/>
      <c r="H431" s="13"/>
      <c r="I431" s="14"/>
    </row>
    <row r="432">
      <c r="F432" s="13"/>
      <c r="G432" s="13"/>
      <c r="H432" s="13"/>
      <c r="I432" s="14"/>
    </row>
    <row r="433">
      <c r="F433" s="13"/>
      <c r="G433" s="13"/>
      <c r="H433" s="13"/>
      <c r="I433" s="14"/>
    </row>
    <row r="434">
      <c r="F434" s="13"/>
      <c r="G434" s="13"/>
      <c r="H434" s="13"/>
      <c r="I434" s="14"/>
    </row>
    <row r="435">
      <c r="F435" s="13"/>
      <c r="G435" s="13"/>
      <c r="H435" s="13"/>
      <c r="I435" s="14"/>
    </row>
    <row r="436">
      <c r="F436" s="13"/>
      <c r="G436" s="13"/>
      <c r="H436" s="13"/>
      <c r="I436" s="14"/>
    </row>
    <row r="437">
      <c r="F437" s="13"/>
      <c r="G437" s="13"/>
      <c r="H437" s="13"/>
      <c r="I437" s="14"/>
    </row>
    <row r="438">
      <c r="F438" s="13"/>
      <c r="G438" s="13"/>
      <c r="H438" s="13"/>
      <c r="I438" s="14"/>
    </row>
    <row r="439">
      <c r="F439" s="13"/>
      <c r="G439" s="13"/>
      <c r="H439" s="13"/>
      <c r="I439" s="14"/>
    </row>
    <row r="440">
      <c r="F440" s="13"/>
      <c r="G440" s="13"/>
      <c r="H440" s="13"/>
      <c r="I440" s="14"/>
    </row>
    <row r="441">
      <c r="F441" s="13"/>
      <c r="G441" s="13"/>
      <c r="H441" s="13"/>
      <c r="I441" s="14"/>
    </row>
    <row r="442">
      <c r="F442" s="13"/>
      <c r="G442" s="13"/>
      <c r="H442" s="13"/>
      <c r="I442" s="14"/>
    </row>
    <row r="443">
      <c r="F443" s="13"/>
      <c r="G443" s="13"/>
      <c r="H443" s="13"/>
      <c r="I443" s="14"/>
    </row>
    <row r="444">
      <c r="F444" s="13"/>
      <c r="G444" s="13"/>
      <c r="H444" s="13"/>
      <c r="I444" s="14"/>
    </row>
    <row r="445">
      <c r="F445" s="13"/>
      <c r="G445" s="13"/>
      <c r="H445" s="13"/>
      <c r="I445" s="14"/>
    </row>
    <row r="446">
      <c r="F446" s="13"/>
      <c r="G446" s="13"/>
      <c r="H446" s="13"/>
      <c r="I446" s="14"/>
    </row>
    <row r="447">
      <c r="F447" s="13"/>
      <c r="G447" s="13"/>
      <c r="H447" s="13"/>
      <c r="I447" s="14"/>
    </row>
    <row r="448">
      <c r="F448" s="13"/>
      <c r="G448" s="13"/>
      <c r="H448" s="13"/>
      <c r="I448" s="14"/>
    </row>
    <row r="449">
      <c r="F449" s="13"/>
      <c r="G449" s="13"/>
      <c r="H449" s="13"/>
      <c r="I449" s="14"/>
    </row>
    <row r="450">
      <c r="F450" s="13"/>
      <c r="G450" s="13"/>
      <c r="H450" s="13"/>
      <c r="I450" s="14"/>
    </row>
    <row r="451">
      <c r="F451" s="13"/>
      <c r="G451" s="13"/>
      <c r="H451" s="13"/>
      <c r="I451" s="14"/>
    </row>
    <row r="452">
      <c r="F452" s="13"/>
      <c r="G452" s="13"/>
      <c r="H452" s="13"/>
      <c r="I452" s="14"/>
    </row>
    <row r="453">
      <c r="F453" s="13"/>
      <c r="G453" s="13"/>
      <c r="H453" s="13"/>
      <c r="I453" s="14"/>
    </row>
    <row r="454">
      <c r="F454" s="13"/>
      <c r="G454" s="13"/>
      <c r="H454" s="13"/>
      <c r="I454" s="14"/>
    </row>
    <row r="455">
      <c r="F455" s="13"/>
      <c r="G455" s="13"/>
      <c r="H455" s="13"/>
      <c r="I455" s="14"/>
    </row>
    <row r="456">
      <c r="F456" s="13"/>
      <c r="G456" s="13"/>
      <c r="H456" s="13"/>
      <c r="I456" s="14"/>
    </row>
    <row r="457">
      <c r="F457" s="13"/>
      <c r="G457" s="13"/>
      <c r="H457" s="13"/>
      <c r="I457" s="14"/>
    </row>
    <row r="458">
      <c r="F458" s="13"/>
      <c r="G458" s="13"/>
      <c r="H458" s="13"/>
      <c r="I458" s="14"/>
    </row>
    <row r="459">
      <c r="F459" s="13"/>
      <c r="G459" s="13"/>
      <c r="H459" s="13"/>
      <c r="I459" s="14"/>
    </row>
    <row r="460">
      <c r="F460" s="13"/>
      <c r="G460" s="13"/>
      <c r="H460" s="13"/>
      <c r="I460" s="14"/>
    </row>
    <row r="461">
      <c r="F461" s="13"/>
      <c r="G461" s="13"/>
      <c r="H461" s="13"/>
      <c r="I461" s="14"/>
    </row>
    <row r="462">
      <c r="F462" s="13"/>
      <c r="G462" s="13"/>
      <c r="H462" s="13"/>
      <c r="I462" s="14"/>
    </row>
    <row r="463">
      <c r="F463" s="13"/>
      <c r="G463" s="13"/>
      <c r="H463" s="13"/>
      <c r="I463" s="14"/>
    </row>
    <row r="464">
      <c r="F464" s="13"/>
      <c r="G464" s="13"/>
      <c r="H464" s="13"/>
      <c r="I464" s="14"/>
    </row>
    <row r="465">
      <c r="F465" s="13"/>
      <c r="G465" s="13"/>
      <c r="H465" s="13"/>
      <c r="I465" s="14"/>
    </row>
    <row r="466">
      <c r="F466" s="13"/>
      <c r="G466" s="13"/>
      <c r="H466" s="13"/>
      <c r="I466" s="14"/>
    </row>
    <row r="467">
      <c r="F467" s="13"/>
      <c r="G467" s="13"/>
      <c r="H467" s="13"/>
      <c r="I467" s="14"/>
    </row>
    <row r="468">
      <c r="F468" s="13"/>
      <c r="G468" s="13"/>
      <c r="H468" s="13"/>
      <c r="I468" s="14"/>
    </row>
    <row r="469">
      <c r="F469" s="13"/>
      <c r="G469" s="13"/>
      <c r="H469" s="13"/>
      <c r="I469" s="14"/>
    </row>
    <row r="470">
      <c r="F470" s="13"/>
      <c r="G470" s="13"/>
      <c r="H470" s="13"/>
      <c r="I470" s="14"/>
    </row>
    <row r="471">
      <c r="F471" s="13"/>
      <c r="G471" s="13"/>
      <c r="H471" s="13"/>
      <c r="I471" s="14"/>
    </row>
    <row r="472">
      <c r="F472" s="13"/>
      <c r="G472" s="13"/>
      <c r="H472" s="13"/>
      <c r="I472" s="14"/>
    </row>
    <row r="473">
      <c r="F473" s="13"/>
      <c r="G473" s="13"/>
      <c r="H473" s="13"/>
      <c r="I473" s="14"/>
    </row>
    <row r="474">
      <c r="F474" s="13"/>
      <c r="G474" s="13"/>
      <c r="H474" s="13"/>
      <c r="I474" s="14"/>
    </row>
    <row r="475">
      <c r="F475" s="13"/>
      <c r="G475" s="13"/>
      <c r="H475" s="13"/>
      <c r="I475" s="14"/>
    </row>
    <row r="476">
      <c r="F476" s="13"/>
      <c r="G476" s="13"/>
      <c r="H476" s="13"/>
      <c r="I476" s="14"/>
    </row>
    <row r="477">
      <c r="F477" s="13"/>
      <c r="G477" s="13"/>
      <c r="H477" s="13"/>
      <c r="I477" s="14"/>
    </row>
    <row r="478">
      <c r="F478" s="13"/>
      <c r="G478" s="13"/>
      <c r="H478" s="13"/>
      <c r="I478" s="14"/>
    </row>
    <row r="479">
      <c r="F479" s="13"/>
      <c r="G479" s="13"/>
      <c r="H479" s="13"/>
      <c r="I479" s="14"/>
    </row>
    <row r="480">
      <c r="F480" s="13"/>
      <c r="G480" s="13"/>
      <c r="H480" s="13"/>
      <c r="I480" s="14"/>
    </row>
    <row r="481">
      <c r="F481" s="13"/>
      <c r="G481" s="13"/>
      <c r="H481" s="13"/>
      <c r="I481" s="14"/>
    </row>
    <row r="482">
      <c r="F482" s="13"/>
      <c r="G482" s="13"/>
      <c r="H482" s="13"/>
      <c r="I482" s="14"/>
    </row>
    <row r="483">
      <c r="F483" s="13"/>
      <c r="G483" s="13"/>
      <c r="H483" s="13"/>
      <c r="I483" s="14"/>
    </row>
    <row r="484">
      <c r="F484" s="13"/>
      <c r="G484" s="13"/>
      <c r="H484" s="13"/>
      <c r="I484" s="14"/>
    </row>
    <row r="485">
      <c r="F485" s="13"/>
      <c r="G485" s="13"/>
      <c r="H485" s="13"/>
      <c r="I485" s="14"/>
    </row>
    <row r="486">
      <c r="F486" s="13"/>
      <c r="G486" s="13"/>
      <c r="H486" s="13"/>
      <c r="I486" s="14"/>
    </row>
    <row r="487">
      <c r="F487" s="13"/>
      <c r="G487" s="13"/>
      <c r="H487" s="13"/>
      <c r="I487" s="14"/>
    </row>
    <row r="488">
      <c r="F488" s="13"/>
      <c r="G488" s="13"/>
      <c r="H488" s="13"/>
      <c r="I488" s="14"/>
    </row>
    <row r="489">
      <c r="F489" s="13"/>
      <c r="G489" s="13"/>
      <c r="H489" s="13"/>
      <c r="I489" s="14"/>
    </row>
    <row r="490">
      <c r="F490" s="13"/>
      <c r="G490" s="13"/>
      <c r="H490" s="13"/>
      <c r="I490" s="14"/>
    </row>
    <row r="491">
      <c r="F491" s="13"/>
      <c r="G491" s="13"/>
      <c r="H491" s="13"/>
      <c r="I491" s="14"/>
    </row>
    <row r="492">
      <c r="F492" s="13"/>
      <c r="G492" s="13"/>
      <c r="H492" s="13"/>
      <c r="I492" s="14"/>
    </row>
    <row r="493">
      <c r="F493" s="13"/>
      <c r="G493" s="13"/>
      <c r="H493" s="13"/>
      <c r="I493" s="14"/>
    </row>
    <row r="494">
      <c r="F494" s="13"/>
      <c r="G494" s="13"/>
      <c r="H494" s="13"/>
      <c r="I494" s="14"/>
    </row>
    <row r="495">
      <c r="F495" s="13"/>
      <c r="G495" s="13"/>
      <c r="H495" s="13"/>
      <c r="I495" s="14"/>
    </row>
    <row r="496">
      <c r="F496" s="13"/>
      <c r="G496" s="13"/>
      <c r="H496" s="13"/>
      <c r="I496" s="14"/>
    </row>
    <row r="497">
      <c r="F497" s="13"/>
      <c r="G497" s="13"/>
      <c r="H497" s="13"/>
      <c r="I497" s="14"/>
    </row>
    <row r="498">
      <c r="F498" s="13"/>
      <c r="G498" s="13"/>
      <c r="H498" s="13"/>
      <c r="I498" s="14"/>
    </row>
    <row r="499">
      <c r="F499" s="13"/>
      <c r="G499" s="13"/>
      <c r="H499" s="13"/>
      <c r="I499" s="14"/>
    </row>
    <row r="500">
      <c r="F500" s="13"/>
      <c r="G500" s="13"/>
      <c r="H500" s="13"/>
      <c r="I500" s="14"/>
    </row>
    <row r="501">
      <c r="F501" s="13"/>
      <c r="G501" s="13"/>
      <c r="H501" s="13"/>
      <c r="I501" s="14"/>
    </row>
    <row r="502">
      <c r="F502" s="13"/>
      <c r="G502" s="13"/>
      <c r="H502" s="13"/>
      <c r="I502" s="14"/>
    </row>
    <row r="503">
      <c r="F503" s="13"/>
      <c r="G503" s="13"/>
      <c r="H503" s="13"/>
      <c r="I503" s="14"/>
    </row>
    <row r="504">
      <c r="F504" s="13"/>
      <c r="G504" s="13"/>
      <c r="H504" s="13"/>
      <c r="I504" s="14"/>
    </row>
    <row r="505">
      <c r="F505" s="13"/>
      <c r="G505" s="13"/>
      <c r="H505" s="13"/>
      <c r="I505" s="14"/>
    </row>
    <row r="506">
      <c r="F506" s="13"/>
      <c r="G506" s="13"/>
      <c r="H506" s="13"/>
      <c r="I506" s="14"/>
    </row>
    <row r="507">
      <c r="F507" s="13"/>
      <c r="G507" s="13"/>
      <c r="H507" s="13"/>
      <c r="I507" s="14"/>
    </row>
    <row r="508">
      <c r="F508" s="13"/>
      <c r="G508" s="13"/>
      <c r="H508" s="13"/>
      <c r="I508" s="14"/>
    </row>
    <row r="509">
      <c r="F509" s="13"/>
      <c r="G509" s="13"/>
      <c r="H509" s="13"/>
      <c r="I509" s="14"/>
    </row>
    <row r="510">
      <c r="F510" s="13"/>
      <c r="G510" s="13"/>
      <c r="H510" s="13"/>
      <c r="I510" s="14"/>
    </row>
    <row r="511">
      <c r="F511" s="13"/>
      <c r="G511" s="13"/>
      <c r="H511" s="13"/>
      <c r="I511" s="14"/>
    </row>
    <row r="512">
      <c r="F512" s="13"/>
      <c r="G512" s="13"/>
      <c r="H512" s="13"/>
      <c r="I512" s="14"/>
    </row>
    <row r="513">
      <c r="F513" s="13"/>
      <c r="G513" s="13"/>
      <c r="H513" s="13"/>
      <c r="I513" s="14"/>
    </row>
    <row r="514">
      <c r="F514" s="13"/>
      <c r="G514" s="13"/>
      <c r="H514" s="13"/>
      <c r="I514" s="14"/>
    </row>
    <row r="515">
      <c r="F515" s="13"/>
      <c r="G515" s="13"/>
      <c r="H515" s="13"/>
      <c r="I515" s="14"/>
    </row>
    <row r="516">
      <c r="F516" s="13"/>
      <c r="G516" s="13"/>
      <c r="H516" s="13"/>
      <c r="I516" s="14"/>
    </row>
    <row r="517">
      <c r="F517" s="13"/>
      <c r="G517" s="13"/>
      <c r="H517" s="13"/>
      <c r="I517" s="14"/>
    </row>
    <row r="518">
      <c r="F518" s="13"/>
      <c r="G518" s="13"/>
      <c r="H518" s="13"/>
      <c r="I518" s="14"/>
    </row>
    <row r="519">
      <c r="F519" s="13"/>
      <c r="G519" s="13"/>
      <c r="H519" s="13"/>
      <c r="I519" s="14"/>
    </row>
    <row r="520">
      <c r="F520" s="13"/>
      <c r="G520" s="13"/>
      <c r="H520" s="13"/>
      <c r="I520" s="14"/>
    </row>
    <row r="521">
      <c r="F521" s="13"/>
      <c r="G521" s="13"/>
      <c r="H521" s="13"/>
      <c r="I521" s="14"/>
    </row>
    <row r="522">
      <c r="F522" s="13"/>
      <c r="G522" s="13"/>
      <c r="H522" s="13"/>
      <c r="I522" s="14"/>
    </row>
    <row r="523">
      <c r="F523" s="13"/>
      <c r="G523" s="13"/>
      <c r="H523" s="13"/>
      <c r="I523" s="14"/>
    </row>
    <row r="524">
      <c r="F524" s="13"/>
      <c r="G524" s="13"/>
      <c r="H524" s="13"/>
      <c r="I524" s="14"/>
    </row>
    <row r="525">
      <c r="F525" s="13"/>
      <c r="G525" s="13"/>
      <c r="H525" s="13"/>
      <c r="I525" s="14"/>
    </row>
    <row r="526">
      <c r="F526" s="13"/>
      <c r="G526" s="13"/>
      <c r="H526" s="13"/>
      <c r="I526" s="14"/>
    </row>
    <row r="527">
      <c r="F527" s="13"/>
      <c r="G527" s="13"/>
      <c r="H527" s="13"/>
      <c r="I527" s="14"/>
    </row>
    <row r="528">
      <c r="F528" s="13"/>
      <c r="G528" s="13"/>
      <c r="H528" s="13"/>
      <c r="I528" s="14"/>
    </row>
    <row r="529">
      <c r="F529" s="13"/>
      <c r="G529" s="13"/>
      <c r="H529" s="13"/>
      <c r="I529" s="14"/>
    </row>
    <row r="530">
      <c r="F530" s="13"/>
      <c r="G530" s="13"/>
      <c r="H530" s="13"/>
      <c r="I530" s="14"/>
    </row>
    <row r="531">
      <c r="F531" s="13"/>
      <c r="G531" s="13"/>
      <c r="H531" s="13"/>
      <c r="I531" s="14"/>
    </row>
    <row r="532">
      <c r="F532" s="13"/>
      <c r="G532" s="13"/>
      <c r="H532" s="13"/>
      <c r="I532" s="14"/>
    </row>
    <row r="533">
      <c r="F533" s="13"/>
      <c r="G533" s="13"/>
      <c r="H533" s="13"/>
      <c r="I533" s="14"/>
    </row>
    <row r="534">
      <c r="F534" s="13"/>
      <c r="G534" s="13"/>
      <c r="H534" s="13"/>
      <c r="I534" s="14"/>
    </row>
    <row r="535">
      <c r="F535" s="13"/>
      <c r="G535" s="13"/>
      <c r="H535" s="13"/>
      <c r="I535" s="14"/>
    </row>
    <row r="536">
      <c r="F536" s="13"/>
      <c r="G536" s="13"/>
      <c r="H536" s="13"/>
      <c r="I536" s="14"/>
    </row>
    <row r="537">
      <c r="F537" s="13"/>
      <c r="G537" s="13"/>
      <c r="H537" s="13"/>
      <c r="I537" s="14"/>
    </row>
    <row r="538">
      <c r="F538" s="13"/>
      <c r="G538" s="13"/>
      <c r="H538" s="13"/>
      <c r="I538" s="14"/>
    </row>
    <row r="539">
      <c r="F539" s="13"/>
      <c r="G539" s="13"/>
      <c r="H539" s="13"/>
      <c r="I539" s="14"/>
    </row>
    <row r="540">
      <c r="F540" s="13"/>
      <c r="G540" s="13"/>
      <c r="H540" s="13"/>
      <c r="I540" s="14"/>
    </row>
    <row r="541">
      <c r="F541" s="13"/>
      <c r="G541" s="13"/>
      <c r="H541" s="13"/>
      <c r="I541" s="14"/>
    </row>
    <row r="542">
      <c r="F542" s="13"/>
      <c r="G542" s="13"/>
      <c r="H542" s="13"/>
      <c r="I542" s="14"/>
    </row>
    <row r="543">
      <c r="F543" s="13"/>
      <c r="G543" s="13"/>
      <c r="H543" s="13"/>
      <c r="I543" s="14"/>
    </row>
    <row r="544">
      <c r="F544" s="13"/>
      <c r="G544" s="13"/>
      <c r="H544" s="13"/>
      <c r="I544" s="14"/>
    </row>
    <row r="545">
      <c r="F545" s="13"/>
      <c r="G545" s="13"/>
      <c r="H545" s="13"/>
      <c r="I545" s="14"/>
    </row>
    <row r="546">
      <c r="F546" s="13"/>
      <c r="G546" s="13"/>
      <c r="H546" s="13"/>
      <c r="I546" s="14"/>
    </row>
    <row r="547">
      <c r="F547" s="13"/>
      <c r="G547" s="13"/>
      <c r="H547" s="13"/>
      <c r="I547" s="14"/>
    </row>
    <row r="548">
      <c r="F548" s="13"/>
      <c r="G548" s="13"/>
      <c r="H548" s="13"/>
      <c r="I548" s="14"/>
    </row>
    <row r="549">
      <c r="F549" s="13"/>
      <c r="G549" s="13"/>
      <c r="H549" s="13"/>
      <c r="I549" s="14"/>
    </row>
    <row r="550">
      <c r="F550" s="13"/>
      <c r="G550" s="13"/>
      <c r="H550" s="13"/>
      <c r="I550" s="14"/>
    </row>
    <row r="551">
      <c r="F551" s="13"/>
      <c r="G551" s="13"/>
      <c r="H551" s="13"/>
      <c r="I551" s="14"/>
    </row>
    <row r="552">
      <c r="F552" s="13"/>
      <c r="G552" s="13"/>
      <c r="H552" s="13"/>
      <c r="I552" s="14"/>
    </row>
    <row r="553">
      <c r="F553" s="13"/>
      <c r="G553" s="13"/>
      <c r="H553" s="13"/>
      <c r="I553" s="14"/>
    </row>
    <row r="554">
      <c r="F554" s="13"/>
      <c r="G554" s="13"/>
      <c r="H554" s="13"/>
      <c r="I554" s="14"/>
    </row>
    <row r="555">
      <c r="F555" s="13"/>
      <c r="G555" s="13"/>
      <c r="H555" s="13"/>
      <c r="I555" s="14"/>
    </row>
    <row r="556">
      <c r="F556" s="13"/>
      <c r="G556" s="13"/>
      <c r="H556" s="13"/>
      <c r="I556" s="14"/>
    </row>
    <row r="557">
      <c r="F557" s="13"/>
      <c r="G557" s="13"/>
      <c r="H557" s="13"/>
      <c r="I557" s="14"/>
    </row>
    <row r="558">
      <c r="F558" s="13"/>
      <c r="G558" s="13"/>
      <c r="H558" s="13"/>
      <c r="I558" s="14"/>
    </row>
    <row r="559">
      <c r="F559" s="13"/>
      <c r="G559" s="13"/>
      <c r="H559" s="13"/>
      <c r="I559" s="14"/>
    </row>
    <row r="560">
      <c r="F560" s="13"/>
      <c r="G560" s="13"/>
      <c r="H560" s="13"/>
      <c r="I560" s="14"/>
    </row>
    <row r="561">
      <c r="F561" s="13"/>
      <c r="G561" s="13"/>
      <c r="H561" s="13"/>
      <c r="I561" s="14"/>
    </row>
    <row r="562">
      <c r="F562" s="13"/>
      <c r="G562" s="13"/>
      <c r="H562" s="13"/>
      <c r="I562" s="14"/>
    </row>
    <row r="563">
      <c r="F563" s="13"/>
      <c r="G563" s="13"/>
      <c r="H563" s="13"/>
      <c r="I563" s="14"/>
    </row>
    <row r="564">
      <c r="F564" s="13"/>
      <c r="G564" s="13"/>
      <c r="H564" s="13"/>
      <c r="I564" s="14"/>
    </row>
    <row r="565">
      <c r="F565" s="13"/>
      <c r="G565" s="13"/>
      <c r="H565" s="13"/>
      <c r="I565" s="14"/>
    </row>
    <row r="566">
      <c r="F566" s="13"/>
      <c r="G566" s="13"/>
      <c r="H566" s="13"/>
      <c r="I566" s="14"/>
    </row>
    <row r="567">
      <c r="F567" s="13"/>
      <c r="G567" s="13"/>
      <c r="H567" s="13"/>
      <c r="I567" s="14"/>
    </row>
    <row r="568">
      <c r="F568" s="13"/>
      <c r="G568" s="13"/>
      <c r="H568" s="13"/>
      <c r="I568" s="14"/>
    </row>
    <row r="569">
      <c r="F569" s="13"/>
      <c r="G569" s="13"/>
      <c r="H569" s="13"/>
      <c r="I569" s="14"/>
    </row>
    <row r="570">
      <c r="F570" s="13"/>
      <c r="G570" s="13"/>
      <c r="H570" s="13"/>
      <c r="I570" s="14"/>
    </row>
    <row r="571">
      <c r="F571" s="13"/>
      <c r="G571" s="13"/>
      <c r="H571" s="13"/>
      <c r="I571" s="14"/>
    </row>
    <row r="572">
      <c r="F572" s="13"/>
      <c r="G572" s="13"/>
      <c r="H572" s="13"/>
      <c r="I572" s="14"/>
    </row>
    <row r="573">
      <c r="F573" s="13"/>
      <c r="G573" s="13"/>
      <c r="H573" s="13"/>
      <c r="I573" s="14"/>
    </row>
    <row r="574">
      <c r="F574" s="13"/>
      <c r="G574" s="13"/>
      <c r="H574" s="13"/>
      <c r="I574" s="14"/>
    </row>
    <row r="575">
      <c r="F575" s="13"/>
      <c r="G575" s="13"/>
      <c r="H575" s="13"/>
      <c r="I575" s="14"/>
    </row>
    <row r="576">
      <c r="F576" s="13"/>
      <c r="G576" s="13"/>
      <c r="H576" s="13"/>
      <c r="I576" s="14"/>
    </row>
    <row r="577">
      <c r="F577" s="13"/>
      <c r="G577" s="13"/>
      <c r="H577" s="13"/>
      <c r="I577" s="14"/>
    </row>
    <row r="578">
      <c r="F578" s="13"/>
      <c r="G578" s="13"/>
      <c r="H578" s="13"/>
      <c r="I578" s="14"/>
    </row>
    <row r="579">
      <c r="F579" s="13"/>
      <c r="G579" s="13"/>
      <c r="H579" s="13"/>
      <c r="I579" s="14"/>
    </row>
    <row r="580">
      <c r="F580" s="13"/>
      <c r="G580" s="13"/>
      <c r="H580" s="13"/>
      <c r="I580" s="14"/>
    </row>
    <row r="581">
      <c r="F581" s="13"/>
      <c r="G581" s="13"/>
      <c r="H581" s="13"/>
      <c r="I581" s="14"/>
    </row>
    <row r="582">
      <c r="F582" s="13"/>
      <c r="G582" s="13"/>
      <c r="H582" s="13"/>
      <c r="I582" s="14"/>
    </row>
    <row r="583">
      <c r="F583" s="13"/>
      <c r="G583" s="13"/>
      <c r="H583" s="13"/>
      <c r="I583" s="14"/>
    </row>
    <row r="584">
      <c r="F584" s="13"/>
      <c r="G584" s="13"/>
      <c r="H584" s="13"/>
      <c r="I584" s="14"/>
    </row>
    <row r="585">
      <c r="F585" s="13"/>
      <c r="G585" s="13"/>
      <c r="H585" s="13"/>
      <c r="I585" s="14"/>
    </row>
    <row r="586">
      <c r="F586" s="13"/>
      <c r="G586" s="13"/>
      <c r="H586" s="13"/>
      <c r="I586" s="14"/>
    </row>
    <row r="587">
      <c r="F587" s="13"/>
      <c r="G587" s="13"/>
      <c r="H587" s="13"/>
      <c r="I587" s="14"/>
    </row>
    <row r="588">
      <c r="F588" s="13"/>
      <c r="G588" s="13"/>
      <c r="H588" s="13"/>
      <c r="I588" s="14"/>
    </row>
    <row r="589">
      <c r="F589" s="13"/>
      <c r="G589" s="13"/>
      <c r="H589" s="13"/>
      <c r="I589" s="14"/>
    </row>
    <row r="590">
      <c r="F590" s="13"/>
      <c r="G590" s="13"/>
      <c r="H590" s="13"/>
      <c r="I590" s="14"/>
    </row>
    <row r="591">
      <c r="F591" s="13"/>
      <c r="G591" s="13"/>
      <c r="H591" s="13"/>
      <c r="I591" s="14"/>
    </row>
    <row r="592">
      <c r="F592" s="13"/>
      <c r="G592" s="13"/>
      <c r="H592" s="13"/>
      <c r="I592" s="14"/>
    </row>
    <row r="593">
      <c r="F593" s="13"/>
      <c r="G593" s="13"/>
      <c r="H593" s="13"/>
      <c r="I593" s="14"/>
    </row>
    <row r="594">
      <c r="F594" s="13"/>
      <c r="G594" s="13"/>
      <c r="H594" s="13"/>
      <c r="I594" s="14"/>
    </row>
    <row r="595">
      <c r="F595" s="13"/>
      <c r="G595" s="13"/>
      <c r="H595" s="13"/>
      <c r="I595" s="14"/>
    </row>
    <row r="596">
      <c r="F596" s="13"/>
      <c r="G596" s="13"/>
      <c r="H596" s="13"/>
      <c r="I596" s="14"/>
    </row>
    <row r="597">
      <c r="F597" s="13"/>
      <c r="G597" s="13"/>
      <c r="H597" s="13"/>
      <c r="I597" s="14"/>
    </row>
    <row r="598">
      <c r="F598" s="13"/>
      <c r="G598" s="13"/>
      <c r="H598" s="13"/>
      <c r="I598" s="14"/>
    </row>
    <row r="599">
      <c r="F599" s="13"/>
      <c r="G599" s="13"/>
      <c r="H599" s="13"/>
      <c r="I599" s="14"/>
    </row>
    <row r="600">
      <c r="F600" s="13"/>
      <c r="G600" s="13"/>
      <c r="H600" s="13"/>
      <c r="I600" s="14"/>
    </row>
    <row r="601">
      <c r="F601" s="13"/>
      <c r="G601" s="13"/>
      <c r="H601" s="13"/>
      <c r="I601" s="14"/>
    </row>
    <row r="602">
      <c r="F602" s="13"/>
      <c r="G602" s="13"/>
      <c r="H602" s="13"/>
      <c r="I602" s="14"/>
    </row>
    <row r="603">
      <c r="F603" s="13"/>
      <c r="G603" s="13"/>
      <c r="H603" s="13"/>
      <c r="I603" s="14"/>
    </row>
    <row r="604">
      <c r="F604" s="13"/>
      <c r="G604" s="13"/>
      <c r="H604" s="13"/>
      <c r="I604" s="14"/>
    </row>
    <row r="605">
      <c r="F605" s="13"/>
      <c r="G605" s="13"/>
      <c r="H605" s="13"/>
      <c r="I605" s="14"/>
    </row>
    <row r="606">
      <c r="F606" s="13"/>
      <c r="G606" s="13"/>
      <c r="H606" s="13"/>
      <c r="I606" s="14"/>
    </row>
    <row r="607">
      <c r="F607" s="13"/>
      <c r="G607" s="13"/>
      <c r="H607" s="13"/>
      <c r="I607" s="14"/>
    </row>
    <row r="608">
      <c r="F608" s="13"/>
      <c r="G608" s="13"/>
      <c r="H608" s="13"/>
      <c r="I608" s="14"/>
    </row>
    <row r="609">
      <c r="F609" s="13"/>
      <c r="G609" s="13"/>
      <c r="H609" s="13"/>
      <c r="I609" s="14"/>
    </row>
    <row r="610">
      <c r="F610" s="13"/>
      <c r="G610" s="13"/>
      <c r="H610" s="13"/>
      <c r="I610" s="14"/>
    </row>
    <row r="611">
      <c r="F611" s="13"/>
      <c r="G611" s="13"/>
      <c r="H611" s="13"/>
      <c r="I611" s="14"/>
    </row>
    <row r="612">
      <c r="F612" s="13"/>
      <c r="G612" s="13"/>
      <c r="H612" s="13"/>
      <c r="I612" s="14"/>
    </row>
    <row r="613">
      <c r="F613" s="13"/>
      <c r="G613" s="13"/>
      <c r="H613" s="13"/>
      <c r="I613" s="14"/>
    </row>
    <row r="614">
      <c r="F614" s="13"/>
      <c r="G614" s="13"/>
      <c r="H614" s="13"/>
      <c r="I614" s="14"/>
    </row>
    <row r="615">
      <c r="F615" s="13"/>
      <c r="G615" s="13"/>
      <c r="H615" s="13"/>
      <c r="I615" s="14"/>
    </row>
    <row r="616">
      <c r="F616" s="13"/>
      <c r="G616" s="13"/>
      <c r="H616" s="13"/>
      <c r="I616" s="14"/>
    </row>
    <row r="617">
      <c r="F617" s="13"/>
      <c r="G617" s="13"/>
      <c r="H617" s="13"/>
      <c r="I617" s="14"/>
    </row>
    <row r="618">
      <c r="F618" s="13"/>
      <c r="G618" s="13"/>
      <c r="H618" s="13"/>
      <c r="I618" s="14"/>
    </row>
    <row r="619">
      <c r="F619" s="13"/>
      <c r="G619" s="13"/>
      <c r="H619" s="13"/>
      <c r="I619" s="14"/>
    </row>
    <row r="620">
      <c r="F620" s="13"/>
      <c r="G620" s="13"/>
      <c r="H620" s="13"/>
      <c r="I620" s="14"/>
    </row>
    <row r="621">
      <c r="F621" s="13"/>
      <c r="G621" s="13"/>
      <c r="H621" s="13"/>
      <c r="I621" s="14"/>
    </row>
    <row r="622">
      <c r="F622" s="13"/>
      <c r="G622" s="13"/>
      <c r="H622" s="13"/>
      <c r="I622" s="14"/>
    </row>
    <row r="623">
      <c r="F623" s="13"/>
      <c r="G623" s="13"/>
      <c r="H623" s="13"/>
      <c r="I623" s="14"/>
    </row>
    <row r="624">
      <c r="F624" s="13"/>
      <c r="G624" s="13"/>
      <c r="H624" s="13"/>
      <c r="I624" s="14"/>
    </row>
    <row r="625">
      <c r="F625" s="13"/>
      <c r="G625" s="13"/>
      <c r="H625" s="13"/>
      <c r="I625" s="14"/>
    </row>
    <row r="626">
      <c r="F626" s="13"/>
      <c r="G626" s="13"/>
      <c r="H626" s="13"/>
      <c r="I626" s="14"/>
    </row>
    <row r="627">
      <c r="F627" s="13"/>
      <c r="G627" s="13"/>
      <c r="H627" s="13"/>
      <c r="I627" s="14"/>
    </row>
    <row r="628">
      <c r="F628" s="13"/>
      <c r="G628" s="13"/>
      <c r="H628" s="13"/>
      <c r="I628" s="14"/>
    </row>
    <row r="629">
      <c r="F629" s="13"/>
      <c r="G629" s="13"/>
      <c r="H629" s="13"/>
      <c r="I629" s="14"/>
    </row>
    <row r="630">
      <c r="F630" s="13"/>
      <c r="G630" s="13"/>
      <c r="H630" s="13"/>
      <c r="I630" s="14"/>
    </row>
    <row r="631">
      <c r="F631" s="13"/>
      <c r="G631" s="13"/>
      <c r="H631" s="13"/>
      <c r="I631" s="14"/>
    </row>
    <row r="632">
      <c r="F632" s="13"/>
      <c r="G632" s="13"/>
      <c r="H632" s="13"/>
      <c r="I632" s="14"/>
    </row>
    <row r="633">
      <c r="F633" s="13"/>
      <c r="G633" s="13"/>
      <c r="H633" s="13"/>
      <c r="I633" s="14"/>
    </row>
    <row r="634">
      <c r="F634" s="13"/>
      <c r="G634" s="13"/>
      <c r="H634" s="13"/>
      <c r="I634" s="14"/>
    </row>
    <row r="635">
      <c r="F635" s="13"/>
      <c r="G635" s="13"/>
      <c r="H635" s="13"/>
      <c r="I635" s="14"/>
    </row>
    <row r="636">
      <c r="F636" s="13"/>
      <c r="G636" s="13"/>
      <c r="H636" s="13"/>
      <c r="I636" s="14"/>
    </row>
    <row r="637">
      <c r="F637" s="13"/>
      <c r="G637" s="13"/>
      <c r="H637" s="13"/>
      <c r="I637" s="14"/>
    </row>
    <row r="638">
      <c r="F638" s="13"/>
      <c r="G638" s="13"/>
      <c r="H638" s="13"/>
      <c r="I638" s="14"/>
    </row>
    <row r="639">
      <c r="F639" s="13"/>
      <c r="G639" s="13"/>
      <c r="H639" s="13"/>
      <c r="I639" s="14"/>
    </row>
    <row r="640">
      <c r="F640" s="13"/>
      <c r="G640" s="13"/>
      <c r="H640" s="13"/>
      <c r="I640" s="14"/>
    </row>
    <row r="641">
      <c r="F641" s="13"/>
      <c r="G641" s="13"/>
      <c r="H641" s="13"/>
      <c r="I641" s="14"/>
    </row>
    <row r="642">
      <c r="F642" s="13"/>
      <c r="G642" s="13"/>
      <c r="H642" s="13"/>
      <c r="I642" s="14"/>
    </row>
    <row r="643">
      <c r="F643" s="13"/>
      <c r="G643" s="13"/>
      <c r="H643" s="13"/>
      <c r="I643" s="14"/>
    </row>
    <row r="644">
      <c r="F644" s="13"/>
      <c r="G644" s="13"/>
      <c r="H644" s="13"/>
      <c r="I644" s="14"/>
    </row>
    <row r="645">
      <c r="F645" s="13"/>
      <c r="G645" s="13"/>
      <c r="H645" s="13"/>
      <c r="I645" s="14"/>
    </row>
    <row r="646">
      <c r="F646" s="13"/>
      <c r="G646" s="13"/>
      <c r="H646" s="13"/>
      <c r="I646" s="14"/>
    </row>
    <row r="647">
      <c r="F647" s="13"/>
      <c r="G647" s="13"/>
      <c r="H647" s="13"/>
      <c r="I647" s="14"/>
    </row>
    <row r="648">
      <c r="F648" s="13"/>
      <c r="G648" s="13"/>
      <c r="H648" s="13"/>
      <c r="I648" s="14"/>
    </row>
    <row r="649">
      <c r="F649" s="13"/>
      <c r="G649" s="13"/>
      <c r="H649" s="13"/>
      <c r="I649" s="14"/>
    </row>
    <row r="650">
      <c r="F650" s="13"/>
      <c r="G650" s="13"/>
      <c r="H650" s="13"/>
      <c r="I650" s="14"/>
    </row>
    <row r="651">
      <c r="F651" s="13"/>
      <c r="G651" s="13"/>
      <c r="H651" s="13"/>
      <c r="I651" s="14"/>
    </row>
    <row r="652">
      <c r="F652" s="13"/>
      <c r="G652" s="13"/>
      <c r="H652" s="13"/>
      <c r="I652" s="14"/>
    </row>
    <row r="653">
      <c r="F653" s="13"/>
      <c r="G653" s="13"/>
      <c r="H653" s="13"/>
      <c r="I653" s="14"/>
    </row>
    <row r="654">
      <c r="F654" s="13"/>
      <c r="G654" s="13"/>
      <c r="H654" s="13"/>
      <c r="I654" s="14"/>
    </row>
    <row r="655">
      <c r="F655" s="13"/>
      <c r="G655" s="13"/>
      <c r="H655" s="13"/>
      <c r="I655" s="14"/>
    </row>
    <row r="656">
      <c r="F656" s="13"/>
      <c r="G656" s="13"/>
      <c r="H656" s="13"/>
      <c r="I656" s="14"/>
    </row>
    <row r="657">
      <c r="F657" s="13"/>
      <c r="G657" s="13"/>
      <c r="H657" s="13"/>
      <c r="I657" s="14"/>
    </row>
    <row r="658">
      <c r="F658" s="13"/>
      <c r="G658" s="13"/>
      <c r="H658" s="13"/>
      <c r="I658" s="14"/>
    </row>
    <row r="659">
      <c r="F659" s="13"/>
      <c r="G659" s="13"/>
      <c r="H659" s="13"/>
      <c r="I659" s="14"/>
    </row>
    <row r="660">
      <c r="F660" s="13"/>
      <c r="G660" s="13"/>
      <c r="H660" s="13"/>
      <c r="I660" s="14"/>
    </row>
    <row r="661">
      <c r="F661" s="13"/>
      <c r="G661" s="13"/>
      <c r="H661" s="13"/>
      <c r="I661" s="14"/>
    </row>
    <row r="662">
      <c r="F662" s="13"/>
      <c r="G662" s="13"/>
      <c r="H662" s="13"/>
      <c r="I662" s="14"/>
    </row>
    <row r="663">
      <c r="F663" s="13"/>
      <c r="G663" s="13"/>
      <c r="H663" s="13"/>
      <c r="I663" s="14"/>
    </row>
    <row r="664">
      <c r="F664" s="13"/>
      <c r="G664" s="13"/>
      <c r="H664" s="13"/>
      <c r="I664" s="14"/>
    </row>
    <row r="665">
      <c r="F665" s="13"/>
      <c r="G665" s="13"/>
      <c r="H665" s="13"/>
      <c r="I665" s="14"/>
    </row>
    <row r="666">
      <c r="F666" s="13"/>
      <c r="G666" s="13"/>
      <c r="H666" s="13"/>
      <c r="I666" s="14"/>
    </row>
    <row r="667">
      <c r="F667" s="13"/>
      <c r="G667" s="13"/>
      <c r="H667" s="13"/>
      <c r="I667" s="14"/>
    </row>
    <row r="668">
      <c r="F668" s="13"/>
      <c r="G668" s="13"/>
      <c r="H668" s="13"/>
      <c r="I668" s="14"/>
    </row>
    <row r="669">
      <c r="F669" s="13"/>
      <c r="G669" s="13"/>
      <c r="H669" s="13"/>
      <c r="I669" s="14"/>
    </row>
    <row r="670">
      <c r="F670" s="13"/>
      <c r="G670" s="13"/>
      <c r="H670" s="13"/>
      <c r="I670" s="14"/>
    </row>
    <row r="671">
      <c r="F671" s="13"/>
      <c r="G671" s="13"/>
      <c r="H671" s="13"/>
      <c r="I671" s="14"/>
    </row>
    <row r="672">
      <c r="F672" s="13"/>
      <c r="G672" s="13"/>
      <c r="H672" s="13"/>
      <c r="I672" s="14"/>
    </row>
    <row r="673">
      <c r="F673" s="13"/>
      <c r="G673" s="13"/>
      <c r="H673" s="13"/>
      <c r="I673" s="14"/>
    </row>
    <row r="674">
      <c r="F674" s="13"/>
      <c r="G674" s="13"/>
      <c r="H674" s="13"/>
      <c r="I674" s="14"/>
    </row>
    <row r="675">
      <c r="F675" s="13"/>
      <c r="G675" s="13"/>
      <c r="H675" s="13"/>
      <c r="I675" s="14"/>
    </row>
    <row r="676">
      <c r="F676" s="13"/>
      <c r="G676" s="13"/>
      <c r="H676" s="13"/>
      <c r="I676" s="14"/>
    </row>
    <row r="677">
      <c r="F677" s="13"/>
      <c r="G677" s="13"/>
      <c r="H677" s="13"/>
      <c r="I677" s="14"/>
    </row>
    <row r="678">
      <c r="F678" s="13"/>
      <c r="G678" s="13"/>
      <c r="H678" s="13"/>
      <c r="I678" s="14"/>
    </row>
    <row r="679">
      <c r="F679" s="13"/>
      <c r="G679" s="13"/>
      <c r="H679" s="13"/>
      <c r="I679" s="14"/>
    </row>
    <row r="680">
      <c r="F680" s="13"/>
      <c r="G680" s="13"/>
      <c r="H680" s="13"/>
      <c r="I680" s="14"/>
    </row>
    <row r="681">
      <c r="F681" s="13"/>
      <c r="G681" s="13"/>
      <c r="H681" s="13"/>
      <c r="I681" s="14"/>
    </row>
    <row r="682">
      <c r="F682" s="13"/>
      <c r="G682" s="13"/>
      <c r="H682" s="13"/>
      <c r="I682" s="14"/>
    </row>
    <row r="683">
      <c r="F683" s="13"/>
      <c r="G683" s="13"/>
      <c r="H683" s="13"/>
      <c r="I683" s="14"/>
    </row>
    <row r="684">
      <c r="F684" s="13"/>
      <c r="G684" s="13"/>
      <c r="H684" s="13"/>
      <c r="I684" s="14"/>
    </row>
    <row r="685">
      <c r="F685" s="13"/>
      <c r="G685" s="13"/>
      <c r="H685" s="13"/>
      <c r="I685" s="14"/>
    </row>
    <row r="686">
      <c r="F686" s="13"/>
      <c r="G686" s="13"/>
      <c r="H686" s="13"/>
      <c r="I686" s="14"/>
    </row>
    <row r="687">
      <c r="F687" s="13"/>
      <c r="G687" s="13"/>
      <c r="H687" s="13"/>
      <c r="I687" s="14"/>
    </row>
    <row r="688">
      <c r="F688" s="13"/>
      <c r="G688" s="13"/>
      <c r="H688" s="13"/>
      <c r="I688" s="14"/>
    </row>
    <row r="689">
      <c r="F689" s="13"/>
      <c r="G689" s="13"/>
      <c r="H689" s="13"/>
      <c r="I689" s="14"/>
    </row>
    <row r="690">
      <c r="F690" s="13"/>
      <c r="G690" s="13"/>
      <c r="H690" s="13"/>
      <c r="I690" s="14"/>
    </row>
    <row r="691">
      <c r="F691" s="13"/>
      <c r="G691" s="13"/>
      <c r="H691" s="13"/>
      <c r="I691" s="14"/>
    </row>
    <row r="692">
      <c r="F692" s="13"/>
      <c r="G692" s="13"/>
      <c r="H692" s="13"/>
      <c r="I692" s="14"/>
    </row>
    <row r="693">
      <c r="F693" s="13"/>
      <c r="G693" s="13"/>
      <c r="H693" s="13"/>
      <c r="I693" s="14"/>
    </row>
    <row r="694">
      <c r="F694" s="13"/>
      <c r="G694" s="13"/>
      <c r="H694" s="13"/>
      <c r="I694" s="14"/>
    </row>
    <row r="695">
      <c r="F695" s="13"/>
      <c r="G695" s="13"/>
      <c r="H695" s="13"/>
      <c r="I695" s="14"/>
    </row>
    <row r="696">
      <c r="F696" s="13"/>
      <c r="G696" s="13"/>
      <c r="H696" s="13"/>
      <c r="I696" s="14"/>
    </row>
    <row r="697">
      <c r="F697" s="13"/>
      <c r="G697" s="13"/>
      <c r="H697" s="13"/>
      <c r="I697" s="14"/>
    </row>
    <row r="698">
      <c r="F698" s="13"/>
      <c r="G698" s="13"/>
      <c r="H698" s="13"/>
      <c r="I698" s="14"/>
    </row>
    <row r="699">
      <c r="F699" s="13"/>
      <c r="G699" s="13"/>
      <c r="H699" s="13"/>
      <c r="I699" s="14"/>
    </row>
    <row r="700">
      <c r="F700" s="13"/>
      <c r="G700" s="13"/>
      <c r="H700" s="13"/>
      <c r="I700" s="14"/>
    </row>
    <row r="701">
      <c r="F701" s="13"/>
      <c r="G701" s="13"/>
      <c r="H701" s="13"/>
      <c r="I701" s="14"/>
    </row>
    <row r="702">
      <c r="F702" s="13"/>
      <c r="G702" s="13"/>
      <c r="H702" s="13"/>
      <c r="I702" s="14"/>
    </row>
    <row r="703">
      <c r="F703" s="13"/>
      <c r="G703" s="13"/>
      <c r="H703" s="13"/>
      <c r="I703" s="14"/>
    </row>
    <row r="704">
      <c r="F704" s="13"/>
      <c r="G704" s="13"/>
      <c r="H704" s="13"/>
      <c r="I704" s="14"/>
    </row>
    <row r="705">
      <c r="F705" s="13"/>
      <c r="G705" s="13"/>
      <c r="H705" s="13"/>
      <c r="I705" s="14"/>
    </row>
    <row r="706">
      <c r="F706" s="13"/>
      <c r="G706" s="13"/>
      <c r="H706" s="13"/>
      <c r="I706" s="14"/>
    </row>
    <row r="707">
      <c r="F707" s="13"/>
      <c r="G707" s="13"/>
      <c r="H707" s="13"/>
      <c r="I707" s="14"/>
    </row>
    <row r="708">
      <c r="F708" s="13"/>
      <c r="G708" s="13"/>
      <c r="H708" s="13"/>
      <c r="I708" s="14"/>
    </row>
    <row r="709">
      <c r="F709" s="13"/>
      <c r="G709" s="13"/>
      <c r="H709" s="13"/>
      <c r="I709" s="14"/>
    </row>
    <row r="710">
      <c r="F710" s="13"/>
      <c r="G710" s="13"/>
      <c r="H710" s="13"/>
      <c r="I710" s="14"/>
    </row>
    <row r="711">
      <c r="F711" s="13"/>
      <c r="G711" s="13"/>
      <c r="H711" s="13"/>
      <c r="I711" s="14"/>
    </row>
    <row r="712">
      <c r="F712" s="13"/>
      <c r="G712" s="13"/>
      <c r="H712" s="13"/>
      <c r="I712" s="14"/>
    </row>
    <row r="713">
      <c r="F713" s="13"/>
      <c r="G713" s="13"/>
      <c r="H713" s="13"/>
      <c r="I713" s="14"/>
    </row>
    <row r="714">
      <c r="F714" s="13"/>
      <c r="G714" s="13"/>
      <c r="H714" s="13"/>
      <c r="I714" s="14"/>
    </row>
    <row r="715">
      <c r="F715" s="13"/>
      <c r="G715" s="13"/>
      <c r="H715" s="13"/>
      <c r="I715" s="14"/>
    </row>
    <row r="716">
      <c r="F716" s="13"/>
      <c r="G716" s="13"/>
      <c r="H716" s="13"/>
      <c r="I716" s="14"/>
    </row>
    <row r="717">
      <c r="F717" s="13"/>
      <c r="G717" s="13"/>
      <c r="H717" s="13"/>
      <c r="I717" s="14"/>
    </row>
    <row r="718">
      <c r="F718" s="13"/>
      <c r="G718" s="13"/>
      <c r="H718" s="13"/>
      <c r="I718" s="14"/>
    </row>
    <row r="719">
      <c r="F719" s="13"/>
      <c r="G719" s="13"/>
      <c r="H719" s="13"/>
      <c r="I719" s="14"/>
    </row>
    <row r="720">
      <c r="F720" s="13"/>
      <c r="G720" s="13"/>
      <c r="H720" s="13"/>
      <c r="I720" s="14"/>
    </row>
    <row r="721">
      <c r="F721" s="13"/>
      <c r="G721" s="13"/>
      <c r="H721" s="13"/>
      <c r="I721" s="14"/>
    </row>
    <row r="722">
      <c r="F722" s="13"/>
      <c r="G722" s="13"/>
      <c r="H722" s="13"/>
      <c r="I722" s="14"/>
    </row>
    <row r="723">
      <c r="F723" s="13"/>
      <c r="G723" s="13"/>
      <c r="H723" s="13"/>
      <c r="I723" s="14"/>
    </row>
    <row r="724">
      <c r="F724" s="13"/>
      <c r="G724" s="13"/>
      <c r="H724" s="13"/>
      <c r="I724" s="14"/>
    </row>
    <row r="725">
      <c r="F725" s="13"/>
      <c r="G725" s="13"/>
      <c r="H725" s="13"/>
      <c r="I725" s="14"/>
    </row>
    <row r="726">
      <c r="F726" s="13"/>
      <c r="G726" s="13"/>
      <c r="H726" s="13"/>
      <c r="I726" s="14"/>
    </row>
    <row r="727">
      <c r="F727" s="13"/>
      <c r="G727" s="13"/>
      <c r="H727" s="13"/>
      <c r="I727" s="14"/>
    </row>
    <row r="728">
      <c r="F728" s="13"/>
      <c r="G728" s="13"/>
      <c r="H728" s="13"/>
      <c r="I728" s="14"/>
    </row>
    <row r="729">
      <c r="F729" s="13"/>
      <c r="G729" s="13"/>
      <c r="H729" s="13"/>
      <c r="I729" s="14"/>
    </row>
    <row r="730">
      <c r="F730" s="13"/>
      <c r="G730" s="13"/>
      <c r="H730" s="13"/>
      <c r="I730" s="14"/>
    </row>
    <row r="731">
      <c r="F731" s="13"/>
      <c r="G731" s="13"/>
      <c r="H731" s="13"/>
      <c r="I731" s="14"/>
    </row>
    <row r="732">
      <c r="F732" s="13"/>
      <c r="G732" s="13"/>
      <c r="H732" s="13"/>
      <c r="I732" s="14"/>
    </row>
    <row r="733">
      <c r="F733" s="13"/>
      <c r="G733" s="13"/>
      <c r="H733" s="13"/>
      <c r="I733" s="14"/>
    </row>
    <row r="734">
      <c r="F734" s="13"/>
      <c r="G734" s="13"/>
      <c r="H734" s="13"/>
      <c r="I734" s="14"/>
    </row>
    <row r="735">
      <c r="F735" s="13"/>
      <c r="G735" s="13"/>
      <c r="H735" s="13"/>
      <c r="I735" s="14"/>
    </row>
    <row r="736">
      <c r="F736" s="13"/>
      <c r="G736" s="13"/>
      <c r="H736" s="13"/>
      <c r="I736" s="14"/>
    </row>
    <row r="737">
      <c r="F737" s="13"/>
      <c r="G737" s="13"/>
      <c r="H737" s="13"/>
      <c r="I737" s="14"/>
    </row>
    <row r="738">
      <c r="F738" s="13"/>
      <c r="G738" s="13"/>
      <c r="H738" s="13"/>
      <c r="I738" s="14"/>
    </row>
    <row r="739">
      <c r="F739" s="13"/>
      <c r="G739" s="13"/>
      <c r="H739" s="13"/>
      <c r="I739" s="14"/>
    </row>
    <row r="740">
      <c r="F740" s="13"/>
      <c r="G740" s="13"/>
      <c r="H740" s="13"/>
      <c r="I740" s="14"/>
    </row>
    <row r="741">
      <c r="F741" s="13"/>
      <c r="G741" s="13"/>
      <c r="H741" s="13"/>
      <c r="I741" s="14"/>
    </row>
    <row r="742">
      <c r="F742" s="13"/>
      <c r="G742" s="13"/>
      <c r="H742" s="13"/>
      <c r="I742" s="14"/>
    </row>
    <row r="743">
      <c r="F743" s="13"/>
      <c r="G743" s="13"/>
      <c r="H743" s="13"/>
      <c r="I743" s="14"/>
    </row>
    <row r="744">
      <c r="F744" s="13"/>
      <c r="G744" s="13"/>
      <c r="H744" s="13"/>
      <c r="I744" s="14"/>
    </row>
    <row r="745">
      <c r="F745" s="13"/>
      <c r="G745" s="13"/>
      <c r="H745" s="13"/>
      <c r="I745" s="14"/>
    </row>
    <row r="746">
      <c r="F746" s="13"/>
      <c r="G746" s="13"/>
      <c r="H746" s="13"/>
      <c r="I746" s="14"/>
    </row>
    <row r="747">
      <c r="F747" s="13"/>
      <c r="G747" s="13"/>
      <c r="H747" s="13"/>
      <c r="I747" s="14"/>
    </row>
    <row r="748">
      <c r="F748" s="13"/>
      <c r="G748" s="13"/>
      <c r="H748" s="13"/>
      <c r="I748" s="14"/>
    </row>
    <row r="749">
      <c r="F749" s="13"/>
      <c r="G749" s="13"/>
      <c r="H749" s="13"/>
      <c r="I749" s="14"/>
    </row>
    <row r="750">
      <c r="F750" s="13"/>
      <c r="G750" s="13"/>
      <c r="H750" s="13"/>
      <c r="I750" s="14"/>
    </row>
    <row r="751">
      <c r="F751" s="13"/>
      <c r="G751" s="13"/>
      <c r="H751" s="13"/>
      <c r="I751" s="14"/>
    </row>
    <row r="752">
      <c r="F752" s="13"/>
      <c r="G752" s="13"/>
      <c r="H752" s="13"/>
      <c r="I752" s="14"/>
    </row>
    <row r="753">
      <c r="F753" s="13"/>
      <c r="G753" s="13"/>
      <c r="H753" s="13"/>
      <c r="I753" s="14"/>
    </row>
    <row r="754">
      <c r="F754" s="13"/>
      <c r="G754" s="13"/>
      <c r="H754" s="13"/>
      <c r="I754" s="14"/>
    </row>
    <row r="755">
      <c r="F755" s="13"/>
      <c r="G755" s="13"/>
      <c r="H755" s="13"/>
      <c r="I755" s="14"/>
    </row>
    <row r="756">
      <c r="F756" s="13"/>
      <c r="G756" s="13"/>
      <c r="H756" s="13"/>
      <c r="I756" s="14"/>
    </row>
    <row r="757">
      <c r="F757" s="13"/>
      <c r="G757" s="13"/>
      <c r="H757" s="13"/>
      <c r="I757" s="14"/>
    </row>
    <row r="758">
      <c r="F758" s="13"/>
      <c r="G758" s="13"/>
      <c r="H758" s="13"/>
      <c r="I758" s="14"/>
    </row>
    <row r="759">
      <c r="F759" s="13"/>
      <c r="G759" s="13"/>
      <c r="H759" s="13"/>
      <c r="I759" s="14"/>
    </row>
    <row r="760">
      <c r="F760" s="13"/>
      <c r="G760" s="13"/>
      <c r="H760" s="13"/>
      <c r="I760" s="14"/>
    </row>
    <row r="761">
      <c r="F761" s="13"/>
      <c r="G761" s="13"/>
      <c r="H761" s="13"/>
      <c r="I761" s="14"/>
    </row>
    <row r="762">
      <c r="F762" s="13"/>
      <c r="G762" s="13"/>
      <c r="H762" s="13"/>
      <c r="I762" s="14"/>
    </row>
    <row r="763">
      <c r="F763" s="13"/>
      <c r="G763" s="13"/>
      <c r="H763" s="13"/>
      <c r="I763" s="14"/>
    </row>
    <row r="764">
      <c r="F764" s="13"/>
      <c r="G764" s="13"/>
      <c r="H764" s="13"/>
      <c r="I764" s="14"/>
    </row>
    <row r="765">
      <c r="F765" s="13"/>
      <c r="G765" s="13"/>
      <c r="H765" s="13"/>
      <c r="I765" s="14"/>
    </row>
    <row r="766">
      <c r="F766" s="13"/>
      <c r="G766" s="13"/>
      <c r="H766" s="13"/>
      <c r="I766" s="14"/>
    </row>
    <row r="767">
      <c r="F767" s="13"/>
      <c r="G767" s="13"/>
      <c r="H767" s="13"/>
      <c r="I767" s="14"/>
    </row>
    <row r="768">
      <c r="F768" s="13"/>
      <c r="G768" s="13"/>
      <c r="H768" s="13"/>
      <c r="I768" s="14"/>
    </row>
    <row r="769">
      <c r="F769" s="13"/>
      <c r="G769" s="13"/>
      <c r="H769" s="13"/>
      <c r="I769" s="14"/>
    </row>
    <row r="770">
      <c r="F770" s="13"/>
      <c r="G770" s="13"/>
      <c r="H770" s="13"/>
      <c r="I770" s="14"/>
    </row>
    <row r="771">
      <c r="F771" s="13"/>
      <c r="G771" s="13"/>
      <c r="H771" s="13"/>
      <c r="I771" s="14"/>
    </row>
    <row r="772">
      <c r="F772" s="13"/>
      <c r="G772" s="13"/>
      <c r="H772" s="13"/>
      <c r="I772" s="14"/>
    </row>
    <row r="773">
      <c r="F773" s="13"/>
      <c r="G773" s="13"/>
      <c r="H773" s="13"/>
      <c r="I773" s="14"/>
    </row>
    <row r="774">
      <c r="F774" s="13"/>
      <c r="G774" s="13"/>
      <c r="H774" s="13"/>
      <c r="I774" s="14"/>
    </row>
    <row r="775">
      <c r="F775" s="13"/>
      <c r="G775" s="13"/>
      <c r="H775" s="13"/>
      <c r="I775" s="14"/>
    </row>
    <row r="776">
      <c r="F776" s="13"/>
      <c r="G776" s="13"/>
      <c r="H776" s="13"/>
      <c r="I776" s="14"/>
    </row>
    <row r="777">
      <c r="F777" s="13"/>
      <c r="G777" s="13"/>
      <c r="H777" s="13"/>
      <c r="I777" s="14"/>
    </row>
    <row r="778">
      <c r="F778" s="13"/>
      <c r="G778" s="13"/>
      <c r="H778" s="13"/>
      <c r="I778" s="14"/>
    </row>
    <row r="779">
      <c r="F779" s="13"/>
      <c r="G779" s="13"/>
      <c r="H779" s="13"/>
      <c r="I779" s="14"/>
    </row>
    <row r="780">
      <c r="F780" s="13"/>
      <c r="G780" s="13"/>
      <c r="H780" s="13"/>
      <c r="I780" s="14"/>
    </row>
    <row r="781">
      <c r="F781" s="13"/>
      <c r="G781" s="13"/>
      <c r="H781" s="13"/>
      <c r="I781" s="14"/>
    </row>
    <row r="782">
      <c r="F782" s="13"/>
      <c r="G782" s="13"/>
      <c r="H782" s="13"/>
      <c r="I782" s="14"/>
    </row>
    <row r="783">
      <c r="F783" s="13"/>
      <c r="G783" s="13"/>
      <c r="H783" s="13"/>
      <c r="I783" s="14"/>
    </row>
    <row r="784">
      <c r="F784" s="13"/>
      <c r="G784" s="13"/>
      <c r="H784" s="13"/>
      <c r="I784" s="14"/>
    </row>
    <row r="785">
      <c r="F785" s="13"/>
      <c r="G785" s="13"/>
      <c r="H785" s="13"/>
      <c r="I785" s="14"/>
    </row>
    <row r="786">
      <c r="F786" s="13"/>
      <c r="G786" s="13"/>
      <c r="H786" s="13"/>
      <c r="I786" s="14"/>
    </row>
    <row r="787">
      <c r="F787" s="13"/>
      <c r="G787" s="13"/>
      <c r="H787" s="13"/>
      <c r="I787" s="14"/>
    </row>
    <row r="788">
      <c r="F788" s="13"/>
      <c r="G788" s="13"/>
      <c r="H788" s="13"/>
      <c r="I788" s="14"/>
    </row>
    <row r="789">
      <c r="F789" s="13"/>
      <c r="G789" s="13"/>
      <c r="H789" s="13"/>
      <c r="I789" s="14"/>
    </row>
    <row r="790">
      <c r="F790" s="13"/>
      <c r="G790" s="13"/>
      <c r="H790" s="13"/>
      <c r="I790" s="14"/>
    </row>
    <row r="791">
      <c r="F791" s="13"/>
      <c r="G791" s="13"/>
      <c r="H791" s="13"/>
      <c r="I791" s="14"/>
    </row>
    <row r="792">
      <c r="F792" s="13"/>
      <c r="G792" s="13"/>
      <c r="H792" s="13"/>
      <c r="I792" s="14"/>
    </row>
    <row r="793">
      <c r="F793" s="13"/>
      <c r="G793" s="13"/>
      <c r="H793" s="13"/>
      <c r="I793" s="14"/>
    </row>
    <row r="794">
      <c r="F794" s="13"/>
      <c r="G794" s="13"/>
      <c r="H794" s="13"/>
      <c r="I794" s="14"/>
    </row>
    <row r="795">
      <c r="F795" s="13"/>
      <c r="G795" s="13"/>
      <c r="H795" s="13"/>
      <c r="I795" s="14"/>
    </row>
    <row r="796">
      <c r="F796" s="13"/>
      <c r="G796" s="13"/>
      <c r="H796" s="13"/>
      <c r="I796" s="14"/>
    </row>
    <row r="797">
      <c r="F797" s="13"/>
      <c r="G797" s="13"/>
      <c r="H797" s="13"/>
      <c r="I797" s="14"/>
    </row>
    <row r="798">
      <c r="F798" s="13"/>
      <c r="G798" s="13"/>
      <c r="H798" s="13"/>
      <c r="I798" s="14"/>
    </row>
    <row r="799">
      <c r="F799" s="13"/>
      <c r="G799" s="13"/>
      <c r="H799" s="13"/>
      <c r="I799" s="14"/>
    </row>
    <row r="800">
      <c r="F800" s="13"/>
      <c r="G800" s="13"/>
      <c r="H800" s="13"/>
      <c r="I800" s="14"/>
    </row>
    <row r="801">
      <c r="F801" s="13"/>
      <c r="G801" s="13"/>
      <c r="H801" s="13"/>
      <c r="I801" s="14"/>
    </row>
    <row r="802">
      <c r="F802" s="13"/>
      <c r="G802" s="13"/>
      <c r="H802" s="13"/>
      <c r="I802" s="14"/>
    </row>
    <row r="803">
      <c r="F803" s="13"/>
      <c r="G803" s="13"/>
      <c r="H803" s="13"/>
      <c r="I803" s="14"/>
    </row>
    <row r="804">
      <c r="F804" s="13"/>
      <c r="G804" s="13"/>
      <c r="H804" s="13"/>
      <c r="I804" s="14"/>
    </row>
    <row r="805">
      <c r="F805" s="13"/>
      <c r="G805" s="13"/>
      <c r="H805" s="13"/>
      <c r="I805" s="14"/>
    </row>
    <row r="806">
      <c r="F806" s="13"/>
      <c r="G806" s="13"/>
      <c r="H806" s="13"/>
      <c r="I806" s="14"/>
    </row>
    <row r="807">
      <c r="F807" s="13"/>
      <c r="G807" s="13"/>
      <c r="H807" s="13"/>
      <c r="I807" s="14"/>
    </row>
    <row r="808">
      <c r="F808" s="13"/>
      <c r="G808" s="13"/>
      <c r="H808" s="13"/>
      <c r="I808" s="14"/>
    </row>
    <row r="809">
      <c r="F809" s="13"/>
      <c r="G809" s="13"/>
      <c r="H809" s="13"/>
      <c r="I809" s="14"/>
    </row>
    <row r="810">
      <c r="F810" s="13"/>
      <c r="G810" s="13"/>
      <c r="H810" s="13"/>
      <c r="I810" s="14"/>
    </row>
    <row r="811">
      <c r="F811" s="13"/>
      <c r="G811" s="13"/>
      <c r="H811" s="13"/>
      <c r="I811" s="14"/>
    </row>
    <row r="812">
      <c r="F812" s="13"/>
      <c r="G812" s="13"/>
      <c r="H812" s="13"/>
      <c r="I812" s="14"/>
    </row>
    <row r="813">
      <c r="F813" s="13"/>
      <c r="G813" s="13"/>
      <c r="H813" s="13"/>
      <c r="I813" s="14"/>
    </row>
    <row r="814">
      <c r="F814" s="13"/>
      <c r="G814" s="13"/>
      <c r="H814" s="13"/>
      <c r="I814" s="14"/>
    </row>
    <row r="815">
      <c r="F815" s="13"/>
      <c r="G815" s="13"/>
      <c r="H815" s="13"/>
      <c r="I815" s="14"/>
    </row>
    <row r="816">
      <c r="F816" s="13"/>
      <c r="G816" s="13"/>
      <c r="H816" s="13"/>
      <c r="I816" s="14"/>
    </row>
    <row r="817">
      <c r="F817" s="13"/>
      <c r="G817" s="13"/>
      <c r="H817" s="13"/>
      <c r="I817" s="14"/>
    </row>
    <row r="818">
      <c r="F818" s="13"/>
      <c r="G818" s="13"/>
      <c r="H818" s="13"/>
      <c r="I818" s="14"/>
    </row>
    <row r="819">
      <c r="F819" s="13"/>
      <c r="G819" s="13"/>
      <c r="H819" s="13"/>
      <c r="I819" s="14"/>
    </row>
    <row r="820">
      <c r="F820" s="13"/>
      <c r="G820" s="13"/>
      <c r="H820" s="13"/>
      <c r="I820" s="14"/>
    </row>
    <row r="821">
      <c r="F821" s="13"/>
      <c r="G821" s="13"/>
      <c r="H821" s="13"/>
      <c r="I821" s="14"/>
    </row>
    <row r="822">
      <c r="F822" s="13"/>
      <c r="G822" s="13"/>
      <c r="H822" s="13"/>
      <c r="I822" s="14"/>
    </row>
    <row r="823">
      <c r="F823" s="13"/>
      <c r="G823" s="13"/>
      <c r="H823" s="13"/>
      <c r="I823" s="14"/>
    </row>
    <row r="824">
      <c r="F824" s="13"/>
      <c r="G824" s="13"/>
      <c r="H824" s="13"/>
      <c r="I824" s="14"/>
    </row>
    <row r="825">
      <c r="F825" s="13"/>
      <c r="G825" s="13"/>
      <c r="H825" s="13"/>
      <c r="I825" s="14"/>
    </row>
    <row r="826">
      <c r="F826" s="13"/>
      <c r="G826" s="13"/>
      <c r="H826" s="13"/>
      <c r="I826" s="14"/>
    </row>
    <row r="827">
      <c r="F827" s="13"/>
      <c r="G827" s="13"/>
      <c r="H827" s="13"/>
      <c r="I827" s="14"/>
    </row>
    <row r="828">
      <c r="F828" s="13"/>
      <c r="G828" s="13"/>
      <c r="H828" s="13"/>
      <c r="I828" s="14"/>
    </row>
    <row r="829">
      <c r="F829" s="13"/>
      <c r="G829" s="13"/>
      <c r="H829" s="13"/>
      <c r="I829" s="14"/>
    </row>
    <row r="830">
      <c r="F830" s="13"/>
      <c r="G830" s="13"/>
      <c r="H830" s="13"/>
      <c r="I830" s="14"/>
    </row>
    <row r="831">
      <c r="F831" s="13"/>
      <c r="G831" s="13"/>
      <c r="H831" s="13"/>
      <c r="I831" s="14"/>
    </row>
    <row r="832">
      <c r="F832" s="13"/>
      <c r="G832" s="13"/>
      <c r="H832" s="13"/>
      <c r="I832" s="14"/>
    </row>
    <row r="833">
      <c r="F833" s="13"/>
      <c r="G833" s="13"/>
      <c r="H833" s="13"/>
      <c r="I833" s="14"/>
    </row>
    <row r="834">
      <c r="F834" s="13"/>
      <c r="G834" s="13"/>
      <c r="H834" s="13"/>
      <c r="I834" s="14"/>
    </row>
    <row r="835">
      <c r="F835" s="13"/>
      <c r="G835" s="13"/>
      <c r="H835" s="13"/>
      <c r="I835" s="14"/>
    </row>
    <row r="836">
      <c r="F836" s="13"/>
      <c r="G836" s="13"/>
      <c r="H836" s="13"/>
      <c r="I836" s="14"/>
    </row>
    <row r="837">
      <c r="F837" s="13"/>
      <c r="G837" s="13"/>
      <c r="H837" s="13"/>
      <c r="I837" s="14"/>
    </row>
    <row r="838">
      <c r="F838" s="13"/>
      <c r="G838" s="13"/>
      <c r="H838" s="13"/>
      <c r="I838" s="14"/>
    </row>
    <row r="839">
      <c r="F839" s="13"/>
      <c r="G839" s="13"/>
      <c r="H839" s="13"/>
      <c r="I839" s="14"/>
    </row>
    <row r="840">
      <c r="F840" s="13"/>
      <c r="G840" s="13"/>
      <c r="H840" s="13"/>
      <c r="I840" s="14"/>
    </row>
    <row r="841">
      <c r="F841" s="13"/>
      <c r="G841" s="13"/>
      <c r="H841" s="13"/>
      <c r="I841" s="14"/>
    </row>
    <row r="842">
      <c r="F842" s="13"/>
      <c r="G842" s="13"/>
      <c r="H842" s="13"/>
      <c r="I842" s="14"/>
    </row>
    <row r="843">
      <c r="F843" s="13"/>
      <c r="G843" s="13"/>
      <c r="H843" s="13"/>
      <c r="I843" s="14"/>
    </row>
    <row r="844">
      <c r="F844" s="13"/>
      <c r="G844" s="13"/>
      <c r="H844" s="13"/>
      <c r="I844" s="14"/>
    </row>
    <row r="845">
      <c r="F845" s="13"/>
      <c r="G845" s="13"/>
      <c r="H845" s="13"/>
      <c r="I845" s="14"/>
    </row>
    <row r="846">
      <c r="F846" s="13"/>
      <c r="G846" s="13"/>
      <c r="H846" s="13"/>
      <c r="I846" s="14"/>
    </row>
    <row r="847">
      <c r="F847" s="13"/>
      <c r="G847" s="13"/>
      <c r="H847" s="13"/>
      <c r="I847" s="14"/>
    </row>
    <row r="848">
      <c r="F848" s="13"/>
      <c r="G848" s="13"/>
      <c r="H848" s="13"/>
      <c r="I848" s="14"/>
    </row>
    <row r="849">
      <c r="F849" s="13"/>
      <c r="G849" s="13"/>
      <c r="H849" s="13"/>
      <c r="I849" s="14"/>
    </row>
    <row r="850">
      <c r="F850" s="13"/>
      <c r="G850" s="13"/>
      <c r="H850" s="13"/>
      <c r="I850" s="14"/>
    </row>
    <row r="851">
      <c r="F851" s="13"/>
      <c r="G851" s="13"/>
      <c r="H851" s="13"/>
      <c r="I851" s="14"/>
    </row>
    <row r="852">
      <c r="F852" s="13"/>
      <c r="G852" s="13"/>
      <c r="H852" s="13"/>
      <c r="I852" s="14"/>
    </row>
    <row r="853">
      <c r="F853" s="13"/>
      <c r="G853" s="13"/>
      <c r="H853" s="13"/>
      <c r="I853" s="14"/>
    </row>
    <row r="854">
      <c r="F854" s="13"/>
      <c r="G854" s="13"/>
      <c r="H854" s="13"/>
      <c r="I854" s="14"/>
    </row>
    <row r="855">
      <c r="F855" s="13"/>
      <c r="G855" s="13"/>
      <c r="H855" s="13"/>
      <c r="I855" s="14"/>
    </row>
    <row r="856">
      <c r="F856" s="13"/>
      <c r="G856" s="13"/>
      <c r="H856" s="13"/>
      <c r="I856" s="14"/>
    </row>
    <row r="857">
      <c r="F857" s="13"/>
      <c r="G857" s="13"/>
      <c r="H857" s="13"/>
      <c r="I857" s="14"/>
    </row>
    <row r="858">
      <c r="F858" s="13"/>
      <c r="G858" s="13"/>
      <c r="H858" s="13"/>
      <c r="I858" s="14"/>
    </row>
    <row r="859">
      <c r="F859" s="13"/>
      <c r="G859" s="13"/>
      <c r="H859" s="13"/>
      <c r="I859" s="14"/>
    </row>
    <row r="860">
      <c r="F860" s="13"/>
      <c r="G860" s="13"/>
      <c r="H860" s="13"/>
      <c r="I860" s="14"/>
    </row>
    <row r="861">
      <c r="F861" s="13"/>
      <c r="G861" s="13"/>
      <c r="H861" s="13"/>
      <c r="I861" s="14"/>
    </row>
    <row r="862">
      <c r="F862" s="13"/>
      <c r="G862" s="13"/>
      <c r="H862" s="13"/>
      <c r="I862" s="14"/>
    </row>
    <row r="863">
      <c r="F863" s="13"/>
      <c r="G863" s="13"/>
      <c r="H863" s="13"/>
      <c r="I863" s="14"/>
    </row>
    <row r="864">
      <c r="F864" s="13"/>
      <c r="G864" s="13"/>
      <c r="H864" s="13"/>
      <c r="I864" s="14"/>
    </row>
    <row r="865">
      <c r="F865" s="13"/>
      <c r="G865" s="13"/>
      <c r="H865" s="13"/>
      <c r="I865" s="14"/>
    </row>
    <row r="866">
      <c r="F866" s="13"/>
      <c r="G866" s="13"/>
      <c r="H866" s="13"/>
      <c r="I866" s="14"/>
    </row>
    <row r="867">
      <c r="F867" s="13"/>
      <c r="G867" s="13"/>
      <c r="H867" s="13"/>
      <c r="I867" s="14"/>
    </row>
    <row r="868">
      <c r="F868" s="13"/>
      <c r="G868" s="13"/>
      <c r="H868" s="13"/>
      <c r="I868" s="14"/>
    </row>
    <row r="869">
      <c r="F869" s="13"/>
      <c r="G869" s="13"/>
      <c r="H869" s="13"/>
      <c r="I869" s="14"/>
    </row>
    <row r="870">
      <c r="F870" s="13"/>
      <c r="G870" s="13"/>
      <c r="H870" s="13"/>
      <c r="I870" s="14"/>
    </row>
    <row r="871">
      <c r="F871" s="13"/>
      <c r="G871" s="13"/>
      <c r="H871" s="13"/>
      <c r="I871" s="14"/>
    </row>
    <row r="872">
      <c r="F872" s="13"/>
      <c r="G872" s="13"/>
      <c r="H872" s="13"/>
      <c r="I872" s="14"/>
    </row>
    <row r="873">
      <c r="F873" s="13"/>
      <c r="G873" s="13"/>
      <c r="H873" s="13"/>
      <c r="I873" s="14"/>
    </row>
    <row r="874">
      <c r="F874" s="13"/>
      <c r="G874" s="13"/>
      <c r="H874" s="13"/>
      <c r="I874" s="14"/>
    </row>
    <row r="875">
      <c r="F875" s="13"/>
      <c r="G875" s="13"/>
      <c r="H875" s="13"/>
      <c r="I875" s="14"/>
    </row>
    <row r="876">
      <c r="F876" s="13"/>
      <c r="G876" s="13"/>
      <c r="H876" s="13"/>
      <c r="I876" s="14"/>
    </row>
    <row r="877">
      <c r="F877" s="13"/>
      <c r="G877" s="13"/>
      <c r="H877" s="13"/>
      <c r="I877" s="14"/>
    </row>
    <row r="878">
      <c r="F878" s="13"/>
      <c r="G878" s="13"/>
      <c r="H878" s="13"/>
      <c r="I878" s="14"/>
    </row>
    <row r="879">
      <c r="F879" s="13"/>
      <c r="G879" s="13"/>
      <c r="H879" s="13"/>
      <c r="I879" s="14"/>
    </row>
    <row r="880">
      <c r="F880" s="13"/>
      <c r="G880" s="13"/>
      <c r="H880" s="13"/>
      <c r="I880" s="14"/>
    </row>
    <row r="881">
      <c r="F881" s="13"/>
      <c r="G881" s="13"/>
      <c r="H881" s="13"/>
      <c r="I881" s="14"/>
    </row>
    <row r="882">
      <c r="F882" s="13"/>
      <c r="G882" s="13"/>
      <c r="H882" s="13"/>
      <c r="I882" s="14"/>
    </row>
    <row r="883">
      <c r="F883" s="13"/>
      <c r="G883" s="13"/>
      <c r="H883" s="13"/>
      <c r="I883" s="14"/>
    </row>
    <row r="884">
      <c r="F884" s="13"/>
      <c r="G884" s="13"/>
      <c r="H884" s="13"/>
      <c r="I884" s="14"/>
    </row>
    <row r="885">
      <c r="F885" s="13"/>
      <c r="G885" s="13"/>
      <c r="H885" s="13"/>
      <c r="I885" s="14"/>
    </row>
    <row r="886">
      <c r="F886" s="13"/>
      <c r="G886" s="13"/>
      <c r="H886" s="13"/>
      <c r="I886" s="14"/>
    </row>
    <row r="887">
      <c r="F887" s="13"/>
      <c r="G887" s="13"/>
      <c r="H887" s="13"/>
      <c r="I887" s="14"/>
    </row>
    <row r="888">
      <c r="F888" s="13"/>
      <c r="G888" s="13"/>
      <c r="H888" s="13"/>
      <c r="I888" s="14"/>
    </row>
    <row r="889">
      <c r="F889" s="13"/>
      <c r="G889" s="13"/>
      <c r="H889" s="13"/>
      <c r="I889" s="14"/>
    </row>
    <row r="890">
      <c r="F890" s="13"/>
      <c r="G890" s="13"/>
      <c r="H890" s="13"/>
      <c r="I890" s="14"/>
    </row>
    <row r="891">
      <c r="F891" s="13"/>
      <c r="G891" s="13"/>
      <c r="H891" s="13"/>
      <c r="I891" s="14"/>
    </row>
    <row r="892">
      <c r="F892" s="13"/>
      <c r="G892" s="13"/>
      <c r="H892" s="13"/>
      <c r="I892" s="14"/>
    </row>
    <row r="893">
      <c r="F893" s="13"/>
      <c r="G893" s="13"/>
      <c r="H893" s="13"/>
      <c r="I893" s="14"/>
    </row>
    <row r="894">
      <c r="F894" s="13"/>
      <c r="G894" s="13"/>
      <c r="H894" s="13"/>
      <c r="I894" s="14"/>
    </row>
    <row r="895">
      <c r="F895" s="13"/>
      <c r="G895" s="13"/>
      <c r="H895" s="13"/>
      <c r="I895" s="14"/>
    </row>
    <row r="896">
      <c r="F896" s="13"/>
      <c r="G896" s="13"/>
      <c r="H896" s="13"/>
      <c r="I896" s="14"/>
    </row>
    <row r="897">
      <c r="F897" s="13"/>
      <c r="G897" s="13"/>
      <c r="H897" s="13"/>
      <c r="I897" s="14"/>
    </row>
    <row r="898">
      <c r="F898" s="13"/>
      <c r="G898" s="13"/>
      <c r="H898" s="13"/>
      <c r="I898" s="14"/>
    </row>
    <row r="899">
      <c r="F899" s="13"/>
      <c r="G899" s="13"/>
      <c r="H899" s="13"/>
      <c r="I899" s="14"/>
    </row>
    <row r="900">
      <c r="F900" s="13"/>
      <c r="G900" s="13"/>
      <c r="H900" s="13"/>
      <c r="I900" s="14"/>
    </row>
    <row r="901">
      <c r="F901" s="13"/>
      <c r="G901" s="13"/>
      <c r="H901" s="13"/>
      <c r="I901" s="14"/>
    </row>
    <row r="902">
      <c r="F902" s="13"/>
      <c r="G902" s="13"/>
      <c r="H902" s="13"/>
      <c r="I902" s="14"/>
    </row>
    <row r="903">
      <c r="F903" s="13"/>
      <c r="G903" s="13"/>
      <c r="H903" s="13"/>
      <c r="I903" s="14"/>
    </row>
    <row r="904">
      <c r="F904" s="13"/>
      <c r="G904" s="13"/>
      <c r="H904" s="13"/>
      <c r="I904" s="14"/>
    </row>
    <row r="905">
      <c r="F905" s="13"/>
      <c r="G905" s="13"/>
      <c r="H905" s="13"/>
      <c r="I905" s="14"/>
    </row>
    <row r="906">
      <c r="F906" s="13"/>
      <c r="G906" s="13"/>
      <c r="H906" s="13"/>
      <c r="I906" s="14"/>
    </row>
    <row r="907">
      <c r="F907" s="13"/>
      <c r="G907" s="13"/>
      <c r="H907" s="13"/>
      <c r="I907" s="14"/>
    </row>
    <row r="908">
      <c r="F908" s="13"/>
      <c r="G908" s="13"/>
      <c r="H908" s="13"/>
      <c r="I908" s="14"/>
    </row>
    <row r="909">
      <c r="F909" s="13"/>
      <c r="G909" s="13"/>
      <c r="H909" s="13"/>
      <c r="I909" s="14"/>
    </row>
    <row r="910">
      <c r="F910" s="13"/>
      <c r="G910" s="13"/>
      <c r="H910" s="13"/>
      <c r="I910" s="14"/>
    </row>
    <row r="911">
      <c r="F911" s="13"/>
      <c r="G911" s="13"/>
      <c r="H911" s="13"/>
      <c r="I911" s="14"/>
    </row>
    <row r="912">
      <c r="F912" s="13"/>
      <c r="G912" s="13"/>
      <c r="H912" s="13"/>
      <c r="I912" s="14"/>
    </row>
    <row r="913">
      <c r="F913" s="13"/>
      <c r="G913" s="13"/>
      <c r="H913" s="13"/>
      <c r="I913" s="14"/>
    </row>
    <row r="914">
      <c r="F914" s="13"/>
      <c r="G914" s="13"/>
      <c r="H914" s="13"/>
      <c r="I914" s="14"/>
    </row>
    <row r="915">
      <c r="F915" s="13"/>
      <c r="G915" s="13"/>
      <c r="H915" s="13"/>
      <c r="I915" s="14"/>
    </row>
    <row r="916">
      <c r="F916" s="13"/>
      <c r="G916" s="13"/>
      <c r="H916" s="13"/>
      <c r="I916" s="14"/>
    </row>
    <row r="917">
      <c r="F917" s="13"/>
      <c r="G917" s="13"/>
      <c r="H917" s="13"/>
      <c r="I917" s="14"/>
    </row>
    <row r="918">
      <c r="F918" s="13"/>
      <c r="G918" s="13"/>
      <c r="H918" s="13"/>
      <c r="I918" s="14"/>
    </row>
    <row r="919">
      <c r="F919" s="13"/>
      <c r="G919" s="13"/>
      <c r="H919" s="13"/>
      <c r="I919" s="14"/>
    </row>
    <row r="920">
      <c r="F920" s="13"/>
      <c r="G920" s="13"/>
      <c r="H920" s="13"/>
      <c r="I920" s="14"/>
    </row>
    <row r="921">
      <c r="F921" s="13"/>
      <c r="G921" s="13"/>
      <c r="H921" s="13"/>
      <c r="I921" s="14"/>
    </row>
    <row r="922">
      <c r="F922" s="13"/>
      <c r="G922" s="13"/>
      <c r="H922" s="13"/>
      <c r="I922" s="14"/>
    </row>
    <row r="923">
      <c r="F923" s="13"/>
      <c r="G923" s="13"/>
      <c r="H923" s="13"/>
      <c r="I923" s="14"/>
    </row>
    <row r="924">
      <c r="F924" s="13"/>
      <c r="G924" s="13"/>
      <c r="H924" s="13"/>
      <c r="I924" s="14"/>
    </row>
    <row r="925">
      <c r="F925" s="13"/>
      <c r="G925" s="13"/>
      <c r="H925" s="13"/>
      <c r="I925" s="14"/>
    </row>
    <row r="926">
      <c r="F926" s="13"/>
      <c r="G926" s="13"/>
      <c r="H926" s="13"/>
      <c r="I926" s="14"/>
    </row>
    <row r="927">
      <c r="F927" s="13"/>
      <c r="G927" s="13"/>
      <c r="H927" s="13"/>
      <c r="I927" s="14"/>
    </row>
    <row r="928">
      <c r="F928" s="13"/>
      <c r="G928" s="13"/>
      <c r="H928" s="13"/>
      <c r="I928" s="14"/>
    </row>
    <row r="929">
      <c r="F929" s="13"/>
      <c r="G929" s="13"/>
      <c r="H929" s="13"/>
      <c r="I929" s="14"/>
    </row>
    <row r="930">
      <c r="F930" s="13"/>
      <c r="G930" s="13"/>
      <c r="H930" s="13"/>
      <c r="I930" s="14"/>
    </row>
    <row r="931">
      <c r="F931" s="13"/>
      <c r="G931" s="13"/>
      <c r="H931" s="13"/>
      <c r="I931" s="14"/>
    </row>
    <row r="932">
      <c r="F932" s="13"/>
      <c r="G932" s="13"/>
      <c r="H932" s="13"/>
      <c r="I932" s="14"/>
    </row>
    <row r="933">
      <c r="F933" s="13"/>
      <c r="G933" s="13"/>
      <c r="H933" s="13"/>
      <c r="I933" s="14"/>
    </row>
    <row r="934">
      <c r="F934" s="13"/>
      <c r="G934" s="13"/>
      <c r="H934" s="13"/>
      <c r="I934" s="14"/>
    </row>
    <row r="935">
      <c r="F935" s="13"/>
      <c r="G935" s="13"/>
      <c r="H935" s="13"/>
      <c r="I935" s="14"/>
    </row>
    <row r="936">
      <c r="F936" s="13"/>
      <c r="G936" s="13"/>
      <c r="H936" s="13"/>
      <c r="I936" s="14"/>
    </row>
    <row r="937">
      <c r="F937" s="13"/>
      <c r="G937" s="13"/>
      <c r="H937" s="13"/>
      <c r="I937" s="14"/>
    </row>
    <row r="938">
      <c r="F938" s="13"/>
      <c r="G938" s="13"/>
      <c r="H938" s="13"/>
      <c r="I938" s="14"/>
    </row>
    <row r="939">
      <c r="F939" s="13"/>
      <c r="G939" s="13"/>
      <c r="H939" s="13"/>
      <c r="I939" s="14"/>
    </row>
    <row r="940">
      <c r="F940" s="13"/>
      <c r="G940" s="13"/>
      <c r="H940" s="13"/>
      <c r="I940" s="14"/>
    </row>
    <row r="941">
      <c r="F941" s="13"/>
      <c r="G941" s="13"/>
      <c r="H941" s="13"/>
      <c r="I941" s="14"/>
    </row>
    <row r="942">
      <c r="F942" s="13"/>
      <c r="G942" s="13"/>
      <c r="H942" s="13"/>
      <c r="I942" s="14"/>
    </row>
    <row r="943">
      <c r="F943" s="13"/>
      <c r="G943" s="13"/>
      <c r="H943" s="13"/>
      <c r="I943" s="14"/>
    </row>
    <row r="944">
      <c r="F944" s="13"/>
      <c r="G944" s="13"/>
      <c r="H944" s="13"/>
      <c r="I944" s="14"/>
    </row>
    <row r="945">
      <c r="F945" s="13"/>
      <c r="G945" s="13"/>
      <c r="H945" s="13"/>
      <c r="I945" s="14"/>
    </row>
    <row r="946">
      <c r="F946" s="13"/>
      <c r="G946" s="13"/>
      <c r="H946" s="13"/>
      <c r="I946" s="14"/>
    </row>
    <row r="947">
      <c r="F947" s="13"/>
      <c r="G947" s="13"/>
      <c r="H947" s="13"/>
      <c r="I947" s="14"/>
    </row>
    <row r="948">
      <c r="F948" s="13"/>
      <c r="G948" s="13"/>
      <c r="H948" s="13"/>
      <c r="I948" s="14"/>
    </row>
    <row r="949">
      <c r="F949" s="13"/>
      <c r="G949" s="13"/>
      <c r="H949" s="13"/>
      <c r="I949" s="14"/>
    </row>
    <row r="950">
      <c r="F950" s="13"/>
      <c r="G950" s="13"/>
      <c r="H950" s="13"/>
      <c r="I950" s="14"/>
    </row>
    <row r="951">
      <c r="F951" s="13"/>
      <c r="G951" s="13"/>
      <c r="H951" s="13"/>
      <c r="I951" s="14"/>
    </row>
    <row r="952">
      <c r="F952" s="13"/>
      <c r="G952" s="13"/>
      <c r="H952" s="13"/>
      <c r="I952" s="14"/>
    </row>
    <row r="953">
      <c r="F953" s="13"/>
      <c r="G953" s="13"/>
      <c r="H953" s="13"/>
      <c r="I953" s="14"/>
    </row>
    <row r="954">
      <c r="F954" s="13"/>
      <c r="G954" s="13"/>
      <c r="H954" s="13"/>
      <c r="I954" s="14"/>
    </row>
    <row r="955">
      <c r="F955" s="13"/>
      <c r="G955" s="13"/>
      <c r="H955" s="13"/>
      <c r="I955" s="14"/>
    </row>
    <row r="956">
      <c r="F956" s="13"/>
      <c r="G956" s="13"/>
      <c r="H956" s="13"/>
      <c r="I956" s="14"/>
    </row>
    <row r="957">
      <c r="F957" s="13"/>
      <c r="G957" s="13"/>
      <c r="H957" s="13"/>
      <c r="I957" s="14"/>
    </row>
    <row r="958">
      <c r="F958" s="13"/>
      <c r="G958" s="13"/>
      <c r="H958" s="13"/>
      <c r="I958" s="14"/>
    </row>
    <row r="959">
      <c r="F959" s="13"/>
      <c r="G959" s="13"/>
      <c r="H959" s="13"/>
      <c r="I959" s="14"/>
    </row>
    <row r="960">
      <c r="F960" s="13"/>
      <c r="G960" s="13"/>
      <c r="H960" s="13"/>
      <c r="I960" s="14"/>
    </row>
    <row r="961">
      <c r="F961" s="13"/>
      <c r="G961" s="13"/>
      <c r="H961" s="13"/>
      <c r="I961" s="14"/>
    </row>
    <row r="962">
      <c r="F962" s="13"/>
      <c r="G962" s="13"/>
      <c r="H962" s="13"/>
      <c r="I962" s="14"/>
    </row>
    <row r="963">
      <c r="F963" s="13"/>
      <c r="G963" s="13"/>
      <c r="H963" s="13"/>
      <c r="I963" s="14"/>
    </row>
    <row r="964">
      <c r="F964" s="13"/>
      <c r="G964" s="13"/>
      <c r="H964" s="13"/>
      <c r="I964" s="14"/>
    </row>
    <row r="965">
      <c r="F965" s="13"/>
      <c r="G965" s="13"/>
      <c r="H965" s="13"/>
      <c r="I965" s="14"/>
    </row>
    <row r="966">
      <c r="F966" s="13"/>
      <c r="G966" s="13"/>
      <c r="H966" s="13"/>
      <c r="I966" s="14"/>
    </row>
    <row r="967">
      <c r="F967" s="13"/>
      <c r="G967" s="13"/>
      <c r="H967" s="13"/>
      <c r="I967" s="14"/>
    </row>
    <row r="968">
      <c r="F968" s="13"/>
      <c r="G968" s="13"/>
      <c r="H968" s="13"/>
      <c r="I968" s="14"/>
    </row>
    <row r="969">
      <c r="F969" s="13"/>
      <c r="G969" s="13"/>
      <c r="H969" s="13"/>
      <c r="I969" s="14"/>
    </row>
    <row r="970">
      <c r="F970" s="13"/>
      <c r="G970" s="13"/>
      <c r="H970" s="13"/>
      <c r="I970" s="14"/>
    </row>
    <row r="971">
      <c r="F971" s="13"/>
      <c r="G971" s="13"/>
      <c r="H971" s="13"/>
      <c r="I971" s="14"/>
    </row>
    <row r="972">
      <c r="F972" s="13"/>
      <c r="G972" s="13"/>
      <c r="H972" s="13"/>
      <c r="I972" s="14"/>
    </row>
    <row r="973">
      <c r="F973" s="13"/>
      <c r="G973" s="13"/>
      <c r="H973" s="13"/>
      <c r="I973" s="14"/>
    </row>
    <row r="974">
      <c r="F974" s="13"/>
      <c r="G974" s="13"/>
      <c r="H974" s="13"/>
      <c r="I974" s="14"/>
    </row>
    <row r="975">
      <c r="F975" s="13"/>
      <c r="G975" s="13"/>
      <c r="H975" s="13"/>
      <c r="I975" s="14"/>
    </row>
    <row r="976">
      <c r="F976" s="13"/>
      <c r="G976" s="13"/>
      <c r="H976" s="13"/>
      <c r="I976" s="14"/>
    </row>
    <row r="977">
      <c r="F977" s="13"/>
      <c r="G977" s="13"/>
      <c r="H977" s="13"/>
      <c r="I977" s="14"/>
    </row>
    <row r="978">
      <c r="F978" s="13"/>
      <c r="G978" s="13"/>
      <c r="H978" s="13"/>
      <c r="I978" s="14"/>
    </row>
    <row r="979">
      <c r="F979" s="13"/>
      <c r="G979" s="13"/>
      <c r="H979" s="13"/>
      <c r="I979" s="14"/>
    </row>
    <row r="980">
      <c r="F980" s="13"/>
      <c r="G980" s="13"/>
      <c r="H980" s="13"/>
      <c r="I980" s="14"/>
    </row>
    <row r="981">
      <c r="F981" s="13"/>
      <c r="G981" s="13"/>
      <c r="H981" s="13"/>
      <c r="I981" s="14"/>
    </row>
    <row r="982">
      <c r="F982" s="13"/>
      <c r="G982" s="13"/>
      <c r="H982" s="13"/>
      <c r="I982" s="14"/>
    </row>
    <row r="983">
      <c r="F983" s="13"/>
      <c r="G983" s="13"/>
      <c r="H983" s="13"/>
      <c r="I983" s="14"/>
    </row>
    <row r="984">
      <c r="F984" s="13"/>
      <c r="G984" s="13"/>
      <c r="H984" s="13"/>
      <c r="I984" s="14"/>
    </row>
    <row r="985">
      <c r="F985" s="13"/>
      <c r="G985" s="13"/>
      <c r="H985" s="13"/>
      <c r="I985" s="14"/>
    </row>
    <row r="986">
      <c r="F986" s="13"/>
      <c r="G986" s="13"/>
      <c r="H986" s="13"/>
      <c r="I986" s="14"/>
    </row>
    <row r="987">
      <c r="F987" s="13"/>
      <c r="G987" s="13"/>
      <c r="H987" s="13"/>
      <c r="I987" s="14"/>
    </row>
    <row r="988">
      <c r="F988" s="13"/>
      <c r="G988" s="13"/>
      <c r="H988" s="13"/>
      <c r="I988" s="14"/>
    </row>
    <row r="989">
      <c r="F989" s="13"/>
      <c r="G989" s="13"/>
      <c r="H989" s="13"/>
      <c r="I989" s="14"/>
    </row>
    <row r="990">
      <c r="F990" s="13"/>
      <c r="G990" s="13"/>
      <c r="H990" s="13"/>
      <c r="I990" s="14"/>
    </row>
    <row r="991">
      <c r="F991" s="13"/>
      <c r="G991" s="13"/>
      <c r="H991" s="13"/>
      <c r="I991" s="14"/>
    </row>
    <row r="992">
      <c r="F992" s="13"/>
      <c r="G992" s="13"/>
      <c r="H992" s="13"/>
      <c r="I992" s="14"/>
    </row>
    <row r="993">
      <c r="F993" s="13"/>
      <c r="G993" s="13"/>
      <c r="H993" s="13"/>
      <c r="I993" s="14"/>
    </row>
    <row r="994">
      <c r="F994" s="13"/>
      <c r="G994" s="13"/>
      <c r="H994" s="13"/>
      <c r="I994" s="14"/>
    </row>
    <row r="995">
      <c r="F995" s="13"/>
      <c r="G995" s="13"/>
      <c r="H995" s="13"/>
      <c r="I995" s="14"/>
    </row>
    <row r="996">
      <c r="F996" s="13"/>
      <c r="G996" s="13"/>
      <c r="H996" s="13"/>
      <c r="I996" s="14"/>
    </row>
    <row r="997">
      <c r="F997" s="13"/>
      <c r="G997" s="13"/>
      <c r="H997" s="13"/>
      <c r="I997" s="14"/>
    </row>
    <row r="998">
      <c r="F998" s="13"/>
      <c r="G998" s="13"/>
      <c r="H998" s="13"/>
      <c r="I998" s="14"/>
    </row>
    <row r="999">
      <c r="F999" s="13"/>
      <c r="G999" s="13"/>
      <c r="H999" s="13"/>
      <c r="I999" s="14"/>
    </row>
    <row r="1000">
      <c r="F1000" s="13"/>
      <c r="G1000" s="13"/>
      <c r="H1000" s="13"/>
      <c r="I1000" s="1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186</v>
      </c>
      <c r="B1" s="4" t="s">
        <v>272</v>
      </c>
    </row>
    <row r="2">
      <c r="A2" s="4">
        <v>29530.0</v>
      </c>
      <c r="B2" s="11">
        <v>45299.0</v>
      </c>
    </row>
    <row r="3">
      <c r="A3" s="4">
        <v>29530.0</v>
      </c>
      <c r="B3" s="11">
        <v>45300.0</v>
      </c>
    </row>
    <row r="4">
      <c r="A4" s="4">
        <v>29530.0</v>
      </c>
      <c r="B4" s="11">
        <v>45301.0</v>
      </c>
    </row>
    <row r="5">
      <c r="A5" s="4">
        <v>29530.0</v>
      </c>
      <c r="B5" s="11">
        <v>45302.0</v>
      </c>
    </row>
    <row r="6">
      <c r="A6" s="4">
        <v>29530.0</v>
      </c>
      <c r="B6" s="11">
        <v>45303.0</v>
      </c>
    </row>
    <row r="7">
      <c r="A7" s="4">
        <v>29530.0</v>
      </c>
      <c r="B7" s="11">
        <v>45304.0</v>
      </c>
    </row>
    <row r="8">
      <c r="A8" s="4">
        <v>29530.0</v>
      </c>
      <c r="B8" s="11">
        <v>45305.0</v>
      </c>
    </row>
    <row r="9">
      <c r="A9" s="4">
        <v>29530.0</v>
      </c>
      <c r="B9" s="11">
        <v>45306.0</v>
      </c>
    </row>
    <row r="10">
      <c r="A10" s="4">
        <v>29530.0</v>
      </c>
      <c r="B10" s="11">
        <v>45307.0</v>
      </c>
    </row>
    <row r="11">
      <c r="A11" s="4">
        <v>29530.0</v>
      </c>
      <c r="B11" s="11">
        <v>45308.0</v>
      </c>
    </row>
    <row r="12">
      <c r="A12" s="4">
        <v>29530.0</v>
      </c>
      <c r="B12" s="11">
        <v>45309.0</v>
      </c>
    </row>
    <row r="13">
      <c r="A13" s="4">
        <v>29530.0</v>
      </c>
      <c r="B13" s="11">
        <v>45310.0</v>
      </c>
    </row>
    <row r="14">
      <c r="A14" s="4">
        <v>29530.0</v>
      </c>
      <c r="B14" s="11">
        <v>45311.0</v>
      </c>
    </row>
    <row r="15">
      <c r="A15" s="4">
        <v>29530.0</v>
      </c>
      <c r="B15" s="11">
        <v>45436.0</v>
      </c>
    </row>
    <row r="16">
      <c r="A16" s="4">
        <v>29530.0</v>
      </c>
      <c r="B16" s="11">
        <v>45437.0</v>
      </c>
    </row>
    <row r="17">
      <c r="A17" s="4">
        <v>29530.0</v>
      </c>
      <c r="B17" s="11">
        <v>45438.0</v>
      </c>
    </row>
    <row r="18">
      <c r="A18" s="4">
        <v>29530.0</v>
      </c>
      <c r="B18" s="11">
        <v>45439.0</v>
      </c>
    </row>
    <row r="19">
      <c r="A19" s="4">
        <v>29530.0</v>
      </c>
      <c r="B19" s="11">
        <v>45440.0</v>
      </c>
    </row>
    <row r="20">
      <c r="A20" s="4">
        <v>29530.0</v>
      </c>
      <c r="B20" s="11">
        <v>45441.0</v>
      </c>
    </row>
    <row r="21">
      <c r="A21" s="4">
        <v>29530.0</v>
      </c>
      <c r="B21" s="11">
        <v>45442.0</v>
      </c>
    </row>
    <row r="22">
      <c r="A22" s="4">
        <v>29530.0</v>
      </c>
      <c r="B22" s="11">
        <v>45443.0</v>
      </c>
    </row>
    <row r="23">
      <c r="A23" s="4">
        <v>29530.0</v>
      </c>
      <c r="B23" s="11">
        <v>45444.0</v>
      </c>
    </row>
    <row r="24">
      <c r="A24" s="4">
        <v>29530.0</v>
      </c>
      <c r="B24" s="11">
        <v>45445.0</v>
      </c>
    </row>
    <row r="25">
      <c r="A25" s="4">
        <v>29530.0</v>
      </c>
      <c r="B25" s="11">
        <v>45446.0</v>
      </c>
    </row>
    <row r="26">
      <c r="A26" s="4">
        <v>29530.0</v>
      </c>
      <c r="B26" s="11">
        <v>45447.0</v>
      </c>
    </row>
    <row r="27">
      <c r="A27" s="4">
        <v>29530.0</v>
      </c>
      <c r="B27" s="11">
        <v>45448.0</v>
      </c>
    </row>
    <row r="28">
      <c r="A28" s="4">
        <v>29530.0</v>
      </c>
      <c r="B28" s="11">
        <v>45449.0</v>
      </c>
    </row>
    <row r="29">
      <c r="A29" s="4">
        <v>29530.0</v>
      </c>
      <c r="B29" s="11">
        <v>45450.0</v>
      </c>
    </row>
    <row r="30">
      <c r="A30" s="4">
        <v>29530.0</v>
      </c>
      <c r="B30" s="11">
        <v>45589.0</v>
      </c>
    </row>
    <row r="31">
      <c r="A31" s="4">
        <v>29530.0</v>
      </c>
      <c r="B31" s="11">
        <v>45590.0</v>
      </c>
    </row>
    <row r="32">
      <c r="A32" s="4">
        <v>29530.0</v>
      </c>
      <c r="B32" s="11">
        <v>45591.0</v>
      </c>
    </row>
    <row r="33">
      <c r="A33" s="4">
        <v>29530.0</v>
      </c>
      <c r="B33" s="11">
        <v>45592.0</v>
      </c>
    </row>
    <row r="34">
      <c r="A34" s="4">
        <v>29530.0</v>
      </c>
      <c r="B34" s="11">
        <v>45593.0</v>
      </c>
    </row>
    <row r="35">
      <c r="A35" s="4">
        <v>29530.0</v>
      </c>
      <c r="B35" s="11">
        <v>45594.0</v>
      </c>
    </row>
    <row r="36">
      <c r="A36" s="4">
        <v>29530.0</v>
      </c>
      <c r="B36" s="11">
        <v>45595.0</v>
      </c>
    </row>
    <row r="37">
      <c r="A37" s="4">
        <v>29530.0</v>
      </c>
      <c r="B37" s="11">
        <v>45596.0</v>
      </c>
    </row>
    <row r="38">
      <c r="A38" s="4">
        <v>29530.0</v>
      </c>
      <c r="B38" s="11">
        <v>45597.0</v>
      </c>
    </row>
    <row r="39">
      <c r="A39" s="4">
        <v>29530.0</v>
      </c>
      <c r="B39" s="11">
        <v>45598.0</v>
      </c>
    </row>
    <row r="40">
      <c r="A40" s="4">
        <v>29530.0</v>
      </c>
      <c r="B40" s="11">
        <v>45599.0</v>
      </c>
    </row>
    <row r="41">
      <c r="A41" s="4">
        <v>29530.0</v>
      </c>
      <c r="B41" s="11">
        <v>45600.0</v>
      </c>
    </row>
    <row r="42">
      <c r="A42" s="4">
        <v>29530.0</v>
      </c>
      <c r="B42" s="11">
        <v>45601.0</v>
      </c>
    </row>
    <row r="43">
      <c r="A43" s="4">
        <v>29530.0</v>
      </c>
      <c r="B43" s="11">
        <v>45602.0</v>
      </c>
    </row>
    <row r="44">
      <c r="A44" s="4">
        <v>29530.0</v>
      </c>
      <c r="B44" s="11">
        <v>45603.0</v>
      </c>
    </row>
    <row r="45">
      <c r="A45" s="4">
        <v>29530.0</v>
      </c>
      <c r="B45" s="11">
        <v>45604.0</v>
      </c>
    </row>
    <row r="46">
      <c r="A46" s="4">
        <v>29530.0</v>
      </c>
      <c r="B46" s="11">
        <v>45605.0</v>
      </c>
    </row>
    <row r="47">
      <c r="A47" s="4">
        <v>29530.0</v>
      </c>
      <c r="B47" s="11">
        <v>45606.0</v>
      </c>
    </row>
    <row r="48">
      <c r="A48" s="4">
        <v>29530.0</v>
      </c>
      <c r="B48" s="11">
        <v>45607.0</v>
      </c>
    </row>
    <row r="49">
      <c r="A49" s="4">
        <v>29530.0</v>
      </c>
      <c r="B49" s="11">
        <v>45608.0</v>
      </c>
    </row>
    <row r="50">
      <c r="A50" s="4">
        <v>29530.0</v>
      </c>
      <c r="B50" s="11">
        <v>45609.0</v>
      </c>
    </row>
    <row r="51">
      <c r="A51" s="4">
        <v>29530.0</v>
      </c>
      <c r="B51" s="11">
        <v>45610.0</v>
      </c>
    </row>
    <row r="52">
      <c r="A52" s="4">
        <v>29530.0</v>
      </c>
      <c r="B52" s="11">
        <v>45611.0</v>
      </c>
    </row>
    <row r="53">
      <c r="A53" s="4">
        <v>29530.0</v>
      </c>
      <c r="B53" s="11">
        <v>45612.0</v>
      </c>
    </row>
    <row r="54">
      <c r="A54" s="4">
        <v>29530.0</v>
      </c>
      <c r="B54" s="11">
        <v>45755.0</v>
      </c>
    </row>
    <row r="55">
      <c r="A55" s="4">
        <v>29530.0</v>
      </c>
      <c r="B55" s="11">
        <v>45756.0</v>
      </c>
    </row>
    <row r="56">
      <c r="A56" s="4">
        <v>29530.0</v>
      </c>
      <c r="B56" s="11">
        <v>45757.0</v>
      </c>
    </row>
    <row r="57">
      <c r="A57" s="4">
        <v>29530.0</v>
      </c>
      <c r="B57" s="11">
        <v>45758.0</v>
      </c>
    </row>
    <row r="58">
      <c r="A58" s="4">
        <v>29530.0</v>
      </c>
      <c r="B58" s="11">
        <v>45759.0</v>
      </c>
    </row>
    <row r="59">
      <c r="A59" s="4">
        <v>29530.0</v>
      </c>
      <c r="B59" s="11">
        <v>45760.0</v>
      </c>
    </row>
    <row r="60">
      <c r="A60" s="4">
        <v>29530.0</v>
      </c>
      <c r="B60" s="11">
        <v>45761.0</v>
      </c>
    </row>
    <row r="61">
      <c r="A61" s="4">
        <v>29530.0</v>
      </c>
      <c r="B61" s="11">
        <v>45762.0</v>
      </c>
    </row>
    <row r="62">
      <c r="A62" s="4">
        <v>29530.0</v>
      </c>
      <c r="B62" s="11">
        <v>45763.0</v>
      </c>
    </row>
    <row r="63">
      <c r="A63" s="4">
        <v>29530.0</v>
      </c>
      <c r="B63" s="11">
        <v>45764.0</v>
      </c>
    </row>
    <row r="64">
      <c r="A64" s="4">
        <v>29530.0</v>
      </c>
      <c r="B64" s="11">
        <v>45765.0</v>
      </c>
    </row>
    <row r="65">
      <c r="A65" s="4">
        <v>29530.0</v>
      </c>
      <c r="B65" s="11">
        <v>45766.0</v>
      </c>
    </row>
    <row r="66">
      <c r="A66" s="4">
        <v>29530.0</v>
      </c>
      <c r="B66" s="11">
        <v>45767.0</v>
      </c>
    </row>
    <row r="67">
      <c r="A67" s="4">
        <v>29530.0</v>
      </c>
      <c r="B67" s="11">
        <v>45768.0</v>
      </c>
    </row>
    <row r="68">
      <c r="A68" s="4">
        <v>29530.0</v>
      </c>
      <c r="B68" s="11">
        <v>45769.0</v>
      </c>
    </row>
    <row r="69">
      <c r="A69" s="4">
        <v>29530.0</v>
      </c>
      <c r="B69" s="11">
        <v>45954.0</v>
      </c>
    </row>
    <row r="70">
      <c r="A70" s="4">
        <v>29530.0</v>
      </c>
      <c r="B70" s="11">
        <v>45955.0</v>
      </c>
    </row>
    <row r="71">
      <c r="A71" s="4">
        <v>29530.0</v>
      </c>
      <c r="B71" s="11">
        <v>45956.0</v>
      </c>
    </row>
    <row r="72">
      <c r="A72" s="4">
        <v>29530.0</v>
      </c>
      <c r="B72" s="11">
        <v>45957.0</v>
      </c>
    </row>
    <row r="73">
      <c r="A73" s="4">
        <v>29530.0</v>
      </c>
      <c r="B73" s="11">
        <v>45958.0</v>
      </c>
    </row>
    <row r="74">
      <c r="A74" s="4">
        <v>29530.0</v>
      </c>
      <c r="B74" s="11">
        <v>45959.0</v>
      </c>
    </row>
    <row r="75">
      <c r="A75" s="4">
        <v>29530.0</v>
      </c>
      <c r="B75" s="11">
        <v>45960.0</v>
      </c>
    </row>
    <row r="76">
      <c r="A76" s="4">
        <v>29530.0</v>
      </c>
      <c r="B76" s="11">
        <v>45961.0</v>
      </c>
    </row>
    <row r="77">
      <c r="A77" s="4">
        <v>29530.0</v>
      </c>
      <c r="B77" s="11">
        <v>45962.0</v>
      </c>
    </row>
    <row r="78">
      <c r="A78" s="4">
        <v>29530.0</v>
      </c>
      <c r="B78" s="11">
        <v>45963.0</v>
      </c>
    </row>
    <row r="79">
      <c r="A79" s="4">
        <v>29530.0</v>
      </c>
      <c r="B79" s="11">
        <v>45964.0</v>
      </c>
    </row>
    <row r="80">
      <c r="A80" s="4">
        <v>29530.0</v>
      </c>
      <c r="B80" s="11">
        <v>45965.0</v>
      </c>
    </row>
    <row r="81">
      <c r="A81" s="4">
        <v>29530.0</v>
      </c>
      <c r="B81" s="11">
        <v>45966.0</v>
      </c>
    </row>
    <row r="82">
      <c r="A82" s="4">
        <v>29530.0</v>
      </c>
      <c r="B82" s="11">
        <v>45967.0</v>
      </c>
    </row>
    <row r="83">
      <c r="A83" s="4">
        <v>29530.0</v>
      </c>
      <c r="B83" s="11">
        <v>45968.0</v>
      </c>
    </row>
    <row r="84">
      <c r="A84" s="4">
        <v>29530.0</v>
      </c>
      <c r="B84" s="11">
        <v>45969.0</v>
      </c>
    </row>
    <row r="85">
      <c r="A85" s="4">
        <v>29530.0</v>
      </c>
      <c r="B85" s="11">
        <v>45970.0</v>
      </c>
    </row>
    <row r="86">
      <c r="A86" s="4">
        <v>29530.0</v>
      </c>
      <c r="B86" s="11">
        <v>45971.0</v>
      </c>
    </row>
    <row r="87">
      <c r="A87" s="4">
        <v>29530.0</v>
      </c>
      <c r="B87" s="11">
        <v>45972.0</v>
      </c>
    </row>
    <row r="88">
      <c r="A88" s="4">
        <v>29530.0</v>
      </c>
      <c r="B88" s="11">
        <v>45973.0</v>
      </c>
    </row>
    <row r="89">
      <c r="A89" s="4">
        <v>29530.0</v>
      </c>
      <c r="B89" s="11">
        <v>45974.0</v>
      </c>
    </row>
    <row r="90">
      <c r="A90" s="4">
        <v>29530.0</v>
      </c>
      <c r="B90" s="11">
        <v>45975.0</v>
      </c>
    </row>
    <row r="91">
      <c r="A91" s="4">
        <v>29530.0</v>
      </c>
      <c r="B91" s="11">
        <v>45976.0</v>
      </c>
    </row>
    <row r="92">
      <c r="A92" s="4">
        <v>29530.0</v>
      </c>
      <c r="B92" s="11">
        <v>45977.0</v>
      </c>
    </row>
    <row r="93">
      <c r="A93" s="4">
        <v>29530.0</v>
      </c>
      <c r="B93" s="11">
        <v>45978.0</v>
      </c>
    </row>
    <row r="94">
      <c r="A94" s="4">
        <v>29530.0</v>
      </c>
      <c r="B94" s="11">
        <v>46166.0</v>
      </c>
    </row>
    <row r="95">
      <c r="A95" s="4">
        <v>29530.0</v>
      </c>
      <c r="B95" s="11">
        <v>46167.0</v>
      </c>
    </row>
    <row r="96">
      <c r="A96" s="4">
        <v>29530.0</v>
      </c>
      <c r="B96" s="11">
        <v>46168.0</v>
      </c>
    </row>
    <row r="97">
      <c r="A97" s="4">
        <v>29530.0</v>
      </c>
      <c r="B97" s="11">
        <v>46169.0</v>
      </c>
    </row>
    <row r="98">
      <c r="A98" s="4">
        <v>29530.0</v>
      </c>
      <c r="B98" s="11">
        <v>46170.0</v>
      </c>
    </row>
    <row r="99">
      <c r="A99" s="4">
        <v>29530.0</v>
      </c>
      <c r="B99" s="11">
        <v>46171.0</v>
      </c>
    </row>
    <row r="100">
      <c r="A100" s="4">
        <v>29530.0</v>
      </c>
      <c r="B100" s="11">
        <v>46172.0</v>
      </c>
    </row>
    <row r="101">
      <c r="A101" s="4">
        <v>29530.0</v>
      </c>
      <c r="B101" s="11">
        <v>46173.0</v>
      </c>
    </row>
    <row r="102">
      <c r="A102" s="4">
        <v>29530.0</v>
      </c>
      <c r="B102" s="11">
        <v>46174.0</v>
      </c>
    </row>
    <row r="103">
      <c r="A103" s="4">
        <v>29530.0</v>
      </c>
      <c r="B103" s="11">
        <v>46175.0</v>
      </c>
    </row>
    <row r="104">
      <c r="A104" s="4">
        <v>29530.0</v>
      </c>
      <c r="B104" s="11">
        <v>46176.0</v>
      </c>
    </row>
    <row r="105">
      <c r="A105" s="4">
        <v>29530.0</v>
      </c>
      <c r="B105" s="11">
        <v>46177.0</v>
      </c>
    </row>
    <row r="106">
      <c r="A106" s="4">
        <v>29530.0</v>
      </c>
      <c r="B106" s="11">
        <v>46178.0</v>
      </c>
    </row>
    <row r="107">
      <c r="A107" s="4">
        <v>29530.0</v>
      </c>
      <c r="B107" s="11">
        <v>46179.0</v>
      </c>
    </row>
    <row r="108">
      <c r="A108" s="4">
        <v>29530.0</v>
      </c>
      <c r="B108" s="11">
        <v>46180.0</v>
      </c>
    </row>
    <row r="109">
      <c r="A109" s="4">
        <v>29530.0</v>
      </c>
      <c r="B109" s="11">
        <v>46296.0</v>
      </c>
    </row>
    <row r="110">
      <c r="A110" s="4">
        <v>29530.0</v>
      </c>
      <c r="B110" s="11">
        <v>46297.0</v>
      </c>
    </row>
    <row r="111">
      <c r="A111" s="4">
        <v>29530.0</v>
      </c>
      <c r="B111" s="11">
        <v>46298.0</v>
      </c>
    </row>
    <row r="112">
      <c r="A112" s="4">
        <v>29530.0</v>
      </c>
      <c r="B112" s="11">
        <v>46299.0</v>
      </c>
    </row>
    <row r="113">
      <c r="A113" s="4">
        <v>29530.0</v>
      </c>
      <c r="B113" s="11">
        <v>46300.0</v>
      </c>
    </row>
    <row r="114">
      <c r="A114" s="4">
        <v>29530.0</v>
      </c>
      <c r="B114" s="11">
        <v>46301.0</v>
      </c>
    </row>
    <row r="115">
      <c r="A115" s="4">
        <v>29530.0</v>
      </c>
      <c r="B115" s="11">
        <v>46302.0</v>
      </c>
    </row>
    <row r="116">
      <c r="A116" s="4">
        <v>29530.0</v>
      </c>
      <c r="B116" s="11">
        <v>46303.0</v>
      </c>
    </row>
    <row r="117">
      <c r="A117" s="4">
        <v>29530.0</v>
      </c>
      <c r="B117" s="11">
        <v>46304.0</v>
      </c>
    </row>
    <row r="118">
      <c r="A118" s="4">
        <v>29530.0</v>
      </c>
      <c r="B118" s="11">
        <v>46305.0</v>
      </c>
    </row>
    <row r="119">
      <c r="A119" s="4">
        <v>29530.0</v>
      </c>
      <c r="B119" s="11">
        <v>46306.0</v>
      </c>
    </row>
    <row r="120">
      <c r="A120" s="4">
        <v>29530.0</v>
      </c>
      <c r="B120" s="11">
        <v>46307.0</v>
      </c>
    </row>
    <row r="121">
      <c r="A121" s="4">
        <v>29530.0</v>
      </c>
      <c r="B121" s="11">
        <v>46308.0</v>
      </c>
    </row>
    <row r="122">
      <c r="A122" s="4">
        <v>29530.0</v>
      </c>
      <c r="B122" s="11">
        <v>46309.0</v>
      </c>
    </row>
    <row r="123">
      <c r="A123" s="4">
        <v>29530.0</v>
      </c>
      <c r="B123" s="11">
        <v>46310.0</v>
      </c>
    </row>
    <row r="124">
      <c r="A124" s="4">
        <v>71348.0</v>
      </c>
      <c r="B124" s="11">
        <v>45420.0</v>
      </c>
    </row>
    <row r="125">
      <c r="A125" s="4">
        <v>71348.0</v>
      </c>
      <c r="B125" s="11">
        <v>45421.0</v>
      </c>
    </row>
    <row r="126">
      <c r="A126" s="4">
        <v>71348.0</v>
      </c>
      <c r="B126" s="11">
        <v>45422.0</v>
      </c>
    </row>
    <row r="127">
      <c r="A127" s="4">
        <v>71348.0</v>
      </c>
      <c r="B127" s="11">
        <v>45423.0</v>
      </c>
    </row>
    <row r="128">
      <c r="A128" s="4">
        <v>71348.0</v>
      </c>
      <c r="B128" s="11">
        <v>45424.0</v>
      </c>
    </row>
    <row r="129">
      <c r="A129" s="4">
        <v>71348.0</v>
      </c>
      <c r="B129" s="11">
        <v>45425.0</v>
      </c>
    </row>
    <row r="130">
      <c r="A130" s="4">
        <v>71348.0</v>
      </c>
      <c r="B130" s="11">
        <v>45426.0</v>
      </c>
    </row>
    <row r="131">
      <c r="A131" s="4">
        <v>71348.0</v>
      </c>
      <c r="B131" s="11">
        <v>45427.0</v>
      </c>
    </row>
    <row r="132">
      <c r="A132" s="4">
        <v>71348.0</v>
      </c>
      <c r="B132" s="11">
        <v>45428.0</v>
      </c>
    </row>
    <row r="133">
      <c r="A133" s="4">
        <v>71348.0</v>
      </c>
      <c r="B133" s="11">
        <v>45429.0</v>
      </c>
    </row>
    <row r="134">
      <c r="A134" s="4">
        <v>71348.0</v>
      </c>
      <c r="B134" s="11">
        <v>45430.0</v>
      </c>
    </row>
    <row r="135">
      <c r="A135" s="4">
        <v>71348.0</v>
      </c>
      <c r="B135" s="11">
        <v>45431.0</v>
      </c>
    </row>
    <row r="136">
      <c r="A136" s="4">
        <v>71348.0</v>
      </c>
      <c r="B136" s="11">
        <v>45432.0</v>
      </c>
    </row>
    <row r="137">
      <c r="A137" s="4">
        <v>71348.0</v>
      </c>
      <c r="B137" s="11">
        <v>45433.0</v>
      </c>
    </row>
    <row r="138">
      <c r="A138" s="4">
        <v>71348.0</v>
      </c>
      <c r="B138" s="11">
        <v>45434.0</v>
      </c>
    </row>
    <row r="139">
      <c r="A139" s="4">
        <v>71348.0</v>
      </c>
      <c r="B139" s="11">
        <v>45435.0</v>
      </c>
    </row>
    <row r="140">
      <c r="A140" s="4">
        <v>71348.0</v>
      </c>
      <c r="B140" s="11">
        <v>45481.0</v>
      </c>
    </row>
    <row r="141">
      <c r="A141" s="4">
        <v>71348.0</v>
      </c>
      <c r="B141" s="11">
        <v>45482.0</v>
      </c>
    </row>
    <row r="142">
      <c r="A142" s="4">
        <v>71348.0</v>
      </c>
      <c r="B142" s="11">
        <v>45483.0</v>
      </c>
    </row>
    <row r="143">
      <c r="A143" s="4">
        <v>71348.0</v>
      </c>
      <c r="B143" s="11">
        <v>45484.0</v>
      </c>
    </row>
    <row r="144">
      <c r="A144" s="4">
        <v>71348.0</v>
      </c>
      <c r="B144" s="11">
        <v>45485.0</v>
      </c>
    </row>
    <row r="145">
      <c r="A145" s="4">
        <v>71348.0</v>
      </c>
      <c r="B145" s="11">
        <v>45486.0</v>
      </c>
    </row>
    <row r="146">
      <c r="A146" s="4">
        <v>71348.0</v>
      </c>
      <c r="B146" s="11">
        <v>45487.0</v>
      </c>
    </row>
    <row r="147">
      <c r="A147" s="4">
        <v>71348.0</v>
      </c>
      <c r="B147" s="11">
        <v>45488.0</v>
      </c>
    </row>
    <row r="148">
      <c r="A148" s="4">
        <v>71348.0</v>
      </c>
      <c r="B148" s="11">
        <v>45536.0</v>
      </c>
    </row>
    <row r="149">
      <c r="A149" s="4">
        <v>71348.0</v>
      </c>
      <c r="B149" s="11">
        <v>45537.0</v>
      </c>
    </row>
    <row r="150">
      <c r="A150" s="4">
        <v>71348.0</v>
      </c>
      <c r="B150" s="11">
        <v>45538.0</v>
      </c>
    </row>
    <row r="151">
      <c r="A151" s="4">
        <v>71348.0</v>
      </c>
      <c r="B151" s="11">
        <v>45539.0</v>
      </c>
    </row>
    <row r="152">
      <c r="A152" s="4">
        <v>71348.0</v>
      </c>
      <c r="B152" s="11">
        <v>45540.0</v>
      </c>
    </row>
    <row r="153">
      <c r="A153" s="4">
        <v>71348.0</v>
      </c>
      <c r="B153" s="11">
        <v>45541.0</v>
      </c>
    </row>
    <row r="154">
      <c r="A154" s="4">
        <v>71348.0</v>
      </c>
      <c r="B154" s="11">
        <v>45542.0</v>
      </c>
    </row>
    <row r="155">
      <c r="A155" s="4">
        <v>71348.0</v>
      </c>
      <c r="B155" s="11">
        <v>45543.0</v>
      </c>
    </row>
    <row r="156">
      <c r="A156" s="4">
        <v>71348.0</v>
      </c>
      <c r="B156" s="11">
        <v>45544.0</v>
      </c>
    </row>
    <row r="157">
      <c r="A157" s="4">
        <v>71348.0</v>
      </c>
      <c r="B157" s="11">
        <v>45545.0</v>
      </c>
    </row>
    <row r="158">
      <c r="A158" s="4">
        <v>71348.0</v>
      </c>
      <c r="B158" s="11">
        <v>45546.0</v>
      </c>
    </row>
    <row r="159">
      <c r="A159" s="4">
        <v>71348.0</v>
      </c>
      <c r="B159" s="11">
        <v>45547.0</v>
      </c>
    </row>
    <row r="160">
      <c r="A160" s="4">
        <v>71348.0</v>
      </c>
      <c r="B160" s="11">
        <v>45548.0</v>
      </c>
    </row>
    <row r="161">
      <c r="A161" s="4">
        <v>71348.0</v>
      </c>
      <c r="B161" s="11">
        <v>45549.0</v>
      </c>
    </row>
    <row r="162">
      <c r="A162" s="4">
        <v>71348.0</v>
      </c>
      <c r="B162" s="11">
        <v>45550.0</v>
      </c>
    </row>
    <row r="163">
      <c r="A163" s="4">
        <v>71348.0</v>
      </c>
      <c r="B163" s="11">
        <v>45689.0</v>
      </c>
    </row>
    <row r="164">
      <c r="A164" s="4">
        <v>71348.0</v>
      </c>
      <c r="B164" s="11">
        <v>45690.0</v>
      </c>
    </row>
    <row r="165">
      <c r="A165" s="4">
        <v>71348.0</v>
      </c>
      <c r="B165" s="11">
        <v>45691.0</v>
      </c>
    </row>
    <row r="166">
      <c r="A166" s="4">
        <v>71348.0</v>
      </c>
      <c r="B166" s="11">
        <v>45692.0</v>
      </c>
    </row>
    <row r="167">
      <c r="A167" s="4">
        <v>71348.0</v>
      </c>
      <c r="B167" s="11">
        <v>45693.0</v>
      </c>
    </row>
    <row r="168">
      <c r="A168" s="4">
        <v>71348.0</v>
      </c>
      <c r="B168" s="11">
        <v>45694.0</v>
      </c>
    </row>
    <row r="169">
      <c r="A169" s="4">
        <v>71348.0</v>
      </c>
      <c r="B169" s="11">
        <v>45695.0</v>
      </c>
    </row>
    <row r="170">
      <c r="A170" s="4">
        <v>71348.0</v>
      </c>
      <c r="B170" s="11">
        <v>45748.0</v>
      </c>
    </row>
    <row r="171">
      <c r="A171" s="4">
        <v>71348.0</v>
      </c>
      <c r="B171" s="11">
        <v>45749.0</v>
      </c>
    </row>
    <row r="172">
      <c r="A172" s="4">
        <v>71348.0</v>
      </c>
      <c r="B172" s="11">
        <v>45750.0</v>
      </c>
    </row>
    <row r="173">
      <c r="A173" s="4">
        <v>71348.0</v>
      </c>
      <c r="B173" s="11">
        <v>45751.0</v>
      </c>
    </row>
    <row r="174">
      <c r="A174" s="4">
        <v>71348.0</v>
      </c>
      <c r="B174" s="11">
        <v>45752.0</v>
      </c>
    </row>
    <row r="175">
      <c r="A175" s="4">
        <v>71348.0</v>
      </c>
      <c r="B175" s="11">
        <v>45753.0</v>
      </c>
    </row>
    <row r="176">
      <c r="A176" s="4">
        <v>71348.0</v>
      </c>
      <c r="B176" s="11">
        <v>45754.0</v>
      </c>
    </row>
    <row r="177">
      <c r="A177" s="4">
        <v>71348.0</v>
      </c>
      <c r="B177" s="11">
        <v>45755.0</v>
      </c>
    </row>
    <row r="178">
      <c r="A178" s="4">
        <v>71348.0</v>
      </c>
      <c r="B178" s="11">
        <v>45756.0</v>
      </c>
    </row>
    <row r="179">
      <c r="A179" s="4">
        <v>71348.0</v>
      </c>
      <c r="B179" s="11">
        <v>45757.0</v>
      </c>
    </row>
    <row r="180">
      <c r="A180" s="4">
        <v>71348.0</v>
      </c>
      <c r="B180" s="11">
        <v>45758.0</v>
      </c>
    </row>
    <row r="181">
      <c r="A181" s="4">
        <v>71348.0</v>
      </c>
      <c r="B181" s="11">
        <v>45759.0</v>
      </c>
    </row>
    <row r="182">
      <c r="A182" s="4">
        <v>71348.0</v>
      </c>
      <c r="B182" s="11">
        <v>45760.0</v>
      </c>
    </row>
    <row r="183">
      <c r="A183" s="4">
        <v>71348.0</v>
      </c>
      <c r="B183" s="11">
        <v>45761.0</v>
      </c>
    </row>
    <row r="184">
      <c r="A184" s="4">
        <v>71348.0</v>
      </c>
      <c r="B184" s="11">
        <v>45762.0</v>
      </c>
    </row>
    <row r="185">
      <c r="A185" s="4">
        <v>71348.0</v>
      </c>
      <c r="B185" s="11">
        <v>45862.0</v>
      </c>
    </row>
    <row r="186">
      <c r="A186" s="4">
        <v>71348.0</v>
      </c>
      <c r="B186" s="11">
        <v>45863.0</v>
      </c>
    </row>
    <row r="187">
      <c r="A187" s="4">
        <v>71348.0</v>
      </c>
      <c r="B187" s="11">
        <v>45864.0</v>
      </c>
    </row>
    <row r="188">
      <c r="A188" s="4">
        <v>71348.0</v>
      </c>
      <c r="B188" s="11">
        <v>45865.0</v>
      </c>
    </row>
    <row r="189">
      <c r="A189" s="4">
        <v>71348.0</v>
      </c>
      <c r="B189" s="11">
        <v>45866.0</v>
      </c>
    </row>
    <row r="190">
      <c r="A190" s="4">
        <v>71348.0</v>
      </c>
      <c r="B190" s="11">
        <v>45867.0</v>
      </c>
    </row>
    <row r="191">
      <c r="A191" s="4">
        <v>71348.0</v>
      </c>
      <c r="B191" s="11">
        <v>45868.0</v>
      </c>
    </row>
    <row r="192">
      <c r="A192" s="4">
        <v>71348.0</v>
      </c>
      <c r="B192" s="11">
        <v>45869.0</v>
      </c>
    </row>
    <row r="193">
      <c r="A193" s="4">
        <v>71348.0</v>
      </c>
      <c r="B193" s="11">
        <v>45962.0</v>
      </c>
    </row>
    <row r="194">
      <c r="A194" s="4">
        <v>71348.0</v>
      </c>
      <c r="B194" s="11">
        <v>45963.0</v>
      </c>
    </row>
    <row r="195">
      <c r="A195" s="4">
        <v>71348.0</v>
      </c>
      <c r="B195" s="11">
        <v>45964.0</v>
      </c>
    </row>
    <row r="196">
      <c r="A196" s="4">
        <v>71348.0</v>
      </c>
      <c r="B196" s="11">
        <v>45965.0</v>
      </c>
    </row>
    <row r="197">
      <c r="A197" s="4">
        <v>71348.0</v>
      </c>
      <c r="B197" s="11">
        <v>45966.0</v>
      </c>
    </row>
    <row r="198">
      <c r="A198" s="4">
        <v>71348.0</v>
      </c>
      <c r="B198" s="11">
        <v>45967.0</v>
      </c>
    </row>
    <row r="199">
      <c r="A199" s="4">
        <v>71348.0</v>
      </c>
      <c r="B199" s="11">
        <v>45968.0</v>
      </c>
    </row>
    <row r="200">
      <c r="A200" s="4">
        <v>71348.0</v>
      </c>
      <c r="B200" s="11">
        <v>45969.0</v>
      </c>
    </row>
    <row r="201">
      <c r="A201" s="4">
        <v>71348.0</v>
      </c>
      <c r="B201" s="11">
        <v>45970.0</v>
      </c>
    </row>
    <row r="202">
      <c r="A202" s="4">
        <v>71348.0</v>
      </c>
      <c r="B202" s="11">
        <v>45971.0</v>
      </c>
    </row>
    <row r="203">
      <c r="A203" s="4">
        <v>71348.0</v>
      </c>
      <c r="B203" s="11">
        <v>45972.0</v>
      </c>
    </row>
    <row r="204">
      <c r="A204" s="4">
        <v>71348.0</v>
      </c>
      <c r="B204" s="11">
        <v>45973.0</v>
      </c>
    </row>
    <row r="205">
      <c r="A205" s="4">
        <v>71348.0</v>
      </c>
      <c r="B205" s="11">
        <v>45974.0</v>
      </c>
    </row>
    <row r="206">
      <c r="A206" s="4">
        <v>71348.0</v>
      </c>
      <c r="B206" s="11">
        <v>45975.0</v>
      </c>
    </row>
    <row r="207">
      <c r="A207" s="4">
        <v>71348.0</v>
      </c>
      <c r="B207" s="11">
        <v>45976.0</v>
      </c>
    </row>
    <row r="208">
      <c r="A208" s="4">
        <v>71348.0</v>
      </c>
      <c r="B208" s="11">
        <v>46054.0</v>
      </c>
    </row>
    <row r="209">
      <c r="A209" s="4">
        <v>71348.0</v>
      </c>
      <c r="B209" s="11">
        <v>46055.0</v>
      </c>
    </row>
    <row r="210">
      <c r="A210" s="4">
        <v>71348.0</v>
      </c>
      <c r="B210" s="11">
        <v>46056.0</v>
      </c>
    </row>
    <row r="211">
      <c r="A211" s="4">
        <v>71348.0</v>
      </c>
      <c r="B211" s="11">
        <v>46057.0</v>
      </c>
    </row>
    <row r="212">
      <c r="A212" s="4">
        <v>71348.0</v>
      </c>
      <c r="B212" s="11">
        <v>46058.0</v>
      </c>
    </row>
    <row r="213">
      <c r="A213" s="4">
        <v>71348.0</v>
      </c>
      <c r="B213" s="11">
        <v>46059.0</v>
      </c>
    </row>
    <row r="214">
      <c r="A214" s="4">
        <v>71348.0</v>
      </c>
      <c r="B214" s="11">
        <v>46060.0</v>
      </c>
    </row>
    <row r="215">
      <c r="A215" s="4">
        <v>967092.0</v>
      </c>
      <c r="B215" s="11">
        <v>45352.0</v>
      </c>
    </row>
    <row r="216">
      <c r="A216" s="4">
        <v>967092.0</v>
      </c>
      <c r="B216" s="11">
        <v>45353.0</v>
      </c>
    </row>
    <row r="217">
      <c r="A217" s="4">
        <v>967092.0</v>
      </c>
      <c r="B217" s="11">
        <v>45354.0</v>
      </c>
    </row>
    <row r="218">
      <c r="A218" s="4">
        <v>967092.0</v>
      </c>
      <c r="B218" s="11">
        <v>45355.0</v>
      </c>
    </row>
    <row r="219">
      <c r="A219" s="4">
        <v>967092.0</v>
      </c>
      <c r="B219" s="11">
        <v>45356.0</v>
      </c>
    </row>
    <row r="220">
      <c r="A220" s="4">
        <v>967092.0</v>
      </c>
      <c r="B220" s="11">
        <v>45357.0</v>
      </c>
    </row>
    <row r="221">
      <c r="A221" s="4">
        <v>967092.0</v>
      </c>
      <c r="B221" s="11">
        <v>45358.0</v>
      </c>
    </row>
    <row r="222">
      <c r="A222" s="4">
        <v>967092.0</v>
      </c>
      <c r="B222" s="11">
        <v>45359.0</v>
      </c>
    </row>
    <row r="223">
      <c r="A223" s="4">
        <v>967092.0</v>
      </c>
      <c r="B223" s="11">
        <v>45360.0</v>
      </c>
    </row>
    <row r="224">
      <c r="A224" s="4">
        <v>967092.0</v>
      </c>
      <c r="B224" s="11">
        <v>45361.0</v>
      </c>
    </row>
    <row r="225">
      <c r="A225" s="4">
        <v>967092.0</v>
      </c>
      <c r="B225" s="11">
        <v>45362.0</v>
      </c>
    </row>
    <row r="226">
      <c r="A226" s="4">
        <v>967092.0</v>
      </c>
      <c r="B226" s="11">
        <v>45363.0</v>
      </c>
    </row>
    <row r="227">
      <c r="A227" s="4">
        <v>967092.0</v>
      </c>
      <c r="B227" s="11">
        <v>45364.0</v>
      </c>
    </row>
    <row r="228">
      <c r="A228" s="4">
        <v>967092.0</v>
      </c>
      <c r="B228" s="11">
        <v>45365.0</v>
      </c>
    </row>
    <row r="229">
      <c r="A229" s="4">
        <v>967092.0</v>
      </c>
      <c r="B229" s="11">
        <v>45366.0</v>
      </c>
    </row>
    <row r="230">
      <c r="A230" s="4">
        <v>967092.0</v>
      </c>
      <c r="B230" s="11">
        <v>45367.0</v>
      </c>
    </row>
    <row r="231">
      <c r="A231" s="4">
        <v>967092.0</v>
      </c>
      <c r="B231" s="11">
        <v>45368.0</v>
      </c>
    </row>
    <row r="232">
      <c r="A232" s="4">
        <v>967092.0</v>
      </c>
      <c r="B232" s="11">
        <v>45369.0</v>
      </c>
    </row>
    <row r="233">
      <c r="A233" s="4">
        <v>967092.0</v>
      </c>
      <c r="B233" s="11">
        <v>45370.0</v>
      </c>
    </row>
    <row r="234">
      <c r="A234" s="4">
        <v>967092.0</v>
      </c>
      <c r="B234" s="11">
        <v>45371.0</v>
      </c>
    </row>
    <row r="235">
      <c r="A235" s="4">
        <v>967092.0</v>
      </c>
      <c r="B235" s="11">
        <v>45372.0</v>
      </c>
    </row>
    <row r="236">
      <c r="A236" s="4">
        <v>967092.0</v>
      </c>
      <c r="B236" s="11">
        <v>45373.0</v>
      </c>
    </row>
    <row r="237">
      <c r="A237" s="4">
        <v>967092.0</v>
      </c>
      <c r="B237" s="11">
        <v>45374.0</v>
      </c>
    </row>
    <row r="238">
      <c r="A238" s="4">
        <v>967092.0</v>
      </c>
      <c r="B238" s="11">
        <v>45451.0</v>
      </c>
    </row>
    <row r="239">
      <c r="A239" s="4">
        <v>967092.0</v>
      </c>
      <c r="B239" s="11">
        <v>45452.0</v>
      </c>
    </row>
    <row r="240">
      <c r="A240" s="4">
        <v>967092.0</v>
      </c>
      <c r="B240" s="11">
        <v>45453.0</v>
      </c>
    </row>
    <row r="241">
      <c r="A241" s="4">
        <v>967092.0</v>
      </c>
      <c r="B241" s="11">
        <v>45454.0</v>
      </c>
    </row>
    <row r="242">
      <c r="A242" s="4">
        <v>967092.0</v>
      </c>
      <c r="B242" s="11">
        <v>45455.0</v>
      </c>
    </row>
    <row r="243">
      <c r="A243" s="4">
        <v>967092.0</v>
      </c>
      <c r="B243" s="11">
        <v>45456.0</v>
      </c>
    </row>
    <row r="244">
      <c r="A244" s="4">
        <v>967092.0</v>
      </c>
      <c r="B244" s="11">
        <v>45457.0</v>
      </c>
    </row>
    <row r="245">
      <c r="A245" s="4">
        <v>967092.0</v>
      </c>
      <c r="B245" s="11">
        <v>45458.0</v>
      </c>
    </row>
    <row r="246">
      <c r="A246" s="4">
        <v>967092.0</v>
      </c>
      <c r="B246" s="11">
        <v>45537.0</v>
      </c>
    </row>
    <row r="247">
      <c r="A247" s="4">
        <v>967092.0</v>
      </c>
      <c r="B247" s="11">
        <v>45538.0</v>
      </c>
    </row>
    <row r="248">
      <c r="A248" s="4">
        <v>967092.0</v>
      </c>
      <c r="B248" s="11">
        <v>45539.0</v>
      </c>
    </row>
    <row r="249">
      <c r="A249" s="4">
        <v>967092.0</v>
      </c>
      <c r="B249" s="11">
        <v>45540.0</v>
      </c>
    </row>
    <row r="250">
      <c r="A250" s="4">
        <v>967092.0</v>
      </c>
      <c r="B250" s="11">
        <v>45541.0</v>
      </c>
    </row>
    <row r="251">
      <c r="A251" s="4">
        <v>967092.0</v>
      </c>
      <c r="B251" s="11">
        <v>45542.0</v>
      </c>
    </row>
    <row r="252">
      <c r="A252" s="4">
        <v>967092.0</v>
      </c>
      <c r="B252" s="11">
        <v>45543.0</v>
      </c>
    </row>
    <row r="253">
      <c r="A253" s="4">
        <v>967092.0</v>
      </c>
      <c r="B253" s="11">
        <v>45589.0</v>
      </c>
    </row>
    <row r="254">
      <c r="A254" s="4">
        <v>967092.0</v>
      </c>
      <c r="B254" s="11">
        <v>45590.0</v>
      </c>
    </row>
    <row r="255">
      <c r="A255" s="4">
        <v>967092.0</v>
      </c>
      <c r="B255" s="11">
        <v>45591.0</v>
      </c>
    </row>
    <row r="256">
      <c r="A256" s="4">
        <v>967092.0</v>
      </c>
      <c r="B256" s="11">
        <v>45592.0</v>
      </c>
    </row>
    <row r="257">
      <c r="A257" s="4">
        <v>967092.0</v>
      </c>
      <c r="B257" s="11">
        <v>45593.0</v>
      </c>
    </row>
    <row r="258">
      <c r="A258" s="4">
        <v>967092.0</v>
      </c>
      <c r="B258" s="11">
        <v>45594.0</v>
      </c>
    </row>
    <row r="259">
      <c r="A259" s="4">
        <v>967092.0</v>
      </c>
      <c r="B259" s="11">
        <v>45595.0</v>
      </c>
    </row>
    <row r="260">
      <c r="A260" s="4">
        <v>967092.0</v>
      </c>
      <c r="B260" s="11">
        <v>45596.0</v>
      </c>
    </row>
    <row r="261">
      <c r="A261" s="4">
        <v>967092.0</v>
      </c>
      <c r="B261" s="11">
        <v>45597.0</v>
      </c>
    </row>
    <row r="262">
      <c r="A262" s="4">
        <v>967092.0</v>
      </c>
      <c r="B262" s="11">
        <v>45598.0</v>
      </c>
    </row>
    <row r="263">
      <c r="A263" s="4">
        <v>967092.0</v>
      </c>
      <c r="B263" s="11">
        <v>45599.0</v>
      </c>
    </row>
    <row r="264">
      <c r="A264" s="4">
        <v>967092.0</v>
      </c>
      <c r="B264" s="11">
        <v>45600.0</v>
      </c>
    </row>
    <row r="265">
      <c r="A265" s="4">
        <v>967092.0</v>
      </c>
      <c r="B265" s="11">
        <v>45601.0</v>
      </c>
    </row>
    <row r="266">
      <c r="A266" s="4">
        <v>967092.0</v>
      </c>
      <c r="B266" s="11">
        <v>45602.0</v>
      </c>
    </row>
    <row r="267">
      <c r="A267" s="4">
        <v>967092.0</v>
      </c>
      <c r="B267" s="11">
        <v>45603.0</v>
      </c>
    </row>
    <row r="268">
      <c r="A268" s="4">
        <v>967092.0</v>
      </c>
      <c r="B268" s="11">
        <v>45732.0</v>
      </c>
    </row>
    <row r="269">
      <c r="A269" s="4">
        <v>967092.0</v>
      </c>
      <c r="B269" s="11">
        <v>45733.0</v>
      </c>
    </row>
    <row r="270">
      <c r="A270" s="4">
        <v>967092.0</v>
      </c>
      <c r="B270" s="11">
        <v>45734.0</v>
      </c>
    </row>
    <row r="271">
      <c r="A271" s="4">
        <v>967092.0</v>
      </c>
      <c r="B271" s="11">
        <v>45735.0</v>
      </c>
    </row>
    <row r="272">
      <c r="A272" s="4">
        <v>967092.0</v>
      </c>
      <c r="B272" s="11">
        <v>45736.0</v>
      </c>
    </row>
    <row r="273">
      <c r="A273" s="4">
        <v>967092.0</v>
      </c>
      <c r="B273" s="11">
        <v>45737.0</v>
      </c>
    </row>
    <row r="274">
      <c r="A274" s="4">
        <v>967092.0</v>
      </c>
      <c r="B274" s="11">
        <v>45738.0</v>
      </c>
    </row>
    <row r="275">
      <c r="A275" s="4">
        <v>967092.0</v>
      </c>
      <c r="B275" s="11">
        <v>45739.0</v>
      </c>
    </row>
    <row r="276">
      <c r="A276" s="4">
        <v>967092.0</v>
      </c>
      <c r="B276" s="11">
        <v>45740.0</v>
      </c>
    </row>
    <row r="277">
      <c r="A277" s="4">
        <v>967092.0</v>
      </c>
      <c r="B277" s="11">
        <v>45741.0</v>
      </c>
    </row>
    <row r="278">
      <c r="A278" s="4">
        <v>967092.0</v>
      </c>
      <c r="B278" s="11">
        <v>45742.0</v>
      </c>
    </row>
    <row r="279">
      <c r="A279" s="4">
        <v>967092.0</v>
      </c>
      <c r="B279" s="11">
        <v>45743.0</v>
      </c>
    </row>
    <row r="280">
      <c r="A280" s="4">
        <v>967092.0</v>
      </c>
      <c r="B280" s="11">
        <v>45744.0</v>
      </c>
    </row>
    <row r="281">
      <c r="A281" s="4">
        <v>967092.0</v>
      </c>
      <c r="B281" s="11">
        <v>45745.0</v>
      </c>
    </row>
    <row r="282">
      <c r="A282" s="4">
        <v>967092.0</v>
      </c>
      <c r="B282" s="11">
        <v>45746.0</v>
      </c>
    </row>
    <row r="283">
      <c r="A283" s="4">
        <v>967092.0</v>
      </c>
      <c r="B283" s="11">
        <v>45747.0</v>
      </c>
    </row>
    <row r="284">
      <c r="A284" s="4">
        <v>967092.0</v>
      </c>
      <c r="B284" s="11">
        <v>45954.0</v>
      </c>
    </row>
    <row r="285">
      <c r="A285" s="4">
        <v>967092.0</v>
      </c>
      <c r="B285" s="11">
        <v>45955.0</v>
      </c>
    </row>
    <row r="286">
      <c r="A286" s="4">
        <v>967092.0</v>
      </c>
      <c r="B286" s="11">
        <v>45956.0</v>
      </c>
    </row>
    <row r="287">
      <c r="A287" s="4">
        <v>967092.0</v>
      </c>
      <c r="B287" s="11">
        <v>45957.0</v>
      </c>
    </row>
    <row r="288">
      <c r="A288" s="4">
        <v>967092.0</v>
      </c>
      <c r="B288" s="11">
        <v>45958.0</v>
      </c>
    </row>
    <row r="289">
      <c r="A289" s="4">
        <v>967092.0</v>
      </c>
      <c r="B289" s="11">
        <v>45959.0</v>
      </c>
    </row>
    <row r="290">
      <c r="A290" s="4">
        <v>967092.0</v>
      </c>
      <c r="B290" s="11">
        <v>45960.0</v>
      </c>
    </row>
    <row r="291">
      <c r="A291" s="4">
        <v>967092.0</v>
      </c>
      <c r="B291" s="11">
        <v>45961.0</v>
      </c>
    </row>
    <row r="292">
      <c r="A292" s="4">
        <v>967092.0</v>
      </c>
      <c r="B292" s="11">
        <v>46007.0</v>
      </c>
    </row>
    <row r="293">
      <c r="A293" s="4">
        <v>967092.0</v>
      </c>
      <c r="B293" s="11">
        <v>46008.0</v>
      </c>
    </row>
    <row r="294">
      <c r="A294" s="4">
        <v>967092.0</v>
      </c>
      <c r="B294" s="11">
        <v>46009.0</v>
      </c>
    </row>
    <row r="295">
      <c r="A295" s="4">
        <v>967092.0</v>
      </c>
      <c r="B295" s="11">
        <v>46010.0</v>
      </c>
    </row>
    <row r="296">
      <c r="A296" s="4">
        <v>967092.0</v>
      </c>
      <c r="B296" s="11">
        <v>46011.0</v>
      </c>
    </row>
    <row r="297">
      <c r="A297" s="4">
        <v>967092.0</v>
      </c>
      <c r="B297" s="11">
        <v>46012.0</v>
      </c>
    </row>
    <row r="298">
      <c r="A298" s="4">
        <v>967092.0</v>
      </c>
      <c r="B298" s="11">
        <v>46013.0</v>
      </c>
    </row>
    <row r="299">
      <c r="A299" s="4">
        <v>967092.0</v>
      </c>
      <c r="B299" s="11">
        <v>46014.0</v>
      </c>
    </row>
    <row r="300">
      <c r="A300" s="4">
        <v>967092.0</v>
      </c>
      <c r="B300" s="11">
        <v>46015.0</v>
      </c>
    </row>
    <row r="301">
      <c r="A301" s="4">
        <v>967092.0</v>
      </c>
      <c r="B301" s="11">
        <v>46016.0</v>
      </c>
    </row>
    <row r="302">
      <c r="A302" s="4">
        <v>967092.0</v>
      </c>
      <c r="B302" s="11">
        <v>46017.0</v>
      </c>
    </row>
    <row r="303">
      <c r="A303" s="4">
        <v>967092.0</v>
      </c>
      <c r="B303" s="11">
        <v>46018.0</v>
      </c>
    </row>
    <row r="304">
      <c r="A304" s="4">
        <v>967092.0</v>
      </c>
      <c r="B304" s="11">
        <v>46019.0</v>
      </c>
    </row>
    <row r="305">
      <c r="A305" s="4">
        <v>967092.0</v>
      </c>
      <c r="B305" s="11">
        <v>46020.0</v>
      </c>
    </row>
    <row r="306">
      <c r="A306" s="4">
        <v>967092.0</v>
      </c>
      <c r="B306" s="11">
        <v>46021.0</v>
      </c>
    </row>
    <row r="307">
      <c r="A307" s="4">
        <v>967092.0</v>
      </c>
      <c r="B307" s="11">
        <v>46022.0</v>
      </c>
    </row>
    <row r="308">
      <c r="A308" s="4">
        <v>967092.0</v>
      </c>
      <c r="B308" s="11">
        <v>46023.0</v>
      </c>
    </row>
    <row r="309">
      <c r="A309" s="4">
        <v>967092.0</v>
      </c>
      <c r="B309" s="11">
        <v>46024.0</v>
      </c>
    </row>
    <row r="310">
      <c r="A310" s="4">
        <v>967092.0</v>
      </c>
      <c r="B310" s="11">
        <v>46025.0</v>
      </c>
    </row>
    <row r="311">
      <c r="A311" s="4">
        <v>967092.0</v>
      </c>
      <c r="B311" s="11">
        <v>46026.0</v>
      </c>
    </row>
    <row r="312">
      <c r="A312" s="4">
        <v>967092.0</v>
      </c>
      <c r="B312" s="11">
        <v>46027.0</v>
      </c>
    </row>
    <row r="313">
      <c r="A313" s="4">
        <v>967092.0</v>
      </c>
      <c r="B313" s="11">
        <v>46028.0</v>
      </c>
    </row>
    <row r="314">
      <c r="A314" s="4">
        <v>967092.0</v>
      </c>
      <c r="B314" s="11">
        <v>46029.0</v>
      </c>
    </row>
    <row r="315">
      <c r="A315" s="4">
        <v>967092.0</v>
      </c>
      <c r="B315" s="11">
        <v>46046.0</v>
      </c>
    </row>
    <row r="316">
      <c r="A316" s="4">
        <v>967092.0</v>
      </c>
      <c r="B316" s="11">
        <v>46047.0</v>
      </c>
    </row>
    <row r="317">
      <c r="A317" s="4">
        <v>967092.0</v>
      </c>
      <c r="B317" s="11">
        <v>46048.0</v>
      </c>
    </row>
    <row r="318">
      <c r="A318" s="4">
        <v>967092.0</v>
      </c>
      <c r="B318" s="11">
        <v>46049.0</v>
      </c>
    </row>
    <row r="319">
      <c r="A319" s="4">
        <v>967092.0</v>
      </c>
      <c r="B319" s="11">
        <v>46050.0</v>
      </c>
    </row>
    <row r="320">
      <c r="A320" s="4">
        <v>967092.0</v>
      </c>
      <c r="B320" s="11">
        <v>46051.0</v>
      </c>
    </row>
    <row r="321">
      <c r="A321" s="4">
        <v>967092.0</v>
      </c>
      <c r="B321" s="11">
        <v>46052.0</v>
      </c>
    </row>
    <row r="322">
      <c r="A322" s="4">
        <v>967092.0</v>
      </c>
      <c r="B322" s="11">
        <v>46053.0</v>
      </c>
    </row>
    <row r="323">
      <c r="A323" s="4">
        <v>967092.0</v>
      </c>
      <c r="B323" s="11">
        <v>46054.0</v>
      </c>
    </row>
    <row r="324">
      <c r="A324" s="4">
        <v>967092.0</v>
      </c>
      <c r="B324" s="11">
        <v>46055.0</v>
      </c>
    </row>
    <row r="325">
      <c r="A325" s="4">
        <v>967092.0</v>
      </c>
      <c r="B325" s="11">
        <v>46056.0</v>
      </c>
    </row>
    <row r="326">
      <c r="A326" s="4">
        <v>967092.0</v>
      </c>
      <c r="B326" s="11">
        <v>46057.0</v>
      </c>
    </row>
    <row r="327">
      <c r="A327" s="4">
        <v>967092.0</v>
      </c>
      <c r="B327" s="11">
        <v>46058.0</v>
      </c>
    </row>
    <row r="328">
      <c r="A328" s="4">
        <v>967092.0</v>
      </c>
      <c r="B328" s="11">
        <v>46059.0</v>
      </c>
    </row>
    <row r="329">
      <c r="A329" s="4">
        <v>967092.0</v>
      </c>
      <c r="B329" s="11">
        <v>46060.0</v>
      </c>
    </row>
    <row r="330">
      <c r="A330" s="4">
        <v>967092.0</v>
      </c>
      <c r="B330" s="11">
        <v>46242.0</v>
      </c>
    </row>
    <row r="331">
      <c r="A331" s="4">
        <v>967092.0</v>
      </c>
      <c r="B331" s="11">
        <v>46243.0</v>
      </c>
    </row>
    <row r="332">
      <c r="A332" s="4">
        <v>967092.0</v>
      </c>
      <c r="B332" s="11">
        <v>46244.0</v>
      </c>
    </row>
    <row r="333">
      <c r="A333" s="4">
        <v>967092.0</v>
      </c>
      <c r="B333" s="11">
        <v>46245.0</v>
      </c>
    </row>
    <row r="334">
      <c r="A334" s="4">
        <v>967092.0</v>
      </c>
      <c r="B334" s="11">
        <v>46246.0</v>
      </c>
    </row>
    <row r="335">
      <c r="A335" s="4">
        <v>967092.0</v>
      </c>
      <c r="B335" s="11">
        <v>46247.0</v>
      </c>
    </row>
    <row r="336">
      <c r="A336" s="4">
        <v>967092.0</v>
      </c>
      <c r="B336" s="11">
        <v>46248.0</v>
      </c>
    </row>
    <row r="337">
      <c r="A337" s="4">
        <v>967092.0</v>
      </c>
      <c r="B337" s="11">
        <v>46249.0</v>
      </c>
    </row>
    <row r="338">
      <c r="A338" s="4">
        <v>967092.0</v>
      </c>
      <c r="B338" s="11">
        <v>46250.0</v>
      </c>
    </row>
    <row r="339">
      <c r="A339" s="4">
        <v>967092.0</v>
      </c>
      <c r="B339" s="11">
        <v>46251.0</v>
      </c>
    </row>
    <row r="340">
      <c r="A340" s="4">
        <v>967092.0</v>
      </c>
      <c r="B340" s="11">
        <v>46252.0</v>
      </c>
    </row>
    <row r="341">
      <c r="A341" s="4">
        <v>967092.0</v>
      </c>
      <c r="B341" s="11">
        <v>46253.0</v>
      </c>
    </row>
    <row r="342">
      <c r="A342" s="4">
        <v>967092.0</v>
      </c>
      <c r="B342" s="11">
        <v>46254.0</v>
      </c>
    </row>
    <row r="343">
      <c r="A343" s="4">
        <v>967092.0</v>
      </c>
      <c r="B343" s="11">
        <v>46255.0</v>
      </c>
    </row>
    <row r="344">
      <c r="A344" s="4">
        <v>967092.0</v>
      </c>
      <c r="B344" s="11">
        <v>46256.0</v>
      </c>
    </row>
    <row r="345">
      <c r="A345" s="4">
        <v>967092.0</v>
      </c>
      <c r="B345" s="11">
        <v>46257.0</v>
      </c>
    </row>
    <row r="346">
      <c r="A346" s="4">
        <v>967092.0</v>
      </c>
      <c r="B346" s="11">
        <v>46258.0</v>
      </c>
    </row>
    <row r="347">
      <c r="A347" s="4">
        <v>967092.0</v>
      </c>
      <c r="B347" s="11">
        <v>46259.0</v>
      </c>
    </row>
    <row r="348">
      <c r="A348" s="4">
        <v>967092.0</v>
      </c>
      <c r="B348" s="11">
        <v>46260.0</v>
      </c>
    </row>
    <row r="349">
      <c r="A349" s="4">
        <v>967092.0</v>
      </c>
      <c r="B349" s="11">
        <v>46261.0</v>
      </c>
    </row>
    <row r="350">
      <c r="A350" s="4">
        <v>967092.0</v>
      </c>
      <c r="B350" s="11">
        <v>46262.0</v>
      </c>
    </row>
    <row r="351">
      <c r="A351" s="4">
        <v>967092.0</v>
      </c>
      <c r="B351" s="11">
        <v>46263.0</v>
      </c>
    </row>
    <row r="352">
      <c r="A352" s="4">
        <v>967092.0</v>
      </c>
      <c r="B352" s="11">
        <v>46264.0</v>
      </c>
    </row>
    <row r="353">
      <c r="A353" s="4">
        <v>967092.0</v>
      </c>
      <c r="B353" s="11">
        <v>46265.0</v>
      </c>
    </row>
    <row r="354">
      <c r="A354" s="4">
        <v>1271571.0</v>
      </c>
      <c r="B354" s="11">
        <v>45333.0</v>
      </c>
    </row>
    <row r="355">
      <c r="A355" s="4">
        <v>1271571.0</v>
      </c>
      <c r="B355" s="11">
        <v>45334.0</v>
      </c>
    </row>
    <row r="356">
      <c r="A356" s="4">
        <v>1271571.0</v>
      </c>
      <c r="B356" s="11">
        <v>45335.0</v>
      </c>
    </row>
    <row r="357">
      <c r="A357" s="4">
        <v>1271571.0</v>
      </c>
      <c r="B357" s="11">
        <v>45336.0</v>
      </c>
    </row>
    <row r="358">
      <c r="A358" s="4">
        <v>1271571.0</v>
      </c>
      <c r="B358" s="11">
        <v>45337.0</v>
      </c>
    </row>
    <row r="359">
      <c r="A359" s="4">
        <v>1271571.0</v>
      </c>
      <c r="B359" s="11">
        <v>45338.0</v>
      </c>
    </row>
    <row r="360">
      <c r="A360" s="4">
        <v>1271571.0</v>
      </c>
      <c r="B360" s="11">
        <v>45339.0</v>
      </c>
    </row>
    <row r="361">
      <c r="A361" s="4">
        <v>1271571.0</v>
      </c>
      <c r="B361" s="11">
        <v>45340.0</v>
      </c>
    </row>
    <row r="362">
      <c r="A362" s="4">
        <v>1271571.0</v>
      </c>
      <c r="B362" s="11">
        <v>45341.0</v>
      </c>
    </row>
    <row r="363">
      <c r="A363" s="4">
        <v>1271571.0</v>
      </c>
      <c r="B363" s="11">
        <v>45342.0</v>
      </c>
    </row>
    <row r="364">
      <c r="A364" s="4">
        <v>1271571.0</v>
      </c>
      <c r="B364" s="11">
        <v>45343.0</v>
      </c>
    </row>
    <row r="365">
      <c r="A365" s="4">
        <v>1271571.0</v>
      </c>
      <c r="B365" s="11">
        <v>45344.0</v>
      </c>
    </row>
    <row r="366">
      <c r="A366" s="4">
        <v>1271571.0</v>
      </c>
      <c r="B366" s="11">
        <v>45345.0</v>
      </c>
    </row>
    <row r="367">
      <c r="A367" s="4">
        <v>1271571.0</v>
      </c>
      <c r="B367" s="11">
        <v>45346.0</v>
      </c>
    </row>
    <row r="368">
      <c r="A368" s="4">
        <v>1271571.0</v>
      </c>
      <c r="B368" s="11">
        <v>45347.0</v>
      </c>
    </row>
    <row r="369">
      <c r="A369" s="4">
        <v>1271571.0</v>
      </c>
      <c r="B369" s="11">
        <v>45505.0</v>
      </c>
    </row>
    <row r="370">
      <c r="A370" s="4">
        <v>1271571.0</v>
      </c>
      <c r="B370" s="11">
        <v>45506.0</v>
      </c>
    </row>
    <row r="371">
      <c r="A371" s="4">
        <v>1271571.0</v>
      </c>
      <c r="B371" s="11">
        <v>45507.0</v>
      </c>
    </row>
    <row r="372">
      <c r="A372" s="4">
        <v>1271571.0</v>
      </c>
      <c r="B372" s="11">
        <v>45508.0</v>
      </c>
    </row>
    <row r="373">
      <c r="A373" s="4">
        <v>1271571.0</v>
      </c>
      <c r="B373" s="11">
        <v>45509.0</v>
      </c>
    </row>
    <row r="374">
      <c r="A374" s="4">
        <v>1271571.0</v>
      </c>
      <c r="B374" s="11">
        <v>45510.0</v>
      </c>
    </row>
    <row r="375">
      <c r="A375" s="4">
        <v>1271571.0</v>
      </c>
      <c r="B375" s="11">
        <v>45511.0</v>
      </c>
    </row>
    <row r="376">
      <c r="A376" s="4">
        <v>1271571.0</v>
      </c>
      <c r="B376" s="11">
        <v>45512.0</v>
      </c>
    </row>
    <row r="377">
      <c r="A377" s="4">
        <v>1271571.0</v>
      </c>
      <c r="B377" s="11">
        <v>45513.0</v>
      </c>
    </row>
    <row r="378">
      <c r="A378" s="4">
        <v>1271571.0</v>
      </c>
      <c r="B378" s="11">
        <v>45514.0</v>
      </c>
    </row>
    <row r="379">
      <c r="A379" s="4">
        <v>1271571.0</v>
      </c>
      <c r="B379" s="11">
        <v>45515.0</v>
      </c>
    </row>
    <row r="380">
      <c r="A380" s="4">
        <v>1271571.0</v>
      </c>
      <c r="B380" s="11">
        <v>45516.0</v>
      </c>
    </row>
    <row r="381">
      <c r="A381" s="4">
        <v>1271571.0</v>
      </c>
      <c r="B381" s="11">
        <v>45517.0</v>
      </c>
    </row>
    <row r="382">
      <c r="A382" s="4">
        <v>1271571.0</v>
      </c>
      <c r="B382" s="11">
        <v>45518.0</v>
      </c>
    </row>
    <row r="383">
      <c r="A383" s="4">
        <v>1271571.0</v>
      </c>
      <c r="B383" s="11">
        <v>45519.0</v>
      </c>
    </row>
    <row r="384">
      <c r="A384" s="4">
        <v>1271571.0</v>
      </c>
      <c r="B384" s="11">
        <v>45712.0</v>
      </c>
    </row>
    <row r="385">
      <c r="A385" s="4">
        <v>1271571.0</v>
      </c>
      <c r="B385" s="11">
        <v>45713.0</v>
      </c>
    </row>
    <row r="386">
      <c r="A386" s="4">
        <v>1271571.0</v>
      </c>
      <c r="B386" s="11">
        <v>45714.0</v>
      </c>
    </row>
    <row r="387">
      <c r="A387" s="4">
        <v>1271571.0</v>
      </c>
      <c r="B387" s="11">
        <v>45715.0</v>
      </c>
    </row>
    <row r="388">
      <c r="A388" s="4">
        <v>1271571.0</v>
      </c>
      <c r="B388" s="11">
        <v>45716.0</v>
      </c>
    </row>
    <row r="389">
      <c r="A389" s="4">
        <v>1271571.0</v>
      </c>
      <c r="B389" s="11">
        <v>45717.0</v>
      </c>
    </row>
    <row r="390">
      <c r="A390" s="4">
        <v>1271571.0</v>
      </c>
      <c r="B390" s="11">
        <v>45718.0</v>
      </c>
    </row>
    <row r="391">
      <c r="A391" s="4">
        <v>1271571.0</v>
      </c>
      <c r="B391" s="11">
        <v>45719.0</v>
      </c>
    </row>
    <row r="392">
      <c r="A392" s="4">
        <v>1271571.0</v>
      </c>
      <c r="B392" s="11">
        <v>45720.0</v>
      </c>
    </row>
    <row r="393">
      <c r="A393" s="4">
        <v>1271571.0</v>
      </c>
      <c r="B393" s="11">
        <v>45721.0</v>
      </c>
    </row>
    <row r="394">
      <c r="A394" s="4">
        <v>1271571.0</v>
      </c>
      <c r="B394" s="11">
        <v>45722.0</v>
      </c>
    </row>
    <row r="395">
      <c r="A395" s="4">
        <v>1271571.0</v>
      </c>
      <c r="B395" s="11">
        <v>45723.0</v>
      </c>
    </row>
    <row r="396">
      <c r="A396" s="4">
        <v>1271571.0</v>
      </c>
      <c r="B396" s="11">
        <v>45724.0</v>
      </c>
    </row>
    <row r="397">
      <c r="A397" s="4">
        <v>1271571.0</v>
      </c>
      <c r="B397" s="11">
        <v>45725.0</v>
      </c>
    </row>
    <row r="398">
      <c r="A398" s="4">
        <v>1271571.0</v>
      </c>
      <c r="B398" s="11">
        <v>45740.0</v>
      </c>
    </row>
    <row r="399">
      <c r="A399" s="4">
        <v>1271571.0</v>
      </c>
      <c r="B399" s="11">
        <v>45741.0</v>
      </c>
    </row>
    <row r="400">
      <c r="A400" s="4">
        <v>1271571.0</v>
      </c>
      <c r="B400" s="11">
        <v>45820.0</v>
      </c>
    </row>
    <row r="401">
      <c r="A401" s="4">
        <v>1271571.0</v>
      </c>
      <c r="B401" s="11">
        <v>45821.0</v>
      </c>
    </row>
    <row r="402">
      <c r="A402" s="4">
        <v>1271571.0</v>
      </c>
      <c r="B402" s="11">
        <v>45931.0</v>
      </c>
    </row>
    <row r="403">
      <c r="A403" s="4">
        <v>1271571.0</v>
      </c>
      <c r="B403" s="11">
        <v>45932.0</v>
      </c>
    </row>
    <row r="404">
      <c r="A404" s="4">
        <v>1271571.0</v>
      </c>
      <c r="B404" s="11">
        <v>45933.0</v>
      </c>
    </row>
    <row r="405">
      <c r="A405" s="4">
        <v>1271571.0</v>
      </c>
      <c r="B405" s="11">
        <v>45934.0</v>
      </c>
    </row>
    <row r="406">
      <c r="A406" s="4">
        <v>1271571.0</v>
      </c>
      <c r="B406" s="11">
        <v>45935.0</v>
      </c>
    </row>
    <row r="407">
      <c r="A407" s="4">
        <v>1271571.0</v>
      </c>
      <c r="B407" s="11">
        <v>45936.0</v>
      </c>
    </row>
    <row r="408">
      <c r="A408" s="4">
        <v>1271571.0</v>
      </c>
      <c r="B408" s="11">
        <v>45937.0</v>
      </c>
    </row>
    <row r="409">
      <c r="A409" s="4">
        <v>1271571.0</v>
      </c>
      <c r="B409" s="11">
        <v>45938.0</v>
      </c>
    </row>
    <row r="410">
      <c r="A410" s="4">
        <v>1271571.0</v>
      </c>
      <c r="B410" s="11">
        <v>45939.0</v>
      </c>
    </row>
    <row r="411">
      <c r="A411" s="4">
        <v>1271571.0</v>
      </c>
      <c r="B411" s="11">
        <v>45940.0</v>
      </c>
    </row>
    <row r="412">
      <c r="A412" s="4">
        <v>1271571.0</v>
      </c>
      <c r="B412" s="11">
        <v>45941.0</v>
      </c>
    </row>
    <row r="413">
      <c r="A413" s="4">
        <v>1271571.0</v>
      </c>
      <c r="B413" s="11">
        <v>45942.0</v>
      </c>
    </row>
    <row r="414">
      <c r="A414" s="4">
        <v>1271571.0</v>
      </c>
      <c r="B414" s="11">
        <v>45943.0</v>
      </c>
    </row>
    <row r="415">
      <c r="A415" s="4">
        <v>1271571.0</v>
      </c>
      <c r="B415" s="11">
        <v>45944.0</v>
      </c>
    </row>
    <row r="416">
      <c r="A416" s="4">
        <v>1271571.0</v>
      </c>
      <c r="B416" s="11">
        <v>45945.0</v>
      </c>
    </row>
    <row r="417">
      <c r="A417" s="4">
        <v>1271571.0</v>
      </c>
      <c r="B417" s="11">
        <v>45946.0</v>
      </c>
    </row>
    <row r="418">
      <c r="A418" s="4">
        <v>1271571.0</v>
      </c>
      <c r="B418" s="11">
        <v>45947.0</v>
      </c>
    </row>
    <row r="419">
      <c r="A419" s="4">
        <v>1271571.0</v>
      </c>
      <c r="B419" s="11">
        <v>45948.0</v>
      </c>
    </row>
    <row r="420">
      <c r="A420" s="4">
        <v>1271571.0</v>
      </c>
      <c r="B420" s="11">
        <v>45949.0</v>
      </c>
    </row>
    <row r="421">
      <c r="A421" s="4">
        <v>1271571.0</v>
      </c>
      <c r="B421" s="11">
        <v>46076.0</v>
      </c>
    </row>
    <row r="422">
      <c r="A422" s="4">
        <v>1271571.0</v>
      </c>
      <c r="B422" s="11">
        <v>46077.0</v>
      </c>
    </row>
    <row r="423">
      <c r="A423" s="4">
        <v>1271571.0</v>
      </c>
      <c r="B423" s="11">
        <v>46078.0</v>
      </c>
    </row>
    <row r="424">
      <c r="A424" s="4">
        <v>1271571.0</v>
      </c>
      <c r="B424" s="11">
        <v>46079.0</v>
      </c>
    </row>
    <row r="425">
      <c r="A425" s="4">
        <v>1271571.0</v>
      </c>
      <c r="B425" s="11">
        <v>46080.0</v>
      </c>
    </row>
    <row r="426">
      <c r="A426" s="4">
        <v>1271571.0</v>
      </c>
      <c r="B426" s="11">
        <v>46081.0</v>
      </c>
    </row>
    <row r="427">
      <c r="A427" s="4">
        <v>1271571.0</v>
      </c>
      <c r="B427" s="11">
        <v>46082.0</v>
      </c>
    </row>
    <row r="428">
      <c r="A428" s="4">
        <v>1271571.0</v>
      </c>
      <c r="B428" s="11">
        <v>46153.0</v>
      </c>
    </row>
    <row r="429">
      <c r="A429" s="4">
        <v>1271571.0</v>
      </c>
      <c r="B429" s="11">
        <v>46154.0</v>
      </c>
    </row>
    <row r="430">
      <c r="A430" s="4">
        <v>1271571.0</v>
      </c>
      <c r="B430" s="11">
        <v>46155.0</v>
      </c>
    </row>
    <row r="431">
      <c r="A431" s="4">
        <v>1271571.0</v>
      </c>
      <c r="B431" s="11">
        <v>46156.0</v>
      </c>
    </row>
    <row r="432">
      <c r="A432" s="4">
        <v>1271571.0</v>
      </c>
      <c r="B432" s="11">
        <v>46157.0</v>
      </c>
    </row>
    <row r="433">
      <c r="A433" s="4">
        <v>1271571.0</v>
      </c>
      <c r="B433" s="11">
        <v>46158.0</v>
      </c>
    </row>
    <row r="434">
      <c r="A434" s="4">
        <v>1271571.0</v>
      </c>
      <c r="B434" s="11">
        <v>46159.0</v>
      </c>
    </row>
    <row r="435">
      <c r="A435" s="4">
        <v>1271571.0</v>
      </c>
      <c r="B435" s="11">
        <v>46237.0</v>
      </c>
    </row>
    <row r="436">
      <c r="A436" s="4">
        <v>1271571.0</v>
      </c>
      <c r="B436" s="11">
        <v>46238.0</v>
      </c>
    </row>
    <row r="437">
      <c r="A437" s="4">
        <v>1271571.0</v>
      </c>
      <c r="B437" s="11">
        <v>46239.0</v>
      </c>
    </row>
    <row r="438">
      <c r="A438" s="4">
        <v>1271571.0</v>
      </c>
      <c r="B438" s="11">
        <v>46240.0</v>
      </c>
    </row>
    <row r="439">
      <c r="A439" s="4">
        <v>1271571.0</v>
      </c>
      <c r="B439" s="11">
        <v>46241.0</v>
      </c>
    </row>
    <row r="440">
      <c r="A440" s="4">
        <v>1271571.0</v>
      </c>
      <c r="B440" s="11">
        <v>46242.0</v>
      </c>
    </row>
    <row r="441">
      <c r="A441" s="4">
        <v>1271571.0</v>
      </c>
      <c r="B441" s="11">
        <v>46243.0</v>
      </c>
    </row>
    <row r="442">
      <c r="A442" s="4">
        <v>2369624.0</v>
      </c>
      <c r="B442" s="11">
        <v>45380.0</v>
      </c>
    </row>
    <row r="443">
      <c r="A443" s="4">
        <v>2369624.0</v>
      </c>
      <c r="B443" s="11">
        <v>45381.0</v>
      </c>
    </row>
    <row r="444">
      <c r="A444" s="4">
        <v>2369624.0</v>
      </c>
      <c r="B444" s="11">
        <v>45382.0</v>
      </c>
    </row>
    <row r="445">
      <c r="A445" s="4">
        <v>2369624.0</v>
      </c>
      <c r="B445" s="11">
        <v>45383.0</v>
      </c>
    </row>
    <row r="446">
      <c r="A446" s="4">
        <v>2369624.0</v>
      </c>
      <c r="B446" s="11">
        <v>45384.0</v>
      </c>
    </row>
    <row r="447">
      <c r="A447" s="4">
        <v>2369624.0</v>
      </c>
      <c r="B447" s="11">
        <v>45385.0</v>
      </c>
    </row>
    <row r="448">
      <c r="A448" s="4">
        <v>2369624.0</v>
      </c>
      <c r="B448" s="11">
        <v>45386.0</v>
      </c>
    </row>
    <row r="449">
      <c r="A449" s="4">
        <v>2369624.0</v>
      </c>
      <c r="B449" s="11">
        <v>45387.0</v>
      </c>
    </row>
    <row r="450">
      <c r="A450" s="4">
        <v>2369624.0</v>
      </c>
      <c r="B450" s="11">
        <v>45388.0</v>
      </c>
    </row>
    <row r="451">
      <c r="A451" s="4">
        <v>2369624.0</v>
      </c>
      <c r="B451" s="11">
        <v>45389.0</v>
      </c>
    </row>
    <row r="452">
      <c r="A452" s="4">
        <v>2369624.0</v>
      </c>
      <c r="B452" s="11">
        <v>45566.0</v>
      </c>
    </row>
    <row r="453">
      <c r="A453" s="4">
        <v>2369624.0</v>
      </c>
      <c r="B453" s="11">
        <v>45567.0</v>
      </c>
    </row>
    <row r="454">
      <c r="A454" s="4">
        <v>2369624.0</v>
      </c>
      <c r="B454" s="11">
        <v>45568.0</v>
      </c>
    </row>
    <row r="455">
      <c r="A455" s="4">
        <v>2369624.0</v>
      </c>
      <c r="B455" s="11">
        <v>45569.0</v>
      </c>
    </row>
    <row r="456">
      <c r="A456" s="4">
        <v>2369624.0</v>
      </c>
      <c r="B456" s="11">
        <v>45570.0</v>
      </c>
    </row>
    <row r="457">
      <c r="A457" s="4">
        <v>2369624.0</v>
      </c>
      <c r="B457" s="11">
        <v>45571.0</v>
      </c>
    </row>
    <row r="458">
      <c r="A458" s="4">
        <v>2369624.0</v>
      </c>
      <c r="B458" s="11">
        <v>45572.0</v>
      </c>
    </row>
    <row r="459">
      <c r="A459" s="4">
        <v>2369624.0</v>
      </c>
      <c r="B459" s="11">
        <v>45573.0</v>
      </c>
    </row>
    <row r="460">
      <c r="A460" s="4">
        <v>2369624.0</v>
      </c>
      <c r="B460" s="11">
        <v>45574.0</v>
      </c>
    </row>
    <row r="461">
      <c r="A461" s="4">
        <v>2369624.0</v>
      </c>
      <c r="B461" s="11">
        <v>45575.0</v>
      </c>
    </row>
    <row r="462">
      <c r="A462" s="4">
        <v>2369624.0</v>
      </c>
      <c r="B462" s="11">
        <v>45576.0</v>
      </c>
    </row>
    <row r="463">
      <c r="A463" s="4">
        <v>2369624.0</v>
      </c>
      <c r="B463" s="11">
        <v>45577.0</v>
      </c>
    </row>
    <row r="464">
      <c r="A464" s="4">
        <v>2369624.0</v>
      </c>
      <c r="B464" s="11">
        <v>45578.0</v>
      </c>
    </row>
    <row r="465">
      <c r="A465" s="4">
        <v>2369624.0</v>
      </c>
      <c r="B465" s="11">
        <v>45579.0</v>
      </c>
    </row>
    <row r="466">
      <c r="A466" s="4">
        <v>2369624.0</v>
      </c>
      <c r="B466" s="11">
        <v>45580.0</v>
      </c>
    </row>
    <row r="467">
      <c r="A467" s="4">
        <v>2369624.0</v>
      </c>
      <c r="B467" s="11">
        <v>45581.0</v>
      </c>
    </row>
    <row r="468">
      <c r="A468" s="4">
        <v>2369624.0</v>
      </c>
      <c r="B468" s="11">
        <v>45582.0</v>
      </c>
    </row>
    <row r="469">
      <c r="A469" s="4">
        <v>2369624.0</v>
      </c>
      <c r="B469" s="11">
        <v>45583.0</v>
      </c>
    </row>
    <row r="470">
      <c r="A470" s="4">
        <v>2369624.0</v>
      </c>
      <c r="B470" s="11">
        <v>45584.0</v>
      </c>
    </row>
    <row r="471">
      <c r="A471" s="4">
        <v>2369624.0</v>
      </c>
      <c r="B471" s="11">
        <v>45585.0</v>
      </c>
    </row>
    <row r="472">
      <c r="A472" s="4">
        <v>2369624.0</v>
      </c>
      <c r="B472" s="11">
        <v>45586.0</v>
      </c>
    </row>
    <row r="473">
      <c r="A473" s="4">
        <v>2369624.0</v>
      </c>
      <c r="B473" s="11">
        <v>45587.0</v>
      </c>
    </row>
    <row r="474">
      <c r="A474" s="4">
        <v>2369624.0</v>
      </c>
      <c r="B474" s="11">
        <v>45588.0</v>
      </c>
    </row>
    <row r="475">
      <c r="A475" s="4">
        <v>2369624.0</v>
      </c>
      <c r="B475" s="11">
        <v>45642.0</v>
      </c>
    </row>
    <row r="476">
      <c r="A476" s="4">
        <v>2369624.0</v>
      </c>
      <c r="B476" s="11">
        <v>45643.0</v>
      </c>
    </row>
    <row r="477">
      <c r="A477" s="4">
        <v>2369624.0</v>
      </c>
      <c r="B477" s="11">
        <v>45644.0</v>
      </c>
    </row>
    <row r="478">
      <c r="A478" s="4">
        <v>2369624.0</v>
      </c>
      <c r="B478" s="11">
        <v>45645.0</v>
      </c>
    </row>
    <row r="479">
      <c r="A479" s="4">
        <v>2369624.0</v>
      </c>
      <c r="B479" s="11">
        <v>45646.0</v>
      </c>
    </row>
    <row r="480">
      <c r="A480" s="4">
        <v>2369624.0</v>
      </c>
      <c r="B480" s="11">
        <v>45647.0</v>
      </c>
    </row>
    <row r="481">
      <c r="A481" s="4">
        <v>2369624.0</v>
      </c>
      <c r="B481" s="11">
        <v>45648.0</v>
      </c>
    </row>
    <row r="482">
      <c r="A482" s="4">
        <v>2369624.0</v>
      </c>
      <c r="B482" s="11">
        <v>45649.0</v>
      </c>
    </row>
    <row r="483">
      <c r="A483" s="4">
        <v>2369624.0</v>
      </c>
      <c r="B483" s="11">
        <v>45750.0</v>
      </c>
    </row>
    <row r="484">
      <c r="A484" s="4">
        <v>2369624.0</v>
      </c>
      <c r="B484" s="11">
        <v>45751.0</v>
      </c>
    </row>
    <row r="485">
      <c r="A485" s="4">
        <v>2369624.0</v>
      </c>
      <c r="B485" s="11">
        <v>45752.0</v>
      </c>
    </row>
    <row r="486">
      <c r="A486" s="4">
        <v>2369624.0</v>
      </c>
      <c r="B486" s="11">
        <v>45753.0</v>
      </c>
    </row>
    <row r="487">
      <c r="A487" s="4">
        <v>2369624.0</v>
      </c>
      <c r="B487" s="11">
        <v>45754.0</v>
      </c>
    </row>
    <row r="488">
      <c r="A488" s="4">
        <v>2369624.0</v>
      </c>
      <c r="B488" s="11">
        <v>45755.0</v>
      </c>
    </row>
    <row r="489">
      <c r="A489" s="4">
        <v>2369624.0</v>
      </c>
      <c r="B489" s="11">
        <v>45756.0</v>
      </c>
    </row>
    <row r="490">
      <c r="A490" s="4">
        <v>2369624.0</v>
      </c>
      <c r="B490" s="11">
        <v>45757.0</v>
      </c>
    </row>
    <row r="491">
      <c r="A491" s="4">
        <v>2369624.0</v>
      </c>
      <c r="B491" s="11">
        <v>45758.0</v>
      </c>
    </row>
    <row r="492">
      <c r="A492" s="4">
        <v>2369624.0</v>
      </c>
      <c r="B492" s="11">
        <v>45759.0</v>
      </c>
    </row>
    <row r="493">
      <c r="A493" s="4">
        <v>2369624.0</v>
      </c>
      <c r="B493" s="11">
        <v>45760.0</v>
      </c>
    </row>
    <row r="494">
      <c r="A494" s="4">
        <v>2369624.0</v>
      </c>
      <c r="B494" s="11">
        <v>45761.0</v>
      </c>
    </row>
    <row r="495">
      <c r="A495" s="4">
        <v>2369624.0</v>
      </c>
      <c r="B495" s="11">
        <v>45762.0</v>
      </c>
    </row>
    <row r="496">
      <c r="A496" s="4">
        <v>2369624.0</v>
      </c>
      <c r="B496" s="11">
        <v>45764.0</v>
      </c>
    </row>
    <row r="497">
      <c r="A497" s="4">
        <v>2369624.0</v>
      </c>
      <c r="B497" s="11">
        <v>45765.0</v>
      </c>
    </row>
    <row r="498">
      <c r="A498" s="4">
        <v>2369624.0</v>
      </c>
      <c r="B498" s="11">
        <v>45766.0</v>
      </c>
    </row>
    <row r="499">
      <c r="A499" s="4">
        <v>2369624.0</v>
      </c>
      <c r="B499" s="11">
        <v>45767.0</v>
      </c>
    </row>
    <row r="500">
      <c r="A500" s="4">
        <v>2369624.0</v>
      </c>
      <c r="B500" s="11">
        <v>45768.0</v>
      </c>
    </row>
    <row r="501">
      <c r="A501" s="4">
        <v>2369624.0</v>
      </c>
      <c r="B501" s="11">
        <v>45769.0</v>
      </c>
    </row>
    <row r="502">
      <c r="A502" s="4">
        <v>2369624.0</v>
      </c>
      <c r="B502" s="11">
        <v>45770.0</v>
      </c>
    </row>
    <row r="503">
      <c r="A503" s="4">
        <v>2369624.0</v>
      </c>
      <c r="B503" s="11">
        <v>45771.0</v>
      </c>
    </row>
    <row r="504">
      <c r="A504" s="4">
        <v>2369624.0</v>
      </c>
      <c r="B504" s="11">
        <v>45772.0</v>
      </c>
    </row>
    <row r="505">
      <c r="A505" s="4">
        <v>2369624.0</v>
      </c>
      <c r="B505" s="11">
        <v>45773.0</v>
      </c>
    </row>
    <row r="506">
      <c r="A506" s="4">
        <v>2369624.0</v>
      </c>
      <c r="B506" s="11">
        <v>45774.0</v>
      </c>
    </row>
    <row r="507">
      <c r="A507" s="4">
        <v>2369624.0</v>
      </c>
      <c r="B507" s="11">
        <v>45775.0</v>
      </c>
    </row>
    <row r="508">
      <c r="A508" s="4">
        <v>2369624.0</v>
      </c>
      <c r="B508" s="11">
        <v>45776.0</v>
      </c>
    </row>
    <row r="509">
      <c r="A509" s="4">
        <v>2369624.0</v>
      </c>
      <c r="B509" s="11">
        <v>45777.0</v>
      </c>
    </row>
    <row r="510">
      <c r="A510" s="4">
        <v>2369624.0</v>
      </c>
      <c r="B510" s="11">
        <v>45931.0</v>
      </c>
    </row>
    <row r="511">
      <c r="A511" s="4">
        <v>2369624.0</v>
      </c>
      <c r="B511" s="11">
        <v>45932.0</v>
      </c>
    </row>
    <row r="512">
      <c r="A512" s="4">
        <v>2369624.0</v>
      </c>
      <c r="B512" s="11">
        <v>45933.0</v>
      </c>
    </row>
    <row r="513">
      <c r="A513" s="4">
        <v>2369624.0</v>
      </c>
      <c r="B513" s="11">
        <v>45934.0</v>
      </c>
    </row>
    <row r="514">
      <c r="A514" s="4">
        <v>2369624.0</v>
      </c>
      <c r="B514" s="11">
        <v>45935.0</v>
      </c>
    </row>
    <row r="515">
      <c r="A515" s="4">
        <v>2369624.0</v>
      </c>
      <c r="B515" s="11">
        <v>45936.0</v>
      </c>
    </row>
    <row r="516">
      <c r="A516" s="4">
        <v>2369624.0</v>
      </c>
      <c r="B516" s="11">
        <v>45937.0</v>
      </c>
    </row>
    <row r="517">
      <c r="A517" s="4">
        <v>2369624.0</v>
      </c>
      <c r="B517" s="11">
        <v>45938.0</v>
      </c>
    </row>
    <row r="518">
      <c r="A518" s="4">
        <v>2369624.0</v>
      </c>
      <c r="B518" s="11">
        <v>45939.0</v>
      </c>
    </row>
    <row r="519">
      <c r="A519" s="4">
        <v>2369624.0</v>
      </c>
      <c r="B519" s="11">
        <v>45940.0</v>
      </c>
    </row>
    <row r="520">
      <c r="A520" s="4">
        <v>2369624.0</v>
      </c>
      <c r="B520" s="11">
        <v>45941.0</v>
      </c>
    </row>
    <row r="521">
      <c r="A521" s="4">
        <v>2369624.0</v>
      </c>
      <c r="B521" s="11">
        <v>45942.0</v>
      </c>
    </row>
    <row r="522">
      <c r="A522" s="4">
        <v>2369624.0</v>
      </c>
      <c r="B522" s="11">
        <v>45943.0</v>
      </c>
    </row>
    <row r="523">
      <c r="A523" s="4">
        <v>2369624.0</v>
      </c>
      <c r="B523" s="11">
        <v>45944.0</v>
      </c>
    </row>
    <row r="524">
      <c r="A524" s="4">
        <v>2369624.0</v>
      </c>
      <c r="B524" s="11">
        <v>45945.0</v>
      </c>
    </row>
    <row r="525">
      <c r="A525" s="4">
        <v>2369624.0</v>
      </c>
      <c r="B525" s="11">
        <v>46015.0</v>
      </c>
    </row>
    <row r="526">
      <c r="A526" s="4">
        <v>2369624.0</v>
      </c>
      <c r="B526" s="11">
        <v>46016.0</v>
      </c>
    </row>
    <row r="527">
      <c r="A527" s="4">
        <v>2369624.0</v>
      </c>
      <c r="B527" s="11">
        <v>46017.0</v>
      </c>
    </row>
    <row r="528">
      <c r="A528" s="4">
        <v>2369624.0</v>
      </c>
      <c r="B528" s="11">
        <v>46018.0</v>
      </c>
    </row>
    <row r="529">
      <c r="A529" s="4">
        <v>2369624.0</v>
      </c>
      <c r="B529" s="11">
        <v>46019.0</v>
      </c>
    </row>
    <row r="530">
      <c r="A530" s="4">
        <v>2369624.0</v>
      </c>
      <c r="B530" s="11">
        <v>46020.0</v>
      </c>
    </row>
    <row r="531">
      <c r="A531" s="4">
        <v>2369624.0</v>
      </c>
      <c r="B531" s="11">
        <v>46021.0</v>
      </c>
    </row>
    <row r="532">
      <c r="A532" s="4">
        <v>2369624.0</v>
      </c>
      <c r="B532" s="11">
        <v>46022.0</v>
      </c>
    </row>
    <row r="533">
      <c r="A533" s="4">
        <v>2369624.0</v>
      </c>
      <c r="B533" s="11">
        <v>46023.0</v>
      </c>
    </row>
    <row r="534">
      <c r="A534" s="4">
        <v>2369624.0</v>
      </c>
      <c r="B534" s="11">
        <v>46024.0</v>
      </c>
    </row>
    <row r="535">
      <c r="A535" s="4">
        <v>2369624.0</v>
      </c>
      <c r="B535" s="11">
        <v>46025.0</v>
      </c>
    </row>
    <row r="536">
      <c r="A536" s="4">
        <v>2369624.0</v>
      </c>
      <c r="B536" s="11">
        <v>46026.0</v>
      </c>
    </row>
    <row r="537">
      <c r="A537" s="4">
        <v>2369624.0</v>
      </c>
      <c r="B537" s="11">
        <v>46027.0</v>
      </c>
    </row>
    <row r="538">
      <c r="A538" s="4">
        <v>2369624.0</v>
      </c>
      <c r="B538" s="11">
        <v>46028.0</v>
      </c>
    </row>
    <row r="539">
      <c r="A539" s="4">
        <v>2369624.0</v>
      </c>
      <c r="B539" s="11">
        <v>46128.0</v>
      </c>
    </row>
    <row r="540">
      <c r="A540" s="4">
        <v>2369624.0</v>
      </c>
      <c r="B540" s="11">
        <v>46129.0</v>
      </c>
    </row>
    <row r="541">
      <c r="A541" s="4">
        <v>2369624.0</v>
      </c>
      <c r="B541" s="11">
        <v>46130.0</v>
      </c>
    </row>
    <row r="542">
      <c r="A542" s="4">
        <v>2369624.0</v>
      </c>
      <c r="B542" s="11">
        <v>46131.0</v>
      </c>
    </row>
    <row r="543">
      <c r="A543" s="4">
        <v>2369624.0</v>
      </c>
      <c r="B543" s="11">
        <v>46132.0</v>
      </c>
    </row>
    <row r="544">
      <c r="A544" s="4">
        <v>2369624.0</v>
      </c>
      <c r="B544" s="11">
        <v>46133.0</v>
      </c>
    </row>
    <row r="545">
      <c r="A545" s="4">
        <v>2369624.0</v>
      </c>
      <c r="B545" s="11">
        <v>46134.0</v>
      </c>
    </row>
    <row r="546">
      <c r="A546" s="4">
        <v>2369624.0</v>
      </c>
      <c r="B546" s="11">
        <v>46235.0</v>
      </c>
    </row>
    <row r="547">
      <c r="A547" s="4">
        <v>2369624.0</v>
      </c>
      <c r="B547" s="11">
        <v>46236.0</v>
      </c>
    </row>
    <row r="548">
      <c r="A548" s="4">
        <v>2369624.0</v>
      </c>
      <c r="B548" s="11">
        <v>46237.0</v>
      </c>
    </row>
    <row r="549">
      <c r="A549" s="4">
        <v>2369624.0</v>
      </c>
      <c r="B549" s="11">
        <v>46238.0</v>
      </c>
    </row>
    <row r="550">
      <c r="A550" s="4">
        <v>2369624.0</v>
      </c>
      <c r="B550" s="11">
        <v>46239.0</v>
      </c>
    </row>
    <row r="551">
      <c r="A551" s="4">
        <v>2369624.0</v>
      </c>
      <c r="B551" s="11">
        <v>46240.0</v>
      </c>
    </row>
    <row r="552">
      <c r="A552" s="4">
        <v>2369624.0</v>
      </c>
      <c r="B552" s="11">
        <v>46241.0</v>
      </c>
    </row>
    <row r="553">
      <c r="A553" s="4">
        <v>2369624.0</v>
      </c>
      <c r="B553" s="11">
        <v>46266.0</v>
      </c>
    </row>
    <row r="554">
      <c r="A554" s="4">
        <v>2369624.0</v>
      </c>
      <c r="B554" s="11">
        <v>46267.0</v>
      </c>
    </row>
    <row r="555">
      <c r="A555" s="4">
        <v>2369624.0</v>
      </c>
      <c r="B555" s="11">
        <v>46268.0</v>
      </c>
    </row>
    <row r="556">
      <c r="A556" s="4">
        <v>2369624.0</v>
      </c>
      <c r="B556" s="11">
        <v>46269.0</v>
      </c>
    </row>
    <row r="557">
      <c r="A557" s="4">
        <v>2369624.0</v>
      </c>
      <c r="B557" s="11">
        <v>46270.0</v>
      </c>
    </row>
    <row r="558">
      <c r="A558" s="4">
        <v>2369624.0</v>
      </c>
      <c r="B558" s="11">
        <v>46271.0</v>
      </c>
    </row>
    <row r="559">
      <c r="A559" s="4">
        <v>2369624.0</v>
      </c>
      <c r="B559" s="11">
        <v>46272.0</v>
      </c>
    </row>
    <row r="560">
      <c r="A560" s="4">
        <v>2369624.0</v>
      </c>
      <c r="B560" s="11">
        <v>46296.0</v>
      </c>
    </row>
    <row r="561">
      <c r="A561" s="4">
        <v>2369624.0</v>
      </c>
      <c r="B561" s="11">
        <v>46297.0</v>
      </c>
    </row>
    <row r="562">
      <c r="A562" s="4">
        <v>2369624.0</v>
      </c>
      <c r="B562" s="11">
        <v>46298.0</v>
      </c>
    </row>
    <row r="563">
      <c r="A563" s="4">
        <v>2369624.0</v>
      </c>
      <c r="B563" s="11">
        <v>46299.0</v>
      </c>
    </row>
    <row r="564">
      <c r="A564" s="4">
        <v>2369624.0</v>
      </c>
      <c r="B564" s="11">
        <v>46300.0</v>
      </c>
    </row>
    <row r="565">
      <c r="A565" s="4">
        <v>2369624.0</v>
      </c>
      <c r="B565" s="11">
        <v>46301.0</v>
      </c>
    </row>
    <row r="566">
      <c r="A566" s="4">
        <v>2369624.0</v>
      </c>
      <c r="B566" s="11">
        <v>46302.0</v>
      </c>
    </row>
    <row r="567">
      <c r="A567" s="4">
        <v>2369624.0</v>
      </c>
      <c r="B567" s="11">
        <v>46303.0</v>
      </c>
    </row>
    <row r="568">
      <c r="A568" s="4">
        <v>2369624.0</v>
      </c>
      <c r="B568" s="11">
        <v>46304.0</v>
      </c>
    </row>
    <row r="569">
      <c r="A569" s="4">
        <v>2369624.0</v>
      </c>
      <c r="B569" s="11">
        <v>46305.0</v>
      </c>
    </row>
    <row r="570">
      <c r="A570" s="4">
        <v>2369624.0</v>
      </c>
      <c r="B570" s="11">
        <v>46306.0</v>
      </c>
    </row>
    <row r="571">
      <c r="A571" s="4">
        <v>2369624.0</v>
      </c>
      <c r="B571" s="11">
        <v>46307.0</v>
      </c>
    </row>
    <row r="572">
      <c r="A572" s="4">
        <v>2369624.0</v>
      </c>
      <c r="B572" s="11">
        <v>46308.0</v>
      </c>
    </row>
    <row r="573">
      <c r="A573" s="4">
        <v>2369624.0</v>
      </c>
      <c r="B573" s="11">
        <v>46309.0</v>
      </c>
    </row>
    <row r="574">
      <c r="A574" s="4">
        <v>2369624.0</v>
      </c>
      <c r="B574" s="11">
        <v>46310.0</v>
      </c>
    </row>
    <row r="575">
      <c r="A575" s="4">
        <v>2369641.0</v>
      </c>
      <c r="B575" s="11">
        <v>45292.0</v>
      </c>
    </row>
    <row r="576">
      <c r="A576" s="4">
        <v>2369641.0</v>
      </c>
      <c r="B576" s="11">
        <v>45293.0</v>
      </c>
    </row>
    <row r="577">
      <c r="A577" s="4">
        <v>2369641.0</v>
      </c>
      <c r="B577" s="11">
        <v>45294.0</v>
      </c>
    </row>
    <row r="578">
      <c r="A578" s="4">
        <v>2369641.0</v>
      </c>
      <c r="B578" s="11">
        <v>45295.0</v>
      </c>
    </row>
    <row r="579">
      <c r="A579" s="4">
        <v>2369641.0</v>
      </c>
      <c r="B579" s="11">
        <v>45296.0</v>
      </c>
    </row>
    <row r="580">
      <c r="A580" s="4">
        <v>2369641.0</v>
      </c>
      <c r="B580" s="11">
        <v>45297.0</v>
      </c>
    </row>
    <row r="581">
      <c r="A581" s="4">
        <v>2369641.0</v>
      </c>
      <c r="B581" s="11">
        <v>45298.0</v>
      </c>
    </row>
    <row r="582">
      <c r="A582" s="4">
        <v>2369641.0</v>
      </c>
      <c r="B582" s="11">
        <v>45299.0</v>
      </c>
    </row>
    <row r="583">
      <c r="A583" s="4">
        <v>2369641.0</v>
      </c>
      <c r="B583" s="11">
        <v>45300.0</v>
      </c>
    </row>
    <row r="584">
      <c r="A584" s="4">
        <v>2369641.0</v>
      </c>
      <c r="B584" s="11">
        <v>45301.0</v>
      </c>
    </row>
    <row r="585">
      <c r="A585" s="4">
        <v>2369641.0</v>
      </c>
      <c r="B585" s="11">
        <v>45466.0</v>
      </c>
    </row>
    <row r="586">
      <c r="A586" s="4">
        <v>2369641.0</v>
      </c>
      <c r="B586" s="11">
        <v>45467.0</v>
      </c>
    </row>
    <row r="587">
      <c r="A587" s="4">
        <v>2369641.0</v>
      </c>
      <c r="B587" s="11">
        <v>45468.0</v>
      </c>
    </row>
    <row r="588">
      <c r="A588" s="4">
        <v>2369641.0</v>
      </c>
      <c r="B588" s="11">
        <v>45469.0</v>
      </c>
    </row>
    <row r="589">
      <c r="A589" s="4">
        <v>2369641.0</v>
      </c>
      <c r="B589" s="11">
        <v>45470.0</v>
      </c>
    </row>
    <row r="590">
      <c r="A590" s="4">
        <v>2369641.0</v>
      </c>
      <c r="B590" s="11">
        <v>45471.0</v>
      </c>
    </row>
    <row r="591">
      <c r="A591" s="4">
        <v>2369641.0</v>
      </c>
      <c r="B591" s="11">
        <v>45472.0</v>
      </c>
    </row>
    <row r="592">
      <c r="A592" s="4">
        <v>2369641.0</v>
      </c>
      <c r="B592" s="11">
        <v>45473.0</v>
      </c>
    </row>
    <row r="593">
      <c r="A593" s="4">
        <v>2369641.0</v>
      </c>
      <c r="B593" s="11">
        <v>45543.0</v>
      </c>
    </row>
    <row r="594">
      <c r="A594" s="4">
        <v>2369641.0</v>
      </c>
      <c r="B594" s="11">
        <v>45544.0</v>
      </c>
    </row>
    <row r="595">
      <c r="A595" s="4">
        <v>2369641.0</v>
      </c>
      <c r="B595" s="11">
        <v>45545.0</v>
      </c>
    </row>
    <row r="596">
      <c r="A596" s="4">
        <v>2369641.0</v>
      </c>
      <c r="B596" s="11">
        <v>45546.0</v>
      </c>
    </row>
    <row r="597">
      <c r="A597" s="4">
        <v>2369641.0</v>
      </c>
      <c r="B597" s="11">
        <v>45547.0</v>
      </c>
    </row>
    <row r="598">
      <c r="A598" s="4">
        <v>2369641.0</v>
      </c>
      <c r="B598" s="11">
        <v>45548.0</v>
      </c>
    </row>
    <row r="599">
      <c r="A599" s="4">
        <v>2369641.0</v>
      </c>
      <c r="B599" s="11">
        <v>45549.0</v>
      </c>
    </row>
    <row r="600">
      <c r="A600" s="4">
        <v>2369641.0</v>
      </c>
      <c r="B600" s="11">
        <v>45550.0</v>
      </c>
    </row>
    <row r="601">
      <c r="A601" s="4">
        <v>2369641.0</v>
      </c>
      <c r="B601" s="11">
        <v>45551.0</v>
      </c>
    </row>
    <row r="602">
      <c r="A602" s="4">
        <v>2369641.0</v>
      </c>
      <c r="B602" s="11">
        <v>45552.0</v>
      </c>
    </row>
    <row r="603">
      <c r="A603" s="4">
        <v>2369641.0</v>
      </c>
      <c r="B603" s="11">
        <v>45553.0</v>
      </c>
    </row>
    <row r="604">
      <c r="A604" s="4">
        <v>2369641.0</v>
      </c>
      <c r="B604" s="11">
        <v>45554.0</v>
      </c>
    </row>
    <row r="605">
      <c r="A605" s="4">
        <v>2369641.0</v>
      </c>
      <c r="B605" s="11">
        <v>45555.0</v>
      </c>
    </row>
    <row r="606">
      <c r="A606" s="4">
        <v>2369641.0</v>
      </c>
      <c r="B606" s="11">
        <v>45556.0</v>
      </c>
    </row>
    <row r="607">
      <c r="A607" s="4">
        <v>2369641.0</v>
      </c>
      <c r="B607" s="11">
        <v>45557.0</v>
      </c>
    </row>
    <row r="608">
      <c r="A608" s="4">
        <v>2369641.0</v>
      </c>
      <c r="B608" s="11">
        <v>45558.0</v>
      </c>
    </row>
    <row r="609">
      <c r="A609" s="4">
        <v>2369641.0</v>
      </c>
      <c r="B609" s="11">
        <v>45559.0</v>
      </c>
    </row>
    <row r="610">
      <c r="A610" s="4">
        <v>2369641.0</v>
      </c>
      <c r="B610" s="11">
        <v>45560.0</v>
      </c>
    </row>
    <row r="611">
      <c r="A611" s="4">
        <v>2369641.0</v>
      </c>
      <c r="B611" s="11">
        <v>45561.0</v>
      </c>
    </row>
    <row r="612">
      <c r="A612" s="4">
        <v>2369641.0</v>
      </c>
      <c r="B612" s="11">
        <v>45562.0</v>
      </c>
    </row>
    <row r="613">
      <c r="A613" s="4">
        <v>2369641.0</v>
      </c>
      <c r="B613" s="11">
        <v>45563.0</v>
      </c>
    </row>
    <row r="614">
      <c r="A614" s="4">
        <v>2369641.0</v>
      </c>
      <c r="B614" s="11">
        <v>45564.0</v>
      </c>
    </row>
    <row r="615">
      <c r="A615" s="4">
        <v>2369641.0</v>
      </c>
      <c r="B615" s="11">
        <v>45565.0</v>
      </c>
    </row>
    <row r="616">
      <c r="A616" s="4">
        <v>2369641.0</v>
      </c>
      <c r="B616" s="11">
        <v>45658.0</v>
      </c>
    </row>
    <row r="617">
      <c r="A617" s="4">
        <v>2369641.0</v>
      </c>
      <c r="B617" s="11">
        <v>45659.0</v>
      </c>
    </row>
    <row r="618">
      <c r="A618" s="4">
        <v>2369641.0</v>
      </c>
      <c r="B618" s="11">
        <v>45660.0</v>
      </c>
    </row>
    <row r="619">
      <c r="A619" s="4">
        <v>2369641.0</v>
      </c>
      <c r="B619" s="11">
        <v>45661.0</v>
      </c>
    </row>
    <row r="620">
      <c r="A620" s="4">
        <v>2369641.0</v>
      </c>
      <c r="B620" s="11">
        <v>45662.0</v>
      </c>
    </row>
    <row r="621">
      <c r="A621" s="4">
        <v>2369641.0</v>
      </c>
      <c r="B621" s="11">
        <v>45663.0</v>
      </c>
    </row>
    <row r="622">
      <c r="A622" s="4">
        <v>2369641.0</v>
      </c>
      <c r="B622" s="11">
        <v>45664.0</v>
      </c>
    </row>
    <row r="623">
      <c r="A623" s="4">
        <v>2369641.0</v>
      </c>
      <c r="B623" s="11">
        <v>45665.0</v>
      </c>
    </row>
    <row r="624">
      <c r="A624" s="4">
        <v>2369641.0</v>
      </c>
      <c r="B624" s="11">
        <v>45666.0</v>
      </c>
    </row>
    <row r="625">
      <c r="A625" s="4">
        <v>2369641.0</v>
      </c>
      <c r="B625" s="11">
        <v>45667.0</v>
      </c>
    </row>
    <row r="626">
      <c r="A626" s="4">
        <v>2369641.0</v>
      </c>
      <c r="B626" s="11">
        <v>45668.0</v>
      </c>
    </row>
    <row r="627">
      <c r="A627" s="4">
        <v>2369641.0</v>
      </c>
      <c r="B627" s="11">
        <v>45669.0</v>
      </c>
    </row>
    <row r="628">
      <c r="A628" s="4">
        <v>2369641.0</v>
      </c>
      <c r="B628" s="11">
        <v>45793.0</v>
      </c>
    </row>
    <row r="629">
      <c r="A629" s="4">
        <v>2369641.0</v>
      </c>
      <c r="B629" s="11">
        <v>45794.0</v>
      </c>
    </row>
    <row r="630">
      <c r="A630" s="4">
        <v>2369641.0</v>
      </c>
      <c r="B630" s="11">
        <v>45795.0</v>
      </c>
    </row>
    <row r="631">
      <c r="A631" s="4">
        <v>2369641.0</v>
      </c>
      <c r="B631" s="11">
        <v>45796.0</v>
      </c>
    </row>
    <row r="632">
      <c r="A632" s="4">
        <v>2369641.0</v>
      </c>
      <c r="B632" s="11">
        <v>45797.0</v>
      </c>
    </row>
    <row r="633">
      <c r="A633" s="4">
        <v>2369641.0</v>
      </c>
      <c r="B633" s="11">
        <v>45798.0</v>
      </c>
    </row>
    <row r="634">
      <c r="A634" s="4">
        <v>2369641.0</v>
      </c>
      <c r="B634" s="11">
        <v>45799.0</v>
      </c>
    </row>
    <row r="635">
      <c r="A635" s="4">
        <v>2369641.0</v>
      </c>
      <c r="B635" s="11">
        <v>45800.0</v>
      </c>
    </row>
    <row r="636">
      <c r="A636" s="4">
        <v>2369641.0</v>
      </c>
      <c r="B636" s="11">
        <v>45908.0</v>
      </c>
    </row>
    <row r="637">
      <c r="A637" s="4">
        <v>2369641.0</v>
      </c>
      <c r="B637" s="11">
        <v>45909.0</v>
      </c>
    </row>
    <row r="638">
      <c r="A638" s="4">
        <v>2369641.0</v>
      </c>
      <c r="B638" s="11">
        <v>45910.0</v>
      </c>
    </row>
    <row r="639">
      <c r="A639" s="4">
        <v>2369641.0</v>
      </c>
      <c r="B639" s="11">
        <v>45911.0</v>
      </c>
    </row>
    <row r="640">
      <c r="A640" s="4">
        <v>2369641.0</v>
      </c>
      <c r="B640" s="11">
        <v>45912.0</v>
      </c>
    </row>
    <row r="641">
      <c r="A641" s="4">
        <v>2369641.0</v>
      </c>
      <c r="B641" s="11">
        <v>45913.0</v>
      </c>
    </row>
    <row r="642">
      <c r="A642" s="4">
        <v>2369641.0</v>
      </c>
      <c r="B642" s="11">
        <v>45914.0</v>
      </c>
    </row>
    <row r="643">
      <c r="A643" s="4">
        <v>2369641.0</v>
      </c>
      <c r="B643" s="11">
        <v>45915.0</v>
      </c>
    </row>
    <row r="644">
      <c r="A644" s="4">
        <v>2369641.0</v>
      </c>
      <c r="B644" s="11">
        <v>45999.0</v>
      </c>
    </row>
    <row r="645">
      <c r="A645" s="4">
        <v>2369641.0</v>
      </c>
      <c r="B645" s="11">
        <v>46000.0</v>
      </c>
    </row>
    <row r="646">
      <c r="A646" s="4">
        <v>2369641.0</v>
      </c>
      <c r="B646" s="11">
        <v>46001.0</v>
      </c>
    </row>
    <row r="647">
      <c r="A647" s="4">
        <v>2369641.0</v>
      </c>
      <c r="B647" s="11">
        <v>46002.0</v>
      </c>
    </row>
    <row r="648">
      <c r="A648" s="4">
        <v>2369641.0</v>
      </c>
      <c r="B648" s="11">
        <v>46003.0</v>
      </c>
    </row>
    <row r="649">
      <c r="A649" s="4">
        <v>2369641.0</v>
      </c>
      <c r="B649" s="11">
        <v>46004.0</v>
      </c>
    </row>
    <row r="650">
      <c r="A650" s="4">
        <v>2369641.0</v>
      </c>
      <c r="B650" s="11">
        <v>46005.0</v>
      </c>
    </row>
    <row r="651">
      <c r="A651" s="4">
        <v>2369641.0</v>
      </c>
      <c r="B651" s="11">
        <v>46006.0</v>
      </c>
    </row>
    <row r="652">
      <c r="A652" s="4">
        <v>2369641.0</v>
      </c>
      <c r="B652" s="11">
        <v>46007.0</v>
      </c>
    </row>
    <row r="653">
      <c r="A653" s="4">
        <v>2369641.0</v>
      </c>
      <c r="B653" s="11">
        <v>46008.0</v>
      </c>
    </row>
    <row r="654">
      <c r="A654" s="4">
        <v>2369641.0</v>
      </c>
      <c r="B654" s="11">
        <v>46009.0</v>
      </c>
    </row>
    <row r="655">
      <c r="A655" s="4">
        <v>2369641.0</v>
      </c>
      <c r="B655" s="11">
        <v>46010.0</v>
      </c>
    </row>
    <row r="656">
      <c r="A656" s="4">
        <v>2369641.0</v>
      </c>
      <c r="B656" s="11">
        <v>46011.0</v>
      </c>
    </row>
    <row r="657">
      <c r="A657" s="4">
        <v>2369641.0</v>
      </c>
      <c r="B657" s="11">
        <v>46012.0</v>
      </c>
    </row>
    <row r="658">
      <c r="A658" s="4">
        <v>2369641.0</v>
      </c>
      <c r="B658" s="11">
        <v>46013.0</v>
      </c>
    </row>
    <row r="659">
      <c r="A659" s="4">
        <v>2369641.0</v>
      </c>
      <c r="B659" s="11">
        <v>46014.0</v>
      </c>
    </row>
    <row r="660">
      <c r="A660" s="4">
        <v>2369641.0</v>
      </c>
      <c r="B660" s="11">
        <v>46023.0</v>
      </c>
    </row>
    <row r="661">
      <c r="A661" s="4">
        <v>2369641.0</v>
      </c>
      <c r="B661" s="11">
        <v>46024.0</v>
      </c>
    </row>
    <row r="662">
      <c r="A662" s="4">
        <v>2369641.0</v>
      </c>
      <c r="B662" s="11">
        <v>46025.0</v>
      </c>
    </row>
    <row r="663">
      <c r="A663" s="4">
        <v>2369641.0</v>
      </c>
      <c r="B663" s="11">
        <v>46026.0</v>
      </c>
    </row>
    <row r="664">
      <c r="A664" s="4">
        <v>2369641.0</v>
      </c>
      <c r="B664" s="11">
        <v>46027.0</v>
      </c>
    </row>
    <row r="665">
      <c r="A665" s="4">
        <v>2369641.0</v>
      </c>
      <c r="B665" s="11">
        <v>46028.0</v>
      </c>
    </row>
    <row r="666">
      <c r="A666" s="4">
        <v>2369641.0</v>
      </c>
      <c r="B666" s="11">
        <v>46029.0</v>
      </c>
    </row>
    <row r="667">
      <c r="A667" s="4">
        <v>2369641.0</v>
      </c>
      <c r="B667" s="11">
        <v>46030.0</v>
      </c>
    </row>
    <row r="668">
      <c r="A668" s="4">
        <v>2369641.0</v>
      </c>
      <c r="B668" s="11">
        <v>46031.0</v>
      </c>
    </row>
    <row r="669">
      <c r="A669" s="4">
        <v>2369641.0</v>
      </c>
      <c r="B669" s="11">
        <v>46032.0</v>
      </c>
    </row>
    <row r="670">
      <c r="A670" s="4">
        <v>2369641.0</v>
      </c>
      <c r="B670" s="11">
        <v>46033.0</v>
      </c>
    </row>
    <row r="671">
      <c r="A671" s="4">
        <v>2369641.0</v>
      </c>
      <c r="B671" s="11">
        <v>46034.0</v>
      </c>
    </row>
    <row r="672">
      <c r="A672" s="4">
        <v>2369641.0</v>
      </c>
      <c r="B672" s="11">
        <v>46196.0</v>
      </c>
    </row>
    <row r="673">
      <c r="A673" s="4">
        <v>2369641.0</v>
      </c>
      <c r="B673" s="11">
        <v>46197.0</v>
      </c>
    </row>
    <row r="674">
      <c r="A674" s="4">
        <v>2369641.0</v>
      </c>
      <c r="B674" s="11">
        <v>46198.0</v>
      </c>
    </row>
    <row r="675">
      <c r="A675" s="4">
        <v>2369641.0</v>
      </c>
      <c r="B675" s="11">
        <v>46199.0</v>
      </c>
    </row>
    <row r="676">
      <c r="A676" s="4">
        <v>2369641.0</v>
      </c>
      <c r="B676" s="11">
        <v>46200.0</v>
      </c>
    </row>
    <row r="677">
      <c r="A677" s="4">
        <v>2369641.0</v>
      </c>
      <c r="B677" s="11">
        <v>46201.0</v>
      </c>
    </row>
    <row r="678">
      <c r="A678" s="4">
        <v>2369641.0</v>
      </c>
      <c r="B678" s="11">
        <v>46202.0</v>
      </c>
    </row>
    <row r="679">
      <c r="A679" s="4">
        <v>2369641.0</v>
      </c>
      <c r="B679" s="11">
        <v>46203.0</v>
      </c>
    </row>
    <row r="680">
      <c r="A680" s="4">
        <v>2369641.0</v>
      </c>
      <c r="B680" s="11">
        <v>46281.0</v>
      </c>
    </row>
    <row r="681">
      <c r="A681" s="4">
        <v>2369641.0</v>
      </c>
      <c r="B681" s="11">
        <v>46282.0</v>
      </c>
    </row>
    <row r="682">
      <c r="A682" s="4">
        <v>2369641.0</v>
      </c>
      <c r="B682" s="11">
        <v>46283.0</v>
      </c>
    </row>
    <row r="683">
      <c r="A683" s="4">
        <v>2369641.0</v>
      </c>
      <c r="B683" s="11">
        <v>46284.0</v>
      </c>
    </row>
    <row r="684">
      <c r="A684" s="4">
        <v>2369641.0</v>
      </c>
      <c r="B684" s="11">
        <v>46285.0</v>
      </c>
    </row>
    <row r="685">
      <c r="A685" s="4">
        <v>2369641.0</v>
      </c>
      <c r="B685" s="11">
        <v>46286.0</v>
      </c>
    </row>
    <row r="686">
      <c r="A686" s="4">
        <v>2369641.0</v>
      </c>
      <c r="B686" s="11">
        <v>46287.0</v>
      </c>
    </row>
    <row r="687">
      <c r="A687" s="4">
        <v>2369641.0</v>
      </c>
      <c r="B687" s="11">
        <v>46288.0</v>
      </c>
    </row>
    <row r="688">
      <c r="A688" s="4">
        <v>2369641.0</v>
      </c>
      <c r="B688" s="11">
        <v>46289.0</v>
      </c>
    </row>
    <row r="689">
      <c r="A689" s="4">
        <v>2369641.0</v>
      </c>
      <c r="B689" s="11">
        <v>46290.0</v>
      </c>
    </row>
    <row r="690">
      <c r="A690" s="4">
        <v>2369641.0</v>
      </c>
      <c r="B690" s="11">
        <v>46291.0</v>
      </c>
    </row>
    <row r="691">
      <c r="A691" s="4">
        <v>2369641.0</v>
      </c>
      <c r="B691" s="11">
        <v>46292.0</v>
      </c>
    </row>
    <row r="692">
      <c r="A692" s="4">
        <v>2369641.0</v>
      </c>
      <c r="B692" s="11">
        <v>46293.0</v>
      </c>
    </row>
    <row r="693">
      <c r="A693" s="4">
        <v>2369641.0</v>
      </c>
      <c r="B693" s="11">
        <v>46294.0</v>
      </c>
    </row>
    <row r="694">
      <c r="A694" s="4">
        <v>2369641.0</v>
      </c>
      <c r="B694" s="11">
        <v>46295.0</v>
      </c>
    </row>
    <row r="695">
      <c r="A695" s="4">
        <v>2396710.0</v>
      </c>
      <c r="B695" s="11">
        <v>45355.0</v>
      </c>
    </row>
    <row r="696">
      <c r="A696" s="4">
        <v>2396710.0</v>
      </c>
      <c r="B696" s="11">
        <v>45356.0</v>
      </c>
    </row>
    <row r="697">
      <c r="A697" s="4">
        <v>2396710.0</v>
      </c>
      <c r="B697" s="11">
        <v>45357.0</v>
      </c>
    </row>
    <row r="698">
      <c r="A698" s="4">
        <v>2396710.0</v>
      </c>
      <c r="B698" s="11">
        <v>45358.0</v>
      </c>
    </row>
    <row r="699">
      <c r="A699" s="4">
        <v>2396710.0</v>
      </c>
      <c r="B699" s="11">
        <v>45359.0</v>
      </c>
    </row>
    <row r="700">
      <c r="A700" s="4">
        <v>2396710.0</v>
      </c>
      <c r="B700" s="11">
        <v>45360.0</v>
      </c>
    </row>
    <row r="701">
      <c r="A701" s="4">
        <v>2396710.0</v>
      </c>
      <c r="B701" s="11">
        <v>45361.0</v>
      </c>
    </row>
    <row r="702">
      <c r="A702" s="4">
        <v>2396710.0</v>
      </c>
      <c r="B702" s="11">
        <v>45383.0</v>
      </c>
    </row>
    <row r="703">
      <c r="A703" s="4">
        <v>2396710.0</v>
      </c>
      <c r="B703" s="11">
        <v>45384.0</v>
      </c>
    </row>
    <row r="704">
      <c r="A704" s="4">
        <v>2396710.0</v>
      </c>
      <c r="B704" s="11">
        <v>45598.0</v>
      </c>
    </row>
    <row r="705">
      <c r="A705" s="4">
        <v>2396710.0</v>
      </c>
      <c r="B705" s="11">
        <v>45599.0</v>
      </c>
    </row>
    <row r="706">
      <c r="A706" s="4">
        <v>2396710.0</v>
      </c>
      <c r="B706" s="11">
        <v>45600.0</v>
      </c>
    </row>
    <row r="707">
      <c r="A707" s="4">
        <v>2396710.0</v>
      </c>
      <c r="B707" s="11">
        <v>45601.0</v>
      </c>
    </row>
    <row r="708">
      <c r="A708" s="4">
        <v>2396710.0</v>
      </c>
      <c r="B708" s="11">
        <v>45602.0</v>
      </c>
    </row>
    <row r="709">
      <c r="A709" s="4">
        <v>2396710.0</v>
      </c>
      <c r="B709" s="11">
        <v>45603.0</v>
      </c>
    </row>
    <row r="710">
      <c r="A710" s="4">
        <v>2396710.0</v>
      </c>
      <c r="B710" s="11">
        <v>45604.0</v>
      </c>
    </row>
    <row r="711">
      <c r="A711" s="4">
        <v>2396710.0</v>
      </c>
      <c r="B711" s="11">
        <v>45726.0</v>
      </c>
    </row>
    <row r="712">
      <c r="A712" s="4">
        <v>2396710.0</v>
      </c>
      <c r="B712" s="11">
        <v>45727.0</v>
      </c>
    </row>
    <row r="713">
      <c r="A713" s="4">
        <v>2396710.0</v>
      </c>
      <c r="B713" s="11">
        <v>45728.0</v>
      </c>
    </row>
    <row r="714">
      <c r="A714" s="4">
        <v>2396710.0</v>
      </c>
      <c r="B714" s="11">
        <v>45729.0</v>
      </c>
    </row>
    <row r="715">
      <c r="A715" s="4">
        <v>2396710.0</v>
      </c>
      <c r="B715" s="11">
        <v>45730.0</v>
      </c>
    </row>
    <row r="716">
      <c r="A716" s="4">
        <v>2396710.0</v>
      </c>
      <c r="B716" s="11">
        <v>45731.0</v>
      </c>
    </row>
    <row r="717">
      <c r="A717" s="4">
        <v>2396710.0</v>
      </c>
      <c r="B717" s="11">
        <v>45732.0</v>
      </c>
    </row>
    <row r="718">
      <c r="A718" s="4">
        <v>2396710.0</v>
      </c>
      <c r="B718" s="11">
        <v>45810.0</v>
      </c>
    </row>
    <row r="719">
      <c r="A719" s="4">
        <v>2396710.0</v>
      </c>
      <c r="B719" s="11">
        <v>45811.0</v>
      </c>
    </row>
    <row r="720">
      <c r="A720" s="4">
        <v>2396710.0</v>
      </c>
      <c r="B720" s="11">
        <v>45812.0</v>
      </c>
    </row>
    <row r="721">
      <c r="A721" s="4">
        <v>2396710.0</v>
      </c>
      <c r="B721" s="11">
        <v>45813.0</v>
      </c>
    </row>
    <row r="722">
      <c r="A722" s="4">
        <v>2396710.0</v>
      </c>
      <c r="B722" s="11">
        <v>45814.0</v>
      </c>
    </row>
    <row r="723">
      <c r="A723" s="4">
        <v>2396710.0</v>
      </c>
      <c r="B723" s="11">
        <v>45815.0</v>
      </c>
    </row>
    <row r="724">
      <c r="A724" s="4">
        <v>2396710.0</v>
      </c>
      <c r="B724" s="11">
        <v>45816.0</v>
      </c>
    </row>
    <row r="725">
      <c r="A725" s="4">
        <v>2396710.0</v>
      </c>
      <c r="B725" s="11">
        <v>45817.0</v>
      </c>
    </row>
    <row r="726">
      <c r="A726" s="4">
        <v>2396710.0</v>
      </c>
      <c r="B726" s="11">
        <v>45901.0</v>
      </c>
    </row>
    <row r="727">
      <c r="A727" s="4">
        <v>2396710.0</v>
      </c>
      <c r="B727" s="11">
        <v>45902.0</v>
      </c>
    </row>
    <row r="728">
      <c r="A728" s="4">
        <v>2396710.0</v>
      </c>
      <c r="B728" s="11">
        <v>45903.0</v>
      </c>
    </row>
    <row r="729">
      <c r="A729" s="4">
        <v>2396710.0</v>
      </c>
      <c r="B729" s="11">
        <v>45904.0</v>
      </c>
    </row>
    <row r="730">
      <c r="A730" s="4">
        <v>2396710.0</v>
      </c>
      <c r="B730" s="11">
        <v>45905.0</v>
      </c>
    </row>
    <row r="731">
      <c r="A731" s="4">
        <v>2396710.0</v>
      </c>
      <c r="B731" s="11">
        <v>45906.0</v>
      </c>
    </row>
    <row r="732">
      <c r="A732" s="4">
        <v>2396710.0</v>
      </c>
      <c r="B732" s="11">
        <v>45907.0</v>
      </c>
    </row>
    <row r="733">
      <c r="A733" s="4">
        <v>2396710.0</v>
      </c>
      <c r="B733" s="11">
        <v>45908.0</v>
      </c>
    </row>
    <row r="734">
      <c r="A734" s="4">
        <v>2396710.0</v>
      </c>
      <c r="B734" s="11">
        <v>45909.0</v>
      </c>
    </row>
    <row r="735">
      <c r="A735" s="4">
        <v>2396710.0</v>
      </c>
      <c r="B735" s="11">
        <v>45910.0</v>
      </c>
    </row>
    <row r="736">
      <c r="A736" s="4">
        <v>2396710.0</v>
      </c>
      <c r="B736" s="11">
        <v>45964.0</v>
      </c>
    </row>
    <row r="737">
      <c r="A737" s="4">
        <v>2396710.0</v>
      </c>
      <c r="B737" s="11">
        <v>45965.0</v>
      </c>
    </row>
    <row r="738">
      <c r="A738" s="4">
        <v>2396710.0</v>
      </c>
      <c r="B738" s="11">
        <v>45966.0</v>
      </c>
    </row>
    <row r="739">
      <c r="A739" s="4">
        <v>2396710.0</v>
      </c>
      <c r="B739" s="11">
        <v>45967.0</v>
      </c>
    </row>
    <row r="740">
      <c r="A740" s="4">
        <v>2396710.0</v>
      </c>
      <c r="B740" s="11">
        <v>45968.0</v>
      </c>
    </row>
    <row r="741">
      <c r="A741" s="4">
        <v>2396710.0</v>
      </c>
      <c r="B741" s="11">
        <v>45969.0</v>
      </c>
    </row>
    <row r="742">
      <c r="A742" s="4">
        <v>2396710.0</v>
      </c>
      <c r="B742" s="11">
        <v>45970.0</v>
      </c>
    </row>
    <row r="743">
      <c r="A743" s="4">
        <v>2396710.0</v>
      </c>
      <c r="B743" s="11">
        <v>45971.0</v>
      </c>
    </row>
    <row r="744">
      <c r="A744" s="4">
        <v>2396710.0</v>
      </c>
      <c r="B744" s="11">
        <v>46125.0</v>
      </c>
    </row>
    <row r="745">
      <c r="A745" s="4">
        <v>2396710.0</v>
      </c>
      <c r="B745" s="11">
        <v>46126.0</v>
      </c>
    </row>
    <row r="746">
      <c r="A746" s="4">
        <v>2396710.0</v>
      </c>
      <c r="B746" s="11">
        <v>46127.0</v>
      </c>
    </row>
    <row r="747">
      <c r="A747" s="4">
        <v>2396710.0</v>
      </c>
      <c r="B747" s="11">
        <v>46128.0</v>
      </c>
    </row>
    <row r="748">
      <c r="A748" s="4">
        <v>2396710.0</v>
      </c>
      <c r="B748" s="11">
        <v>46129.0</v>
      </c>
    </row>
    <row r="749">
      <c r="A749" s="4">
        <v>2396710.0</v>
      </c>
      <c r="B749" s="11">
        <v>46130.0</v>
      </c>
    </row>
    <row r="750">
      <c r="A750" s="4">
        <v>2396710.0</v>
      </c>
      <c r="B750" s="11">
        <v>46131.0</v>
      </c>
    </row>
    <row r="751">
      <c r="A751" s="4">
        <v>2396710.0</v>
      </c>
      <c r="B751" s="11">
        <v>46132.0</v>
      </c>
    </row>
    <row r="752">
      <c r="A752" s="4">
        <v>2396710.0</v>
      </c>
      <c r="B752" s="11">
        <v>46133.0</v>
      </c>
    </row>
    <row r="753">
      <c r="A753" s="4">
        <v>2396710.0</v>
      </c>
      <c r="B753" s="11">
        <v>46134.0</v>
      </c>
    </row>
    <row r="754">
      <c r="A754" s="4">
        <v>2396710.0</v>
      </c>
      <c r="B754" s="11">
        <v>46135.0</v>
      </c>
    </row>
    <row r="755">
      <c r="A755" s="4">
        <v>2396710.0</v>
      </c>
      <c r="B755" s="11">
        <v>46136.0</v>
      </c>
    </row>
    <row r="756">
      <c r="A756" s="4">
        <v>2396710.0</v>
      </c>
      <c r="B756" s="11">
        <v>46137.0</v>
      </c>
    </row>
    <row r="757">
      <c r="A757" s="4">
        <v>2396710.0</v>
      </c>
      <c r="B757" s="11">
        <v>46138.0</v>
      </c>
    </row>
    <row r="758">
      <c r="A758" s="4">
        <v>2396710.0</v>
      </c>
      <c r="B758" s="11">
        <v>46139.0</v>
      </c>
    </row>
    <row r="759">
      <c r="A759" s="4">
        <v>2396710.0</v>
      </c>
      <c r="B759" s="11">
        <v>46140.0</v>
      </c>
    </row>
    <row r="760">
      <c r="A760" s="4">
        <v>2396710.0</v>
      </c>
      <c r="B760" s="11">
        <v>46141.0</v>
      </c>
    </row>
    <row r="761">
      <c r="A761" s="4">
        <v>2396710.0</v>
      </c>
      <c r="B761" s="11">
        <v>46142.0</v>
      </c>
    </row>
    <row r="762">
      <c r="A762" s="4">
        <v>2396710.0</v>
      </c>
      <c r="B762" s="11">
        <v>46174.0</v>
      </c>
    </row>
    <row r="763">
      <c r="A763" s="4">
        <v>2396710.0</v>
      </c>
      <c r="B763" s="11">
        <v>46175.0</v>
      </c>
    </row>
    <row r="764">
      <c r="A764" s="4">
        <v>2396710.0</v>
      </c>
      <c r="B764" s="11">
        <v>46176.0</v>
      </c>
    </row>
    <row r="765">
      <c r="A765" s="4">
        <v>2396710.0</v>
      </c>
      <c r="B765" s="11">
        <v>46177.0</v>
      </c>
    </row>
    <row r="766">
      <c r="A766" s="4">
        <v>2396710.0</v>
      </c>
      <c r="B766" s="11">
        <v>46178.0</v>
      </c>
    </row>
    <row r="767">
      <c r="A767" s="4">
        <v>2396710.0</v>
      </c>
      <c r="B767" s="11">
        <v>46179.0</v>
      </c>
    </row>
    <row r="768">
      <c r="A768" s="4">
        <v>2396710.0</v>
      </c>
      <c r="B768" s="11">
        <v>46180.0</v>
      </c>
    </row>
    <row r="769">
      <c r="A769" s="4">
        <v>2396710.0</v>
      </c>
      <c r="B769" s="11">
        <v>46181.0</v>
      </c>
    </row>
    <row r="770">
      <c r="A770" s="4">
        <v>2415373.0</v>
      </c>
      <c r="B770" s="11">
        <v>45323.0</v>
      </c>
    </row>
    <row r="771">
      <c r="A771" s="4">
        <v>2415373.0</v>
      </c>
      <c r="B771" s="11">
        <v>45324.0</v>
      </c>
    </row>
    <row r="772">
      <c r="A772" s="4">
        <v>2415373.0</v>
      </c>
      <c r="B772" s="11">
        <v>45325.0</v>
      </c>
    </row>
    <row r="773">
      <c r="A773" s="4">
        <v>2415373.0</v>
      </c>
      <c r="B773" s="11">
        <v>45326.0</v>
      </c>
    </row>
    <row r="774">
      <c r="A774" s="4">
        <v>2415373.0</v>
      </c>
      <c r="B774" s="11">
        <v>45327.0</v>
      </c>
    </row>
    <row r="775">
      <c r="A775" s="4">
        <v>2415373.0</v>
      </c>
      <c r="B775" s="11">
        <v>45328.0</v>
      </c>
    </row>
    <row r="776">
      <c r="A776" s="4">
        <v>2415373.0</v>
      </c>
      <c r="B776" s="11">
        <v>45329.0</v>
      </c>
    </row>
    <row r="777">
      <c r="A777" s="4">
        <v>2415373.0</v>
      </c>
      <c r="B777" s="11">
        <v>45400.0</v>
      </c>
    </row>
    <row r="778">
      <c r="A778" s="4">
        <v>2415373.0</v>
      </c>
      <c r="B778" s="11">
        <v>45401.0</v>
      </c>
    </row>
    <row r="779">
      <c r="A779" s="4">
        <v>2415373.0</v>
      </c>
      <c r="B779" s="11">
        <v>45402.0</v>
      </c>
    </row>
    <row r="780">
      <c r="A780" s="4">
        <v>2415373.0</v>
      </c>
      <c r="B780" s="11">
        <v>45403.0</v>
      </c>
    </row>
    <row r="781">
      <c r="A781" s="4">
        <v>2415373.0</v>
      </c>
      <c r="B781" s="11">
        <v>45404.0</v>
      </c>
    </row>
    <row r="782">
      <c r="A782" s="4">
        <v>2415373.0</v>
      </c>
      <c r="B782" s="11">
        <v>45405.0</v>
      </c>
    </row>
    <row r="783">
      <c r="A783" s="4">
        <v>2415373.0</v>
      </c>
      <c r="B783" s="11">
        <v>45406.0</v>
      </c>
    </row>
    <row r="784">
      <c r="A784" s="4">
        <v>2415373.0</v>
      </c>
      <c r="B784" s="11">
        <v>45407.0</v>
      </c>
    </row>
    <row r="785">
      <c r="A785" s="4">
        <v>2415373.0</v>
      </c>
      <c r="B785" s="11">
        <v>45408.0</v>
      </c>
    </row>
    <row r="786">
      <c r="A786" s="4">
        <v>2415373.0</v>
      </c>
      <c r="B786" s="11">
        <v>45409.0</v>
      </c>
    </row>
    <row r="787">
      <c r="A787" s="4">
        <v>2415373.0</v>
      </c>
      <c r="B787" s="11">
        <v>45410.0</v>
      </c>
    </row>
    <row r="788">
      <c r="A788" s="4">
        <v>2415373.0</v>
      </c>
      <c r="B788" s="11">
        <v>45411.0</v>
      </c>
    </row>
    <row r="789">
      <c r="A789" s="4">
        <v>2415373.0</v>
      </c>
      <c r="B789" s="11">
        <v>45412.0</v>
      </c>
    </row>
    <row r="790">
      <c r="A790" s="4">
        <v>2415373.0</v>
      </c>
      <c r="B790" s="11">
        <v>45413.0</v>
      </c>
    </row>
    <row r="791">
      <c r="A791" s="4">
        <v>2415373.0</v>
      </c>
      <c r="B791" s="11">
        <v>45414.0</v>
      </c>
    </row>
    <row r="792">
      <c r="A792" s="4">
        <v>2415373.0</v>
      </c>
      <c r="B792" s="11">
        <v>45415.0</v>
      </c>
    </row>
    <row r="793">
      <c r="A793" s="4">
        <v>2415373.0</v>
      </c>
      <c r="B793" s="11">
        <v>45416.0</v>
      </c>
    </row>
    <row r="794">
      <c r="A794" s="4">
        <v>2415373.0</v>
      </c>
      <c r="B794" s="11">
        <v>45417.0</v>
      </c>
    </row>
    <row r="795">
      <c r="A795" s="4">
        <v>2415373.0</v>
      </c>
      <c r="B795" s="11">
        <v>45418.0</v>
      </c>
    </row>
    <row r="796">
      <c r="A796" s="4">
        <v>2415373.0</v>
      </c>
      <c r="B796" s="11">
        <v>45419.0</v>
      </c>
    </row>
    <row r="797">
      <c r="A797" s="4">
        <v>2415373.0</v>
      </c>
      <c r="B797" s="11">
        <v>45566.0</v>
      </c>
    </row>
    <row r="798">
      <c r="A798" s="4">
        <v>2415373.0</v>
      </c>
      <c r="B798" s="11">
        <v>45567.0</v>
      </c>
    </row>
    <row r="799">
      <c r="A799" s="4">
        <v>2415373.0</v>
      </c>
      <c r="B799" s="11">
        <v>45568.0</v>
      </c>
    </row>
    <row r="800">
      <c r="A800" s="4">
        <v>2415373.0</v>
      </c>
      <c r="B800" s="11">
        <v>45569.0</v>
      </c>
    </row>
    <row r="801">
      <c r="A801" s="4">
        <v>2415373.0</v>
      </c>
      <c r="B801" s="11">
        <v>45570.0</v>
      </c>
    </row>
    <row r="802">
      <c r="A802" s="4">
        <v>2415373.0</v>
      </c>
      <c r="B802" s="11">
        <v>45571.0</v>
      </c>
    </row>
    <row r="803">
      <c r="A803" s="4">
        <v>2415373.0</v>
      </c>
      <c r="B803" s="11">
        <v>45572.0</v>
      </c>
    </row>
    <row r="804">
      <c r="A804" s="4">
        <v>2415373.0</v>
      </c>
      <c r="B804" s="11">
        <v>45573.0</v>
      </c>
    </row>
    <row r="805">
      <c r="A805" s="4">
        <v>2415373.0</v>
      </c>
      <c r="B805" s="11">
        <v>45574.0</v>
      </c>
    </row>
    <row r="806">
      <c r="A806" s="4">
        <v>2415373.0</v>
      </c>
      <c r="B806" s="11">
        <v>45575.0</v>
      </c>
    </row>
    <row r="807">
      <c r="A807" s="4">
        <v>2415373.0</v>
      </c>
      <c r="B807" s="11">
        <v>45576.0</v>
      </c>
    </row>
    <row r="808">
      <c r="A808" s="4">
        <v>2415373.0</v>
      </c>
      <c r="B808" s="11">
        <v>45577.0</v>
      </c>
    </row>
    <row r="809">
      <c r="A809" s="4">
        <v>2415373.0</v>
      </c>
      <c r="B809" s="11">
        <v>45578.0</v>
      </c>
    </row>
    <row r="810">
      <c r="A810" s="4">
        <v>2415373.0</v>
      </c>
      <c r="B810" s="11">
        <v>45579.0</v>
      </c>
    </row>
    <row r="811">
      <c r="A811" s="4">
        <v>2415373.0</v>
      </c>
      <c r="B811" s="11">
        <v>45580.0</v>
      </c>
    </row>
    <row r="812">
      <c r="A812" s="4">
        <v>2415373.0</v>
      </c>
      <c r="B812" s="11">
        <v>45696.0</v>
      </c>
    </row>
    <row r="813">
      <c r="A813" s="4">
        <v>2415373.0</v>
      </c>
      <c r="B813" s="11">
        <v>45697.0</v>
      </c>
    </row>
    <row r="814">
      <c r="A814" s="4">
        <v>2415373.0</v>
      </c>
      <c r="B814" s="11">
        <v>45698.0</v>
      </c>
    </row>
    <row r="815">
      <c r="A815" s="4">
        <v>2415373.0</v>
      </c>
      <c r="B815" s="11">
        <v>45699.0</v>
      </c>
    </row>
    <row r="816">
      <c r="A816" s="4">
        <v>2415373.0</v>
      </c>
      <c r="B816" s="11">
        <v>45700.0</v>
      </c>
    </row>
    <row r="817">
      <c r="A817" s="4">
        <v>2415373.0</v>
      </c>
      <c r="B817" s="11">
        <v>45701.0</v>
      </c>
    </row>
    <row r="818">
      <c r="A818" s="4">
        <v>2415373.0</v>
      </c>
      <c r="B818" s="11">
        <v>45702.0</v>
      </c>
    </row>
    <row r="819">
      <c r="A819" s="4">
        <v>2415373.0</v>
      </c>
      <c r="B819" s="11">
        <v>45785.0</v>
      </c>
    </row>
    <row r="820">
      <c r="A820" s="4">
        <v>2415373.0</v>
      </c>
      <c r="B820" s="11">
        <v>45786.0</v>
      </c>
    </row>
    <row r="821">
      <c r="A821" s="4">
        <v>2415373.0</v>
      </c>
      <c r="B821" s="11">
        <v>45787.0</v>
      </c>
    </row>
    <row r="822">
      <c r="A822" s="4">
        <v>2415373.0</v>
      </c>
      <c r="B822" s="11">
        <v>45788.0</v>
      </c>
    </row>
    <row r="823">
      <c r="A823" s="4">
        <v>2415373.0</v>
      </c>
      <c r="B823" s="11">
        <v>45789.0</v>
      </c>
    </row>
    <row r="824">
      <c r="A824" s="4">
        <v>2415373.0</v>
      </c>
      <c r="B824" s="11">
        <v>45790.0</v>
      </c>
    </row>
    <row r="825">
      <c r="A825" s="4">
        <v>2415373.0</v>
      </c>
      <c r="B825" s="11">
        <v>45791.0</v>
      </c>
    </row>
    <row r="826">
      <c r="A826" s="4">
        <v>2415373.0</v>
      </c>
      <c r="B826" s="11">
        <v>45792.0</v>
      </c>
    </row>
    <row r="827">
      <c r="A827" s="4">
        <v>2415373.0</v>
      </c>
      <c r="B827" s="11">
        <v>45793.0</v>
      </c>
    </row>
    <row r="828">
      <c r="A828" s="4">
        <v>2415373.0</v>
      </c>
      <c r="B828" s="11">
        <v>45794.0</v>
      </c>
    </row>
    <row r="829">
      <c r="A829" s="4">
        <v>2415373.0</v>
      </c>
      <c r="B829" s="11">
        <v>45795.0</v>
      </c>
    </row>
    <row r="830">
      <c r="A830" s="4">
        <v>2415373.0</v>
      </c>
      <c r="B830" s="11">
        <v>45796.0</v>
      </c>
    </row>
    <row r="831">
      <c r="A831" s="4">
        <v>2415373.0</v>
      </c>
      <c r="B831" s="11">
        <v>45797.0</v>
      </c>
    </row>
    <row r="832">
      <c r="A832" s="4">
        <v>2415373.0</v>
      </c>
      <c r="B832" s="11">
        <v>45798.0</v>
      </c>
    </row>
    <row r="833">
      <c r="A833" s="4">
        <v>2415373.0</v>
      </c>
      <c r="B833" s="11">
        <v>45799.0</v>
      </c>
    </row>
    <row r="834">
      <c r="A834" s="4">
        <v>2415373.0</v>
      </c>
      <c r="B834" s="11">
        <v>45800.0</v>
      </c>
    </row>
    <row r="835">
      <c r="A835" s="4">
        <v>2415373.0</v>
      </c>
      <c r="B835" s="11">
        <v>45801.0</v>
      </c>
    </row>
    <row r="836">
      <c r="A836" s="4">
        <v>2415373.0</v>
      </c>
      <c r="B836" s="11">
        <v>45802.0</v>
      </c>
    </row>
    <row r="837">
      <c r="A837" s="4">
        <v>2415373.0</v>
      </c>
      <c r="B837" s="11">
        <v>45803.0</v>
      </c>
    </row>
    <row r="838">
      <c r="A838" s="4">
        <v>2415373.0</v>
      </c>
      <c r="B838" s="11">
        <v>45804.0</v>
      </c>
    </row>
    <row r="839">
      <c r="A839" s="4">
        <v>2415373.0</v>
      </c>
      <c r="B839" s="11">
        <v>45805.0</v>
      </c>
    </row>
    <row r="840">
      <c r="A840" s="4">
        <v>2415373.0</v>
      </c>
      <c r="B840" s="11">
        <v>45931.0</v>
      </c>
    </row>
    <row r="841">
      <c r="A841" s="4">
        <v>2415373.0</v>
      </c>
      <c r="B841" s="11">
        <v>45932.0</v>
      </c>
    </row>
    <row r="842">
      <c r="A842" s="4">
        <v>2415373.0</v>
      </c>
      <c r="B842" s="11">
        <v>45933.0</v>
      </c>
    </row>
    <row r="843">
      <c r="A843" s="4">
        <v>2415373.0</v>
      </c>
      <c r="B843" s="11">
        <v>45934.0</v>
      </c>
    </row>
    <row r="844">
      <c r="A844" s="4">
        <v>2415373.0</v>
      </c>
      <c r="B844" s="11">
        <v>45935.0</v>
      </c>
    </row>
    <row r="845">
      <c r="A845" s="4">
        <v>2415373.0</v>
      </c>
      <c r="B845" s="11">
        <v>45936.0</v>
      </c>
    </row>
    <row r="846">
      <c r="A846" s="4">
        <v>2415373.0</v>
      </c>
      <c r="B846" s="11">
        <v>45937.0</v>
      </c>
    </row>
    <row r="847">
      <c r="A847" s="4">
        <v>2415373.0</v>
      </c>
      <c r="B847" s="11">
        <v>45938.0</v>
      </c>
    </row>
    <row r="848">
      <c r="A848" s="4">
        <v>2415373.0</v>
      </c>
      <c r="B848" s="11">
        <v>45939.0</v>
      </c>
    </row>
    <row r="849">
      <c r="A849" s="4">
        <v>2415373.0</v>
      </c>
      <c r="B849" s="11">
        <v>45940.0</v>
      </c>
    </row>
    <row r="850">
      <c r="A850" s="4">
        <v>2415373.0</v>
      </c>
      <c r="B850" s="11">
        <v>45941.0</v>
      </c>
    </row>
    <row r="851">
      <c r="A851" s="4">
        <v>2415373.0</v>
      </c>
      <c r="B851" s="11">
        <v>45942.0</v>
      </c>
    </row>
    <row r="852">
      <c r="A852" s="4">
        <v>2415373.0</v>
      </c>
      <c r="B852" s="11">
        <v>45943.0</v>
      </c>
    </row>
    <row r="853">
      <c r="A853" s="4">
        <v>2415373.0</v>
      </c>
      <c r="B853" s="11">
        <v>45944.0</v>
      </c>
    </row>
    <row r="854">
      <c r="A854" s="4">
        <v>2415373.0</v>
      </c>
      <c r="B854" s="11">
        <v>45945.0</v>
      </c>
    </row>
    <row r="855">
      <c r="A855" s="4">
        <v>2415373.0</v>
      </c>
      <c r="B855" s="11">
        <v>46143.0</v>
      </c>
    </row>
    <row r="856">
      <c r="A856" s="4">
        <v>2415373.0</v>
      </c>
      <c r="B856" s="11">
        <v>46144.0</v>
      </c>
    </row>
    <row r="857">
      <c r="A857" s="4">
        <v>2415373.0</v>
      </c>
      <c r="B857" s="11">
        <v>46145.0</v>
      </c>
    </row>
    <row r="858">
      <c r="A858" s="4">
        <v>2415373.0</v>
      </c>
      <c r="B858" s="11">
        <v>46146.0</v>
      </c>
    </row>
    <row r="859">
      <c r="A859" s="4">
        <v>2415373.0</v>
      </c>
      <c r="B859" s="11">
        <v>46147.0</v>
      </c>
    </row>
    <row r="860">
      <c r="A860" s="4">
        <v>2415373.0</v>
      </c>
      <c r="B860" s="11">
        <v>46148.0</v>
      </c>
    </row>
    <row r="861">
      <c r="A861" s="4">
        <v>2415373.0</v>
      </c>
      <c r="B861" s="11">
        <v>46149.0</v>
      </c>
    </row>
    <row r="862">
      <c r="A862" s="4">
        <v>2415373.0</v>
      </c>
      <c r="B862" s="11">
        <v>46150.0</v>
      </c>
    </row>
    <row r="863">
      <c r="A863" s="4">
        <v>2415373.0</v>
      </c>
      <c r="B863" s="11">
        <v>46151.0</v>
      </c>
    </row>
    <row r="864">
      <c r="A864" s="4">
        <v>2415373.0</v>
      </c>
      <c r="B864" s="11">
        <v>46152.0</v>
      </c>
    </row>
    <row r="865">
      <c r="A865" s="4">
        <v>2415373.0</v>
      </c>
      <c r="B865" s="11">
        <v>46153.0</v>
      </c>
    </row>
    <row r="866">
      <c r="A866" s="4">
        <v>2415373.0</v>
      </c>
      <c r="B866" s="11">
        <v>46154.0</v>
      </c>
    </row>
    <row r="867">
      <c r="A867" s="4">
        <v>2415373.0</v>
      </c>
      <c r="B867" s="11">
        <v>46155.0</v>
      </c>
    </row>
    <row r="868">
      <c r="A868" s="4">
        <v>2415373.0</v>
      </c>
      <c r="B868" s="11">
        <v>46156.0</v>
      </c>
    </row>
    <row r="869">
      <c r="A869" s="4">
        <v>2415373.0</v>
      </c>
      <c r="B869" s="11">
        <v>46157.0</v>
      </c>
    </row>
    <row r="870">
      <c r="A870" s="4">
        <v>2415373.0</v>
      </c>
      <c r="B870" s="11">
        <v>46158.0</v>
      </c>
    </row>
    <row r="871">
      <c r="A871" s="4">
        <v>2415373.0</v>
      </c>
      <c r="B871" s="11">
        <v>46159.0</v>
      </c>
    </row>
    <row r="872">
      <c r="A872" s="4">
        <v>2415373.0</v>
      </c>
      <c r="B872" s="11">
        <v>46160.0</v>
      </c>
    </row>
    <row r="873">
      <c r="A873" s="4">
        <v>2415373.0</v>
      </c>
      <c r="B873" s="11">
        <v>46161.0</v>
      </c>
    </row>
    <row r="874">
      <c r="A874" s="4">
        <v>2415373.0</v>
      </c>
      <c r="B874" s="11">
        <v>46162.0</v>
      </c>
    </row>
    <row r="875">
      <c r="A875" s="4">
        <v>2415373.0</v>
      </c>
      <c r="B875" s="11">
        <v>46163.0</v>
      </c>
    </row>
    <row r="876">
      <c r="A876" s="4">
        <v>2415373.0</v>
      </c>
      <c r="B876" s="11">
        <v>46164.0</v>
      </c>
    </row>
    <row r="877">
      <c r="A877" s="4">
        <v>2415373.0</v>
      </c>
      <c r="B877" s="11">
        <v>46165.0</v>
      </c>
    </row>
    <row r="878">
      <c r="A878" s="4">
        <v>2415373.0</v>
      </c>
      <c r="B878" s="11">
        <v>46166.0</v>
      </c>
    </row>
    <row r="879">
      <c r="A879" s="4">
        <v>2415373.0</v>
      </c>
      <c r="B879" s="11">
        <v>46167.0</v>
      </c>
    </row>
    <row r="880">
      <c r="A880" s="4">
        <v>2415373.0</v>
      </c>
      <c r="B880" s="11">
        <v>46168.0</v>
      </c>
    </row>
    <row r="881">
      <c r="A881" s="4">
        <v>2415373.0</v>
      </c>
      <c r="B881" s="11">
        <v>46169.0</v>
      </c>
    </row>
    <row r="882">
      <c r="A882" s="4">
        <v>2415373.0</v>
      </c>
      <c r="B882" s="11">
        <v>46170.0</v>
      </c>
    </row>
    <row r="883">
      <c r="A883" s="4">
        <v>2415373.0</v>
      </c>
      <c r="B883" s="11">
        <v>46171.0</v>
      </c>
    </row>
    <row r="884">
      <c r="A884" s="4">
        <v>2415373.0</v>
      </c>
      <c r="B884" s="11">
        <v>46300.0</v>
      </c>
    </row>
    <row r="885">
      <c r="A885" s="4">
        <v>2415373.0</v>
      </c>
      <c r="B885" s="11">
        <v>46301.0</v>
      </c>
    </row>
    <row r="886">
      <c r="A886" s="4">
        <v>2415373.0</v>
      </c>
      <c r="B886" s="11">
        <v>46302.0</v>
      </c>
    </row>
    <row r="887">
      <c r="A887" s="4">
        <v>2415373.0</v>
      </c>
      <c r="B887" s="11">
        <v>46303.0</v>
      </c>
    </row>
    <row r="888">
      <c r="A888" s="4">
        <v>2415373.0</v>
      </c>
      <c r="B888" s="11">
        <v>46304.0</v>
      </c>
    </row>
    <row r="889">
      <c r="A889" s="4">
        <v>2415373.0</v>
      </c>
      <c r="B889" s="11">
        <v>46305.0</v>
      </c>
    </row>
    <row r="890">
      <c r="A890" s="4">
        <v>2415373.0</v>
      </c>
      <c r="B890" s="11">
        <v>46306.0</v>
      </c>
    </row>
    <row r="891">
      <c r="A891" s="4">
        <v>2415373.0</v>
      </c>
      <c r="B891" s="11">
        <v>46307.0</v>
      </c>
    </row>
    <row r="892">
      <c r="A892" s="4">
        <v>2415373.0</v>
      </c>
      <c r="B892" s="11">
        <v>46308.0</v>
      </c>
    </row>
    <row r="893">
      <c r="A893" s="4">
        <v>2415373.0</v>
      </c>
      <c r="B893" s="11">
        <v>46309.0</v>
      </c>
    </row>
    <row r="894">
      <c r="A894" s="4">
        <v>2415373.0</v>
      </c>
      <c r="B894" s="11">
        <v>46310.0</v>
      </c>
    </row>
    <row r="895">
      <c r="A895" s="4">
        <v>2415373.0</v>
      </c>
      <c r="B895" s="11">
        <v>46311.0</v>
      </c>
    </row>
    <row r="896">
      <c r="A896" s="4">
        <v>2415373.0</v>
      </c>
      <c r="B896" s="11">
        <v>46312.0</v>
      </c>
    </row>
    <row r="897">
      <c r="A897" s="4">
        <v>2415373.0</v>
      </c>
      <c r="B897" s="11">
        <v>46313.0</v>
      </c>
    </row>
    <row r="898">
      <c r="A898" s="4">
        <v>2415373.0</v>
      </c>
      <c r="B898" s="11">
        <v>46314.0</v>
      </c>
    </row>
    <row r="899">
      <c r="A899" s="4">
        <v>2440915.0</v>
      </c>
      <c r="B899" s="11">
        <v>45292.0</v>
      </c>
    </row>
    <row r="900">
      <c r="A900" s="4">
        <v>2440915.0</v>
      </c>
      <c r="B900" s="11">
        <v>45293.0</v>
      </c>
    </row>
    <row r="901">
      <c r="A901" s="4">
        <v>2440915.0</v>
      </c>
      <c r="B901" s="11">
        <v>45294.0</v>
      </c>
    </row>
    <row r="902">
      <c r="A902" s="4">
        <v>2440915.0</v>
      </c>
      <c r="B902" s="11">
        <v>45295.0</v>
      </c>
    </row>
    <row r="903">
      <c r="A903" s="4">
        <v>2440915.0</v>
      </c>
      <c r="B903" s="11">
        <v>45296.0</v>
      </c>
    </row>
    <row r="904">
      <c r="A904" s="4">
        <v>2440915.0</v>
      </c>
      <c r="B904" s="11">
        <v>45297.0</v>
      </c>
    </row>
    <row r="905">
      <c r="A905" s="4">
        <v>2440915.0</v>
      </c>
      <c r="B905" s="11">
        <v>45298.0</v>
      </c>
    </row>
    <row r="906">
      <c r="A906" s="4">
        <v>2440915.0</v>
      </c>
      <c r="B906" s="11">
        <v>45375.0</v>
      </c>
    </row>
    <row r="907">
      <c r="A907" s="4">
        <v>2440915.0</v>
      </c>
      <c r="B907" s="11">
        <v>45376.0</v>
      </c>
    </row>
    <row r="908">
      <c r="A908" s="4">
        <v>2440915.0</v>
      </c>
      <c r="B908" s="11">
        <v>45377.0</v>
      </c>
    </row>
    <row r="909">
      <c r="A909" s="4">
        <v>2440915.0</v>
      </c>
      <c r="B909" s="11">
        <v>45378.0</v>
      </c>
    </row>
    <row r="910">
      <c r="A910" s="4">
        <v>2440915.0</v>
      </c>
      <c r="B910" s="11">
        <v>45379.0</v>
      </c>
    </row>
    <row r="911">
      <c r="A911" s="4">
        <v>2440915.0</v>
      </c>
      <c r="B911" s="11">
        <v>45380.0</v>
      </c>
    </row>
    <row r="912">
      <c r="A912" s="4">
        <v>2440915.0</v>
      </c>
      <c r="B912" s="11">
        <v>45381.0</v>
      </c>
    </row>
    <row r="913">
      <c r="A913" s="4">
        <v>2440915.0</v>
      </c>
      <c r="B913" s="11">
        <v>45382.0</v>
      </c>
    </row>
    <row r="914">
      <c r="A914" s="4">
        <v>2440915.0</v>
      </c>
      <c r="B914" s="11">
        <v>45383.0</v>
      </c>
    </row>
    <row r="915">
      <c r="A915" s="4">
        <v>2440915.0</v>
      </c>
      <c r="B915" s="11">
        <v>45384.0</v>
      </c>
    </row>
    <row r="916">
      <c r="A916" s="4">
        <v>2440915.0</v>
      </c>
      <c r="B916" s="11">
        <v>45385.0</v>
      </c>
    </row>
    <row r="917">
      <c r="A917" s="4">
        <v>2440915.0</v>
      </c>
      <c r="B917" s="11">
        <v>45386.0</v>
      </c>
    </row>
    <row r="918">
      <c r="A918" s="4">
        <v>2440915.0</v>
      </c>
      <c r="B918" s="11">
        <v>45387.0</v>
      </c>
    </row>
    <row r="919">
      <c r="A919" s="4">
        <v>2440915.0</v>
      </c>
      <c r="B919" s="11">
        <v>45388.0</v>
      </c>
    </row>
    <row r="920">
      <c r="A920" s="4">
        <v>2440915.0</v>
      </c>
      <c r="B920" s="11">
        <v>45389.0</v>
      </c>
    </row>
    <row r="921">
      <c r="A921" s="4">
        <v>2440915.0</v>
      </c>
      <c r="B921" s="11">
        <v>45493.0</v>
      </c>
    </row>
    <row r="922">
      <c r="A922" s="4">
        <v>2440915.0</v>
      </c>
      <c r="B922" s="11">
        <v>45494.0</v>
      </c>
    </row>
    <row r="923">
      <c r="A923" s="4">
        <v>2440915.0</v>
      </c>
      <c r="B923" s="11">
        <v>45495.0</v>
      </c>
    </row>
    <row r="924">
      <c r="A924" s="4">
        <v>2440915.0</v>
      </c>
      <c r="B924" s="11">
        <v>45496.0</v>
      </c>
    </row>
    <row r="925">
      <c r="A925" s="4">
        <v>2440915.0</v>
      </c>
      <c r="B925" s="11">
        <v>45497.0</v>
      </c>
    </row>
    <row r="926">
      <c r="A926" s="4">
        <v>2440915.0</v>
      </c>
      <c r="B926" s="11">
        <v>45498.0</v>
      </c>
    </row>
    <row r="927">
      <c r="A927" s="4">
        <v>2440915.0</v>
      </c>
      <c r="B927" s="11">
        <v>45499.0</v>
      </c>
    </row>
    <row r="928">
      <c r="A928" s="4">
        <v>2440915.0</v>
      </c>
      <c r="B928" s="11">
        <v>45500.0</v>
      </c>
    </row>
    <row r="929">
      <c r="A929" s="4">
        <v>2440915.0</v>
      </c>
      <c r="B929" s="11">
        <v>45501.0</v>
      </c>
    </row>
    <row r="930">
      <c r="A930" s="4">
        <v>2440915.0</v>
      </c>
      <c r="B930" s="11">
        <v>45502.0</v>
      </c>
    </row>
    <row r="931">
      <c r="A931" s="4">
        <v>2440915.0</v>
      </c>
      <c r="B931" s="11">
        <v>45503.0</v>
      </c>
    </row>
    <row r="932">
      <c r="A932" s="4">
        <v>2440915.0</v>
      </c>
      <c r="B932" s="11">
        <v>45504.0</v>
      </c>
    </row>
    <row r="933">
      <c r="A933" s="4">
        <v>2440915.0</v>
      </c>
      <c r="B933" s="11">
        <v>45573.0</v>
      </c>
    </row>
    <row r="934">
      <c r="A934" s="4">
        <v>2440915.0</v>
      </c>
      <c r="B934" s="11">
        <v>45574.0</v>
      </c>
    </row>
    <row r="935">
      <c r="A935" s="4">
        <v>2440915.0</v>
      </c>
      <c r="B935" s="11">
        <v>45575.0</v>
      </c>
    </row>
    <row r="936">
      <c r="A936" s="4">
        <v>2440915.0</v>
      </c>
      <c r="B936" s="11">
        <v>45576.0</v>
      </c>
    </row>
    <row r="937">
      <c r="A937" s="4">
        <v>2440915.0</v>
      </c>
      <c r="B937" s="11">
        <v>45577.0</v>
      </c>
    </row>
    <row r="938">
      <c r="A938" s="4">
        <v>2440915.0</v>
      </c>
      <c r="B938" s="11">
        <v>45578.0</v>
      </c>
    </row>
    <row r="939">
      <c r="A939" s="4">
        <v>2440915.0</v>
      </c>
      <c r="B939" s="11">
        <v>45579.0</v>
      </c>
    </row>
    <row r="940">
      <c r="A940" s="4">
        <v>2440915.0</v>
      </c>
      <c r="B940" s="11">
        <v>45580.0</v>
      </c>
    </row>
    <row r="941">
      <c r="A941" s="4">
        <v>2440915.0</v>
      </c>
      <c r="B941" s="11">
        <v>45658.0</v>
      </c>
    </row>
    <row r="942">
      <c r="A942" s="4">
        <v>2440915.0</v>
      </c>
      <c r="B942" s="11">
        <v>45659.0</v>
      </c>
    </row>
    <row r="943">
      <c r="A943" s="4">
        <v>2440915.0</v>
      </c>
      <c r="B943" s="11">
        <v>45660.0</v>
      </c>
    </row>
    <row r="944">
      <c r="A944" s="4">
        <v>2440915.0</v>
      </c>
      <c r="B944" s="11">
        <v>45661.0</v>
      </c>
    </row>
    <row r="945">
      <c r="A945" s="4">
        <v>2440915.0</v>
      </c>
      <c r="B945" s="11">
        <v>45662.0</v>
      </c>
    </row>
    <row r="946">
      <c r="A946" s="4">
        <v>2440915.0</v>
      </c>
      <c r="B946" s="11">
        <v>45663.0</v>
      </c>
    </row>
    <row r="947">
      <c r="A947" s="4">
        <v>2440915.0</v>
      </c>
      <c r="B947" s="11">
        <v>45664.0</v>
      </c>
    </row>
    <row r="948">
      <c r="A948" s="4">
        <v>2440915.0</v>
      </c>
      <c r="B948" s="11">
        <v>45740.0</v>
      </c>
    </row>
    <row r="949">
      <c r="A949" s="4">
        <v>2440915.0</v>
      </c>
      <c r="B949" s="11">
        <v>45741.0</v>
      </c>
    </row>
    <row r="950">
      <c r="A950" s="4">
        <v>2440915.0</v>
      </c>
      <c r="B950" s="11">
        <v>45742.0</v>
      </c>
    </row>
    <row r="951">
      <c r="A951" s="4">
        <v>2440915.0</v>
      </c>
      <c r="B951" s="11">
        <v>45743.0</v>
      </c>
    </row>
    <row r="952">
      <c r="A952" s="4">
        <v>2440915.0</v>
      </c>
      <c r="B952" s="11">
        <v>45744.0</v>
      </c>
    </row>
    <row r="953">
      <c r="A953" s="4">
        <v>2440915.0</v>
      </c>
      <c r="B953" s="11">
        <v>45745.0</v>
      </c>
    </row>
    <row r="954">
      <c r="A954" s="4">
        <v>2440915.0</v>
      </c>
      <c r="B954" s="11">
        <v>45746.0</v>
      </c>
    </row>
    <row r="955">
      <c r="A955" s="4">
        <v>2440915.0</v>
      </c>
      <c r="B955" s="11">
        <v>45747.0</v>
      </c>
    </row>
    <row r="956">
      <c r="A956" s="4">
        <v>2440915.0</v>
      </c>
      <c r="B956" s="11">
        <v>45755.0</v>
      </c>
    </row>
    <row r="957">
      <c r="A957" s="4">
        <v>2440915.0</v>
      </c>
      <c r="B957" s="11">
        <v>45756.0</v>
      </c>
    </row>
    <row r="958">
      <c r="A958" s="4">
        <v>2440915.0</v>
      </c>
      <c r="B958" s="11">
        <v>45757.0</v>
      </c>
    </row>
    <row r="959">
      <c r="A959" s="4">
        <v>2440915.0</v>
      </c>
      <c r="B959" s="11">
        <v>45758.0</v>
      </c>
    </row>
    <row r="960">
      <c r="A960" s="4">
        <v>2440915.0</v>
      </c>
      <c r="B960" s="11">
        <v>45759.0</v>
      </c>
    </row>
    <row r="961">
      <c r="A961" s="4">
        <v>2440915.0</v>
      </c>
      <c r="B961" s="11">
        <v>45760.0</v>
      </c>
    </row>
    <row r="962">
      <c r="A962" s="4">
        <v>2440915.0</v>
      </c>
      <c r="B962" s="11">
        <v>45761.0</v>
      </c>
    </row>
    <row r="963">
      <c r="A963" s="4">
        <v>2440915.0</v>
      </c>
      <c r="B963" s="11">
        <v>45762.0</v>
      </c>
    </row>
    <row r="964">
      <c r="A964" s="4">
        <v>2440915.0</v>
      </c>
      <c r="B964" s="11">
        <v>45877.0</v>
      </c>
    </row>
    <row r="965">
      <c r="A965" s="4">
        <v>2440915.0</v>
      </c>
      <c r="B965" s="11">
        <v>45878.0</v>
      </c>
    </row>
    <row r="966">
      <c r="A966" s="4">
        <v>2440915.0</v>
      </c>
      <c r="B966" s="11">
        <v>45879.0</v>
      </c>
    </row>
    <row r="967">
      <c r="A967" s="4">
        <v>2440915.0</v>
      </c>
      <c r="B967" s="11">
        <v>45880.0</v>
      </c>
    </row>
    <row r="968">
      <c r="A968" s="4">
        <v>2440915.0</v>
      </c>
      <c r="B968" s="11">
        <v>45881.0</v>
      </c>
    </row>
    <row r="969">
      <c r="A969" s="4">
        <v>2440915.0</v>
      </c>
      <c r="B969" s="11">
        <v>45882.0</v>
      </c>
    </row>
    <row r="970">
      <c r="A970" s="4">
        <v>2440915.0</v>
      </c>
      <c r="B970" s="11">
        <v>45883.0</v>
      </c>
    </row>
    <row r="971">
      <c r="A971" s="4">
        <v>2440915.0</v>
      </c>
      <c r="B971" s="11">
        <v>45884.0</v>
      </c>
    </row>
    <row r="972">
      <c r="A972" s="4">
        <v>2440915.0</v>
      </c>
      <c r="B972" s="11">
        <v>45885.0</v>
      </c>
    </row>
    <row r="973">
      <c r="A973" s="4">
        <v>2440915.0</v>
      </c>
      <c r="B973" s="11">
        <v>45886.0</v>
      </c>
    </row>
    <row r="974">
      <c r="A974" s="4">
        <v>2440915.0</v>
      </c>
      <c r="B974" s="11">
        <v>45887.0</v>
      </c>
    </row>
    <row r="975">
      <c r="A975" s="4">
        <v>2440915.0</v>
      </c>
      <c r="B975" s="11">
        <v>45888.0</v>
      </c>
    </row>
    <row r="976">
      <c r="A976" s="4">
        <v>2440915.0</v>
      </c>
      <c r="B976" s="11">
        <v>45939.0</v>
      </c>
    </row>
    <row r="977">
      <c r="A977" s="4">
        <v>2440915.0</v>
      </c>
      <c r="B977" s="11">
        <v>45940.0</v>
      </c>
    </row>
    <row r="978">
      <c r="A978" s="4">
        <v>2440915.0</v>
      </c>
      <c r="B978" s="11">
        <v>45941.0</v>
      </c>
    </row>
    <row r="979">
      <c r="A979" s="4">
        <v>2440915.0</v>
      </c>
      <c r="B979" s="11">
        <v>45942.0</v>
      </c>
    </row>
    <row r="980">
      <c r="A980" s="4">
        <v>2440915.0</v>
      </c>
      <c r="B980" s="11">
        <v>45943.0</v>
      </c>
    </row>
    <row r="981">
      <c r="A981" s="4">
        <v>2440915.0</v>
      </c>
      <c r="B981" s="11">
        <v>45944.0</v>
      </c>
    </row>
    <row r="982">
      <c r="A982" s="4">
        <v>2440915.0</v>
      </c>
      <c r="B982" s="11">
        <v>45945.0</v>
      </c>
    </row>
    <row r="983">
      <c r="A983" s="4">
        <v>2440915.0</v>
      </c>
      <c r="B983" s="11">
        <v>45946.0</v>
      </c>
    </row>
    <row r="984">
      <c r="A984" s="4">
        <v>2440915.0</v>
      </c>
      <c r="B984" s="11">
        <v>46023.0</v>
      </c>
    </row>
    <row r="985">
      <c r="A985" s="4">
        <v>2440915.0</v>
      </c>
      <c r="B985" s="11">
        <v>46024.0</v>
      </c>
    </row>
    <row r="986">
      <c r="A986" s="4">
        <v>2440915.0</v>
      </c>
      <c r="B986" s="11">
        <v>46025.0</v>
      </c>
    </row>
    <row r="987">
      <c r="A987" s="4">
        <v>2440915.0</v>
      </c>
      <c r="B987" s="11">
        <v>46026.0</v>
      </c>
    </row>
    <row r="988">
      <c r="A988" s="4">
        <v>2440915.0</v>
      </c>
      <c r="B988" s="11">
        <v>46027.0</v>
      </c>
    </row>
    <row r="989">
      <c r="A989" s="4">
        <v>2440915.0</v>
      </c>
      <c r="B989" s="11">
        <v>46028.0</v>
      </c>
    </row>
    <row r="990">
      <c r="A990" s="4">
        <v>2440915.0</v>
      </c>
      <c r="B990" s="11">
        <v>46029.0</v>
      </c>
    </row>
    <row r="991">
      <c r="A991" s="4">
        <v>2440915.0</v>
      </c>
      <c r="B991" s="11">
        <v>46054.0</v>
      </c>
    </row>
    <row r="992">
      <c r="A992" s="4">
        <v>2440915.0</v>
      </c>
      <c r="B992" s="11">
        <v>46055.0</v>
      </c>
    </row>
    <row r="993">
      <c r="A993" s="4">
        <v>2440915.0</v>
      </c>
      <c r="B993" s="11">
        <v>46056.0</v>
      </c>
    </row>
    <row r="994">
      <c r="A994" s="4">
        <v>2440915.0</v>
      </c>
      <c r="B994" s="11">
        <v>46057.0</v>
      </c>
    </row>
    <row r="995">
      <c r="A995" s="4">
        <v>2440915.0</v>
      </c>
      <c r="B995" s="11">
        <v>46058.0</v>
      </c>
    </row>
    <row r="996">
      <c r="A996" s="4">
        <v>2440915.0</v>
      </c>
      <c r="B996" s="11">
        <v>46059.0</v>
      </c>
    </row>
    <row r="997">
      <c r="A997" s="4">
        <v>2440915.0</v>
      </c>
      <c r="B997" s="11">
        <v>46060.0</v>
      </c>
    </row>
    <row r="998">
      <c r="A998" s="4">
        <v>2440915.0</v>
      </c>
      <c r="B998" s="11">
        <v>46061.0</v>
      </c>
    </row>
    <row r="999">
      <c r="A999" s="4">
        <v>2440915.0</v>
      </c>
      <c r="B999" s="11">
        <v>46062.0</v>
      </c>
    </row>
    <row r="1000">
      <c r="A1000" s="4">
        <v>2440915.0</v>
      </c>
      <c r="B1000" s="11">
        <v>46063.0</v>
      </c>
    </row>
    <row r="1001">
      <c r="A1001" s="4">
        <v>2440915.0</v>
      </c>
      <c r="B1001" s="11">
        <v>46064.0</v>
      </c>
    </row>
    <row r="1002">
      <c r="A1002" s="4">
        <v>2440915.0</v>
      </c>
      <c r="B1002" s="11">
        <v>46065.0</v>
      </c>
    </row>
    <row r="1003">
      <c r="A1003" s="4">
        <v>2440915.0</v>
      </c>
      <c r="B1003" s="11">
        <v>46066.0</v>
      </c>
    </row>
    <row r="1004">
      <c r="A1004" s="4">
        <v>2440915.0</v>
      </c>
      <c r="B1004" s="11">
        <v>46067.0</v>
      </c>
    </row>
    <row r="1005">
      <c r="A1005" s="4">
        <v>2440915.0</v>
      </c>
      <c r="B1005" s="11">
        <v>46235.0</v>
      </c>
    </row>
    <row r="1006">
      <c r="A1006" s="4">
        <v>2440915.0</v>
      </c>
      <c r="B1006" s="11">
        <v>46236.0</v>
      </c>
    </row>
    <row r="1007">
      <c r="A1007" s="4">
        <v>2440915.0</v>
      </c>
      <c r="B1007" s="11">
        <v>46237.0</v>
      </c>
    </row>
    <row r="1008">
      <c r="A1008" s="4">
        <v>2440915.0</v>
      </c>
      <c r="B1008" s="11">
        <v>46238.0</v>
      </c>
    </row>
    <row r="1009">
      <c r="A1009" s="4">
        <v>2440915.0</v>
      </c>
      <c r="B1009" s="11">
        <v>46239.0</v>
      </c>
    </row>
    <row r="1010">
      <c r="A1010" s="4">
        <v>2440915.0</v>
      </c>
      <c r="B1010" s="11">
        <v>46240.0</v>
      </c>
    </row>
    <row r="1011">
      <c r="A1011" s="4">
        <v>2440915.0</v>
      </c>
      <c r="B1011" s="11">
        <v>46241.0</v>
      </c>
    </row>
    <row r="1012">
      <c r="A1012" s="4">
        <v>2440915.0</v>
      </c>
      <c r="B1012" s="11">
        <v>46242.0</v>
      </c>
    </row>
    <row r="1013">
      <c r="A1013" s="4">
        <v>2440915.0</v>
      </c>
      <c r="B1013" s="11">
        <v>46243.0</v>
      </c>
    </row>
    <row r="1014">
      <c r="A1014" s="4">
        <v>2440915.0</v>
      </c>
      <c r="B1014" s="11">
        <v>46244.0</v>
      </c>
    </row>
    <row r="1015">
      <c r="A1015" s="4">
        <v>2440915.0</v>
      </c>
      <c r="B1015" s="11">
        <v>46245.0</v>
      </c>
    </row>
    <row r="1016">
      <c r="A1016" s="4">
        <v>2440915.0</v>
      </c>
      <c r="B1016" s="11">
        <v>46246.0</v>
      </c>
    </row>
    <row r="1017">
      <c r="A1017" s="4">
        <v>2440915.0</v>
      </c>
      <c r="B1017" s="11">
        <v>46247.0</v>
      </c>
    </row>
    <row r="1018">
      <c r="A1018" s="4">
        <v>2440915.0</v>
      </c>
      <c r="B1018" s="11">
        <v>46248.0</v>
      </c>
    </row>
    <row r="1019">
      <c r="A1019" s="4">
        <v>2440915.0</v>
      </c>
      <c r="B1019" s="11">
        <v>46249.0</v>
      </c>
    </row>
    <row r="1020">
      <c r="A1020" s="4">
        <v>2440915.0</v>
      </c>
      <c r="B1020" s="11">
        <v>46303.0</v>
      </c>
    </row>
    <row r="1021">
      <c r="A1021" s="4">
        <v>2440915.0</v>
      </c>
      <c r="B1021" s="11">
        <v>46304.0</v>
      </c>
    </row>
    <row r="1022">
      <c r="A1022" s="4">
        <v>2440915.0</v>
      </c>
      <c r="B1022" s="11">
        <v>46305.0</v>
      </c>
    </row>
    <row r="1023">
      <c r="A1023" s="4">
        <v>2440915.0</v>
      </c>
      <c r="B1023" s="11">
        <v>46306.0</v>
      </c>
    </row>
    <row r="1024">
      <c r="A1024" s="4">
        <v>2440915.0</v>
      </c>
      <c r="B1024" s="11">
        <v>46307.0</v>
      </c>
    </row>
    <row r="1025">
      <c r="A1025" s="4">
        <v>2440915.0</v>
      </c>
      <c r="B1025" s="11">
        <v>46308.0</v>
      </c>
    </row>
    <row r="1026">
      <c r="A1026" s="4">
        <v>2440915.0</v>
      </c>
      <c r="B1026" s="11">
        <v>46309.0</v>
      </c>
    </row>
    <row r="1027">
      <c r="A1027" s="4">
        <v>2440915.0</v>
      </c>
      <c r="B1027" s="11">
        <v>46310.0</v>
      </c>
    </row>
    <row r="1028">
      <c r="A1028" s="4">
        <v>2604360.0</v>
      </c>
      <c r="B1028" s="11">
        <v>45307.0</v>
      </c>
    </row>
    <row r="1029">
      <c r="A1029" s="4">
        <v>2604360.0</v>
      </c>
      <c r="B1029" s="11">
        <v>45308.0</v>
      </c>
    </row>
    <row r="1030">
      <c r="A1030" s="4">
        <v>2604360.0</v>
      </c>
      <c r="B1030" s="11">
        <v>45309.0</v>
      </c>
    </row>
    <row r="1031">
      <c r="A1031" s="4">
        <v>2604360.0</v>
      </c>
      <c r="B1031" s="11">
        <v>45310.0</v>
      </c>
    </row>
    <row r="1032">
      <c r="A1032" s="4">
        <v>2604360.0</v>
      </c>
      <c r="B1032" s="11">
        <v>45311.0</v>
      </c>
    </row>
    <row r="1033">
      <c r="A1033" s="4">
        <v>2604360.0</v>
      </c>
      <c r="B1033" s="11">
        <v>45312.0</v>
      </c>
    </row>
    <row r="1034">
      <c r="A1034" s="4">
        <v>2604360.0</v>
      </c>
      <c r="B1034" s="11">
        <v>45313.0</v>
      </c>
    </row>
    <row r="1035">
      <c r="A1035" s="4">
        <v>2604360.0</v>
      </c>
      <c r="B1035" s="11">
        <v>45314.0</v>
      </c>
    </row>
    <row r="1036">
      <c r="A1036" s="4">
        <v>2604360.0</v>
      </c>
      <c r="B1036" s="11">
        <v>45315.0</v>
      </c>
    </row>
    <row r="1037">
      <c r="A1037" s="4">
        <v>2604360.0</v>
      </c>
      <c r="B1037" s="11">
        <v>45444.0</v>
      </c>
    </row>
    <row r="1038">
      <c r="A1038" s="4">
        <v>2604360.0</v>
      </c>
      <c r="B1038" s="11">
        <v>45445.0</v>
      </c>
    </row>
    <row r="1039">
      <c r="A1039" s="4">
        <v>2604360.0</v>
      </c>
      <c r="B1039" s="11">
        <v>45446.0</v>
      </c>
    </row>
    <row r="1040">
      <c r="A1040" s="4">
        <v>2604360.0</v>
      </c>
      <c r="B1040" s="11">
        <v>45447.0</v>
      </c>
    </row>
    <row r="1041">
      <c r="A1041" s="4">
        <v>2604360.0</v>
      </c>
      <c r="B1041" s="11">
        <v>45448.0</v>
      </c>
    </row>
    <row r="1042">
      <c r="A1042" s="4">
        <v>2604360.0</v>
      </c>
      <c r="B1042" s="11">
        <v>45449.0</v>
      </c>
    </row>
    <row r="1043">
      <c r="A1043" s="4">
        <v>2604360.0</v>
      </c>
      <c r="B1043" s="11">
        <v>45450.0</v>
      </c>
    </row>
    <row r="1044">
      <c r="A1044" s="4">
        <v>2604360.0</v>
      </c>
      <c r="B1044" s="11">
        <v>45543.0</v>
      </c>
    </row>
    <row r="1045">
      <c r="A1045" s="4">
        <v>2604360.0</v>
      </c>
      <c r="B1045" s="11">
        <v>45544.0</v>
      </c>
    </row>
    <row r="1046">
      <c r="A1046" s="4">
        <v>2604360.0</v>
      </c>
      <c r="B1046" s="11">
        <v>45545.0</v>
      </c>
    </row>
    <row r="1047">
      <c r="A1047" s="4">
        <v>2604360.0</v>
      </c>
      <c r="B1047" s="11">
        <v>45546.0</v>
      </c>
    </row>
    <row r="1048">
      <c r="A1048" s="4">
        <v>2604360.0</v>
      </c>
      <c r="B1048" s="11">
        <v>45547.0</v>
      </c>
    </row>
    <row r="1049">
      <c r="A1049" s="4">
        <v>2604360.0</v>
      </c>
      <c r="B1049" s="11">
        <v>45548.0</v>
      </c>
    </row>
    <row r="1050">
      <c r="A1050" s="4">
        <v>2604360.0</v>
      </c>
      <c r="B1050" s="11">
        <v>45549.0</v>
      </c>
    </row>
    <row r="1051">
      <c r="A1051" s="4">
        <v>2604360.0</v>
      </c>
      <c r="B1051" s="11">
        <v>45550.0</v>
      </c>
    </row>
    <row r="1052">
      <c r="A1052" s="4">
        <v>2604360.0</v>
      </c>
      <c r="B1052" s="11">
        <v>45551.0</v>
      </c>
    </row>
    <row r="1053">
      <c r="A1053" s="4">
        <v>2604360.0</v>
      </c>
      <c r="B1053" s="11">
        <v>45552.0</v>
      </c>
    </row>
    <row r="1054">
      <c r="A1054" s="4">
        <v>2604360.0</v>
      </c>
      <c r="B1054" s="11">
        <v>45553.0</v>
      </c>
    </row>
    <row r="1055">
      <c r="A1055" s="4">
        <v>2604360.0</v>
      </c>
      <c r="B1055" s="11">
        <v>45554.0</v>
      </c>
    </row>
    <row r="1056">
      <c r="A1056" s="4">
        <v>2604360.0</v>
      </c>
      <c r="B1056" s="11">
        <v>45555.0</v>
      </c>
    </row>
    <row r="1057">
      <c r="A1057" s="4">
        <v>2604360.0</v>
      </c>
      <c r="B1057" s="11">
        <v>45556.0</v>
      </c>
    </row>
    <row r="1058">
      <c r="A1058" s="4">
        <v>2604360.0</v>
      </c>
      <c r="B1058" s="11">
        <v>45557.0</v>
      </c>
    </row>
    <row r="1059">
      <c r="A1059" s="4">
        <v>2604360.0</v>
      </c>
      <c r="B1059" s="11">
        <v>45558.0</v>
      </c>
    </row>
    <row r="1060">
      <c r="A1060" s="4">
        <v>2604360.0</v>
      </c>
      <c r="B1060" s="11">
        <v>45559.0</v>
      </c>
    </row>
    <row r="1061">
      <c r="A1061" s="4">
        <v>2604360.0</v>
      </c>
      <c r="B1061" s="11">
        <v>45560.0</v>
      </c>
    </row>
    <row r="1062">
      <c r="A1062" s="4">
        <v>2604360.0</v>
      </c>
      <c r="B1062" s="11">
        <v>45561.0</v>
      </c>
    </row>
    <row r="1063">
      <c r="A1063" s="4">
        <v>2604360.0</v>
      </c>
      <c r="B1063" s="11">
        <v>45562.0</v>
      </c>
    </row>
    <row r="1064">
      <c r="A1064" s="4">
        <v>2604360.0</v>
      </c>
      <c r="B1064" s="11">
        <v>45563.0</v>
      </c>
    </row>
    <row r="1065">
      <c r="A1065" s="4">
        <v>2604360.0</v>
      </c>
      <c r="B1065" s="11">
        <v>45564.0</v>
      </c>
    </row>
    <row r="1066">
      <c r="A1066" s="4">
        <v>2604360.0</v>
      </c>
      <c r="B1066" s="11">
        <v>45565.0</v>
      </c>
    </row>
    <row r="1067">
      <c r="A1067" s="4">
        <v>2604360.0</v>
      </c>
      <c r="B1067" s="11">
        <v>45755.0</v>
      </c>
    </row>
    <row r="1068">
      <c r="A1068" s="4">
        <v>2604360.0</v>
      </c>
      <c r="B1068" s="11">
        <v>45756.0</v>
      </c>
    </row>
    <row r="1069">
      <c r="A1069" s="4">
        <v>2604360.0</v>
      </c>
      <c r="B1069" s="11">
        <v>45757.0</v>
      </c>
    </row>
    <row r="1070">
      <c r="A1070" s="4">
        <v>2604360.0</v>
      </c>
      <c r="B1070" s="11">
        <v>45758.0</v>
      </c>
    </row>
    <row r="1071">
      <c r="A1071" s="4">
        <v>2604360.0</v>
      </c>
      <c r="B1071" s="11">
        <v>45759.0</v>
      </c>
    </row>
    <row r="1072">
      <c r="A1072" s="4">
        <v>2604360.0</v>
      </c>
      <c r="B1072" s="11">
        <v>45760.0</v>
      </c>
    </row>
    <row r="1073">
      <c r="A1073" s="4">
        <v>2604360.0</v>
      </c>
      <c r="B1073" s="11">
        <v>45761.0</v>
      </c>
    </row>
    <row r="1074">
      <c r="A1074" s="4">
        <v>2604360.0</v>
      </c>
      <c r="B1074" s="11">
        <v>45762.0</v>
      </c>
    </row>
    <row r="1075">
      <c r="A1075" s="4">
        <v>2604360.0</v>
      </c>
      <c r="B1075" s="11">
        <v>45763.0</v>
      </c>
    </row>
    <row r="1076">
      <c r="A1076" s="4">
        <v>2604360.0</v>
      </c>
      <c r="B1076" s="11">
        <v>45764.0</v>
      </c>
    </row>
    <row r="1077">
      <c r="A1077" s="4">
        <v>2604360.0</v>
      </c>
      <c r="B1077" s="11">
        <v>45816.0</v>
      </c>
    </row>
    <row r="1078">
      <c r="A1078" s="4">
        <v>2604360.0</v>
      </c>
      <c r="B1078" s="11">
        <v>45817.0</v>
      </c>
    </row>
    <row r="1079">
      <c r="A1079" s="4">
        <v>2604360.0</v>
      </c>
      <c r="B1079" s="11">
        <v>45818.0</v>
      </c>
    </row>
    <row r="1080">
      <c r="A1080" s="4">
        <v>2604360.0</v>
      </c>
      <c r="B1080" s="11">
        <v>45819.0</v>
      </c>
    </row>
    <row r="1081">
      <c r="A1081" s="4">
        <v>2604360.0</v>
      </c>
      <c r="B1081" s="11">
        <v>45820.0</v>
      </c>
    </row>
    <row r="1082">
      <c r="A1082" s="4">
        <v>2604360.0</v>
      </c>
      <c r="B1082" s="11">
        <v>45821.0</v>
      </c>
    </row>
    <row r="1083">
      <c r="A1083" s="4">
        <v>2604360.0</v>
      </c>
      <c r="B1083" s="11">
        <v>45822.0</v>
      </c>
    </row>
    <row r="1084">
      <c r="A1084" s="4">
        <v>2604360.0</v>
      </c>
      <c r="B1084" s="11">
        <v>45823.0</v>
      </c>
    </row>
    <row r="1085">
      <c r="A1085" s="4">
        <v>2604360.0</v>
      </c>
      <c r="B1085" s="11">
        <v>45938.0</v>
      </c>
    </row>
    <row r="1086">
      <c r="A1086" s="4">
        <v>2604360.0</v>
      </c>
      <c r="B1086" s="11">
        <v>45939.0</v>
      </c>
    </row>
    <row r="1087">
      <c r="A1087" s="4">
        <v>2604360.0</v>
      </c>
      <c r="B1087" s="11">
        <v>45940.0</v>
      </c>
    </row>
    <row r="1088">
      <c r="A1088" s="4">
        <v>2604360.0</v>
      </c>
      <c r="B1088" s="11">
        <v>45941.0</v>
      </c>
    </row>
    <row r="1089">
      <c r="A1089" s="4">
        <v>2604360.0</v>
      </c>
      <c r="B1089" s="11">
        <v>45942.0</v>
      </c>
    </row>
    <row r="1090">
      <c r="A1090" s="4">
        <v>2604360.0</v>
      </c>
      <c r="B1090" s="11">
        <v>45943.0</v>
      </c>
    </row>
    <row r="1091">
      <c r="A1091" s="4">
        <v>2604360.0</v>
      </c>
      <c r="B1091" s="11">
        <v>45944.0</v>
      </c>
    </row>
    <row r="1092">
      <c r="A1092" s="4">
        <v>2604360.0</v>
      </c>
      <c r="B1092" s="11">
        <v>45945.0</v>
      </c>
    </row>
    <row r="1093">
      <c r="A1093" s="4">
        <v>2604360.0</v>
      </c>
      <c r="B1093" s="11">
        <v>45946.0</v>
      </c>
    </row>
    <row r="1094">
      <c r="A1094" s="4">
        <v>2604360.0</v>
      </c>
      <c r="B1094" s="11">
        <v>45947.0</v>
      </c>
    </row>
    <row r="1095">
      <c r="A1095" s="4">
        <v>2604360.0</v>
      </c>
      <c r="B1095" s="11">
        <v>45948.0</v>
      </c>
    </row>
    <row r="1096">
      <c r="A1096" s="4">
        <v>2604360.0</v>
      </c>
      <c r="B1096" s="11">
        <v>45949.0</v>
      </c>
    </row>
    <row r="1097">
      <c r="A1097" s="4">
        <v>2604360.0</v>
      </c>
      <c r="B1097" s="11">
        <v>45950.0</v>
      </c>
    </row>
    <row r="1098">
      <c r="A1098" s="4">
        <v>2604360.0</v>
      </c>
      <c r="B1098" s="11">
        <v>45951.0</v>
      </c>
    </row>
    <row r="1099">
      <c r="A1099" s="4">
        <v>2604360.0</v>
      </c>
      <c r="B1099" s="11">
        <v>45952.0</v>
      </c>
    </row>
    <row r="1100">
      <c r="A1100" s="4">
        <v>2604360.0</v>
      </c>
      <c r="B1100" s="11">
        <v>45953.0</v>
      </c>
    </row>
    <row r="1101">
      <c r="A1101" s="4">
        <v>2604360.0</v>
      </c>
      <c r="B1101" s="11">
        <v>45992.0</v>
      </c>
    </row>
    <row r="1102">
      <c r="A1102" s="4">
        <v>2604360.0</v>
      </c>
      <c r="B1102" s="11">
        <v>45993.0</v>
      </c>
    </row>
    <row r="1103">
      <c r="A1103" s="4">
        <v>2604360.0</v>
      </c>
      <c r="B1103" s="11">
        <v>45994.0</v>
      </c>
    </row>
    <row r="1104">
      <c r="A1104" s="4">
        <v>2604360.0</v>
      </c>
      <c r="B1104" s="11">
        <v>45995.0</v>
      </c>
    </row>
    <row r="1105">
      <c r="A1105" s="4">
        <v>2604360.0</v>
      </c>
      <c r="B1105" s="11">
        <v>45996.0</v>
      </c>
    </row>
    <row r="1106">
      <c r="A1106" s="4">
        <v>2604360.0</v>
      </c>
      <c r="B1106" s="11">
        <v>45997.0</v>
      </c>
    </row>
    <row r="1107">
      <c r="A1107" s="4">
        <v>2604360.0</v>
      </c>
      <c r="B1107" s="11">
        <v>45998.0</v>
      </c>
    </row>
    <row r="1108">
      <c r="A1108" s="4">
        <v>2604360.0</v>
      </c>
      <c r="B1108" s="11">
        <v>46061.0</v>
      </c>
    </row>
    <row r="1109">
      <c r="A1109" s="4">
        <v>2604360.0</v>
      </c>
      <c r="B1109" s="11">
        <v>46062.0</v>
      </c>
    </row>
    <row r="1110">
      <c r="A1110" s="4">
        <v>2604360.0</v>
      </c>
      <c r="B1110" s="11">
        <v>46063.0</v>
      </c>
    </row>
    <row r="1111">
      <c r="A1111" s="4">
        <v>2604360.0</v>
      </c>
      <c r="B1111" s="11">
        <v>46064.0</v>
      </c>
    </row>
    <row r="1112">
      <c r="A1112" s="4">
        <v>2604360.0</v>
      </c>
      <c r="B1112" s="11">
        <v>46065.0</v>
      </c>
    </row>
    <row r="1113">
      <c r="A1113" s="4">
        <v>2604360.0</v>
      </c>
      <c r="B1113" s="11">
        <v>46066.0</v>
      </c>
    </row>
    <row r="1114">
      <c r="A1114" s="4">
        <v>2604360.0</v>
      </c>
      <c r="B1114" s="11">
        <v>46067.0</v>
      </c>
    </row>
    <row r="1115">
      <c r="A1115" s="4">
        <v>2604360.0</v>
      </c>
      <c r="B1115" s="11">
        <v>46068.0</v>
      </c>
    </row>
    <row r="1116">
      <c r="A1116" s="4">
        <v>2604360.0</v>
      </c>
      <c r="B1116" s="11">
        <v>46069.0</v>
      </c>
    </row>
    <row r="1117">
      <c r="A1117" s="4">
        <v>2604360.0</v>
      </c>
      <c r="B1117" s="11">
        <v>46070.0</v>
      </c>
    </row>
    <row r="1118">
      <c r="A1118" s="4">
        <v>2604360.0</v>
      </c>
      <c r="B1118" s="11">
        <v>46158.0</v>
      </c>
    </row>
    <row r="1119">
      <c r="A1119" s="4">
        <v>2604360.0</v>
      </c>
      <c r="B1119" s="11">
        <v>46159.0</v>
      </c>
    </row>
    <row r="1120">
      <c r="A1120" s="4">
        <v>2604360.0</v>
      </c>
      <c r="B1120" s="11">
        <v>46160.0</v>
      </c>
    </row>
    <row r="1121">
      <c r="A1121" s="4">
        <v>2604360.0</v>
      </c>
      <c r="B1121" s="11">
        <v>46161.0</v>
      </c>
    </row>
    <row r="1122">
      <c r="A1122" s="4">
        <v>2604360.0</v>
      </c>
      <c r="B1122" s="11">
        <v>46162.0</v>
      </c>
    </row>
    <row r="1123">
      <c r="A1123" s="4">
        <v>2604360.0</v>
      </c>
      <c r="B1123" s="11">
        <v>46163.0</v>
      </c>
    </row>
    <row r="1124">
      <c r="A1124" s="4">
        <v>2604360.0</v>
      </c>
      <c r="B1124" s="11">
        <v>46164.0</v>
      </c>
    </row>
    <row r="1125">
      <c r="A1125" s="4">
        <v>2604360.0</v>
      </c>
      <c r="B1125" s="11">
        <v>46165.0</v>
      </c>
    </row>
    <row r="1126">
      <c r="A1126" s="4">
        <v>2604360.0</v>
      </c>
      <c r="B1126" s="11">
        <v>46281.0</v>
      </c>
    </row>
    <row r="1127">
      <c r="A1127" s="4">
        <v>2604360.0</v>
      </c>
      <c r="B1127" s="11">
        <v>46282.0</v>
      </c>
    </row>
    <row r="1128">
      <c r="A1128" s="4">
        <v>2604360.0</v>
      </c>
      <c r="B1128" s="11">
        <v>46283.0</v>
      </c>
    </row>
    <row r="1129">
      <c r="A1129" s="4">
        <v>2604360.0</v>
      </c>
      <c r="B1129" s="11">
        <v>46284.0</v>
      </c>
    </row>
    <row r="1130">
      <c r="A1130" s="4">
        <v>2604360.0</v>
      </c>
      <c r="B1130" s="11">
        <v>46285.0</v>
      </c>
    </row>
    <row r="1131">
      <c r="A1131" s="4">
        <v>2604360.0</v>
      </c>
      <c r="B1131" s="11">
        <v>46286.0</v>
      </c>
    </row>
    <row r="1132">
      <c r="A1132" s="4">
        <v>2604360.0</v>
      </c>
      <c r="B1132" s="11">
        <v>46287.0</v>
      </c>
    </row>
    <row r="1133">
      <c r="A1133" s="4">
        <v>2604360.0</v>
      </c>
      <c r="B1133" s="11">
        <v>46288.0</v>
      </c>
    </row>
    <row r="1134">
      <c r="A1134" s="4">
        <v>2604360.0</v>
      </c>
      <c r="B1134" s="11">
        <v>46289.0</v>
      </c>
    </row>
    <row r="1135">
      <c r="A1135" s="4">
        <v>2604360.0</v>
      </c>
      <c r="B1135" s="11">
        <v>46290.0</v>
      </c>
    </row>
    <row r="1136">
      <c r="A1136" s="4">
        <v>2604360.0</v>
      </c>
      <c r="B1136" s="11">
        <v>46291.0</v>
      </c>
    </row>
    <row r="1137">
      <c r="A1137" s="4">
        <v>2604360.0</v>
      </c>
      <c r="B1137" s="11">
        <v>46292.0</v>
      </c>
    </row>
    <row r="1138">
      <c r="A1138" s="4">
        <v>2604360.0</v>
      </c>
      <c r="B1138" s="11">
        <v>46293.0</v>
      </c>
    </row>
    <row r="1139">
      <c r="A1139" s="4">
        <v>2604360.0</v>
      </c>
      <c r="B1139" s="11">
        <v>46294.0</v>
      </c>
    </row>
    <row r="1140">
      <c r="A1140" s="4">
        <v>2604360.0</v>
      </c>
      <c r="B1140" s="11">
        <v>46295.0</v>
      </c>
    </row>
    <row r="1141">
      <c r="A1141" s="4">
        <v>2713993.0</v>
      </c>
      <c r="B1141" s="11">
        <v>45293.0</v>
      </c>
    </row>
    <row r="1142">
      <c r="A1142" s="4">
        <v>2713993.0</v>
      </c>
      <c r="B1142" s="11">
        <v>45337.0</v>
      </c>
    </row>
    <row r="1143">
      <c r="A1143" s="4">
        <v>2713993.0</v>
      </c>
      <c r="B1143" s="11">
        <v>45338.0</v>
      </c>
    </row>
    <row r="1144">
      <c r="A1144" s="4">
        <v>2713993.0</v>
      </c>
      <c r="B1144" s="11">
        <v>45341.0</v>
      </c>
    </row>
    <row r="1145">
      <c r="A1145" s="4">
        <v>2713993.0</v>
      </c>
      <c r="B1145" s="11">
        <v>45376.0</v>
      </c>
    </row>
    <row r="1146">
      <c r="A1146" s="4">
        <v>2713993.0</v>
      </c>
      <c r="B1146" s="11">
        <v>45378.0</v>
      </c>
    </row>
    <row r="1147">
      <c r="A1147" s="4">
        <v>2713993.0</v>
      </c>
      <c r="B1147" s="11">
        <v>45401.0</v>
      </c>
    </row>
    <row r="1148">
      <c r="A1148" s="4">
        <v>2713993.0</v>
      </c>
      <c r="B1148" s="11">
        <v>45420.0</v>
      </c>
    </row>
    <row r="1149">
      <c r="A1149" s="4">
        <v>2713993.0</v>
      </c>
      <c r="B1149" s="11">
        <v>45478.0</v>
      </c>
    </row>
    <row r="1150">
      <c r="A1150" s="4">
        <v>2713993.0</v>
      </c>
      <c r="B1150" s="11">
        <v>45566.0</v>
      </c>
    </row>
    <row r="1151">
      <c r="A1151" s="4">
        <v>2713993.0</v>
      </c>
      <c r="B1151" s="11">
        <v>45567.0</v>
      </c>
    </row>
    <row r="1152">
      <c r="A1152" s="4">
        <v>2713993.0</v>
      </c>
      <c r="B1152" s="11">
        <v>45568.0</v>
      </c>
    </row>
    <row r="1153">
      <c r="A1153" s="4">
        <v>2713993.0</v>
      </c>
      <c r="B1153" s="11">
        <v>45569.0</v>
      </c>
    </row>
    <row r="1154">
      <c r="A1154" s="4">
        <v>2713993.0</v>
      </c>
      <c r="B1154" s="11">
        <v>45570.0</v>
      </c>
    </row>
    <row r="1155">
      <c r="A1155" s="4">
        <v>2713993.0</v>
      </c>
      <c r="B1155" s="11">
        <v>45571.0</v>
      </c>
    </row>
    <row r="1156">
      <c r="A1156" s="4">
        <v>2713993.0</v>
      </c>
      <c r="B1156" s="11">
        <v>45572.0</v>
      </c>
    </row>
    <row r="1157">
      <c r="A1157" s="4">
        <v>2713993.0</v>
      </c>
      <c r="B1157" s="11">
        <v>45573.0</v>
      </c>
    </row>
    <row r="1158">
      <c r="A1158" s="4">
        <v>2713993.0</v>
      </c>
      <c r="B1158" s="11">
        <v>45574.0</v>
      </c>
    </row>
    <row r="1159">
      <c r="A1159" s="4">
        <v>2713993.0</v>
      </c>
      <c r="B1159" s="11">
        <v>45575.0</v>
      </c>
    </row>
    <row r="1160">
      <c r="A1160" s="4">
        <v>2713993.0</v>
      </c>
      <c r="B1160" s="11">
        <v>45576.0</v>
      </c>
    </row>
    <row r="1161">
      <c r="A1161" s="4">
        <v>2713993.0</v>
      </c>
      <c r="B1161" s="11">
        <v>45577.0</v>
      </c>
    </row>
    <row r="1162">
      <c r="A1162" s="4">
        <v>2713993.0</v>
      </c>
      <c r="B1162" s="11">
        <v>45578.0</v>
      </c>
    </row>
    <row r="1163">
      <c r="A1163" s="4">
        <v>2713993.0</v>
      </c>
      <c r="B1163" s="11">
        <v>45579.0</v>
      </c>
    </row>
    <row r="1164">
      <c r="A1164" s="4">
        <v>2713993.0</v>
      </c>
      <c r="B1164" s="11">
        <v>45580.0</v>
      </c>
    </row>
    <row r="1165">
      <c r="A1165" s="4">
        <v>2713993.0</v>
      </c>
      <c r="B1165" s="11">
        <v>45581.0</v>
      </c>
    </row>
    <row r="1166">
      <c r="A1166" s="4">
        <v>2713993.0</v>
      </c>
      <c r="B1166" s="11">
        <v>45582.0</v>
      </c>
    </row>
    <row r="1167">
      <c r="A1167" s="4">
        <v>2713993.0</v>
      </c>
      <c r="B1167" s="11">
        <v>45583.0</v>
      </c>
    </row>
    <row r="1168">
      <c r="A1168" s="4">
        <v>2713993.0</v>
      </c>
      <c r="B1168" s="11">
        <v>45584.0</v>
      </c>
    </row>
    <row r="1169">
      <c r="A1169" s="4">
        <v>2713993.0</v>
      </c>
      <c r="B1169" s="11">
        <v>45585.0</v>
      </c>
    </row>
    <row r="1170">
      <c r="A1170" s="4">
        <v>2713993.0</v>
      </c>
      <c r="B1170" s="11">
        <v>45586.0</v>
      </c>
    </row>
    <row r="1171">
      <c r="A1171" s="4">
        <v>2713993.0</v>
      </c>
      <c r="B1171" s="11">
        <v>45587.0</v>
      </c>
    </row>
    <row r="1172">
      <c r="A1172" s="4">
        <v>2713993.0</v>
      </c>
      <c r="B1172" s="11">
        <v>45588.0</v>
      </c>
    </row>
    <row r="1173">
      <c r="A1173" s="4">
        <v>2713993.0</v>
      </c>
      <c r="B1173" s="11">
        <v>45589.0</v>
      </c>
    </row>
    <row r="1174">
      <c r="A1174" s="4">
        <v>2713993.0</v>
      </c>
      <c r="B1174" s="11">
        <v>45590.0</v>
      </c>
    </row>
    <row r="1175">
      <c r="A1175" s="4">
        <v>2713993.0</v>
      </c>
      <c r="B1175" s="11">
        <v>45591.0</v>
      </c>
    </row>
    <row r="1176">
      <c r="A1176" s="4">
        <v>2713993.0</v>
      </c>
      <c r="B1176" s="11">
        <v>45592.0</v>
      </c>
    </row>
    <row r="1177">
      <c r="A1177" s="4">
        <v>2713993.0</v>
      </c>
      <c r="B1177" s="11">
        <v>45593.0</v>
      </c>
    </row>
    <row r="1178">
      <c r="A1178" s="4">
        <v>2713993.0</v>
      </c>
      <c r="B1178" s="11">
        <v>45594.0</v>
      </c>
    </row>
    <row r="1179">
      <c r="A1179" s="4">
        <v>2713993.0</v>
      </c>
      <c r="B1179" s="11">
        <v>45595.0</v>
      </c>
    </row>
    <row r="1180">
      <c r="A1180" s="4">
        <v>2713993.0</v>
      </c>
      <c r="B1180" s="11">
        <v>45596.0</v>
      </c>
    </row>
    <row r="1181">
      <c r="A1181" s="4">
        <v>2713993.0</v>
      </c>
      <c r="B1181" s="11">
        <v>45695.0</v>
      </c>
    </row>
    <row r="1182">
      <c r="A1182" s="4">
        <v>2713993.0</v>
      </c>
      <c r="B1182" s="11">
        <v>45716.0</v>
      </c>
    </row>
    <row r="1183">
      <c r="A1183" s="4">
        <v>2713993.0</v>
      </c>
      <c r="B1183" s="11">
        <v>45743.0</v>
      </c>
    </row>
    <row r="1184">
      <c r="A1184" s="4">
        <v>2713993.0</v>
      </c>
      <c r="B1184" s="11">
        <v>45771.0</v>
      </c>
    </row>
    <row r="1185">
      <c r="A1185" s="4">
        <v>2713993.0</v>
      </c>
      <c r="B1185" s="11">
        <v>45772.0</v>
      </c>
    </row>
    <row r="1186">
      <c r="A1186" s="4">
        <v>2713993.0</v>
      </c>
      <c r="B1186" s="11">
        <v>45783.0</v>
      </c>
    </row>
    <row r="1187">
      <c r="A1187" s="4">
        <v>2713993.0</v>
      </c>
      <c r="B1187" s="11">
        <v>45876.0</v>
      </c>
    </row>
    <row r="1188">
      <c r="A1188" s="4">
        <v>2713993.0</v>
      </c>
      <c r="B1188" s="11">
        <v>45882.0</v>
      </c>
    </row>
    <row r="1189">
      <c r="A1189" s="4">
        <v>2713993.0</v>
      </c>
      <c r="B1189" s="11">
        <v>45926.0</v>
      </c>
    </row>
    <row r="1190">
      <c r="A1190" s="4">
        <v>2713993.0</v>
      </c>
      <c r="B1190" s="11">
        <v>45931.0</v>
      </c>
    </row>
    <row r="1191">
      <c r="A1191" s="4">
        <v>2713993.0</v>
      </c>
      <c r="B1191" s="11">
        <v>45932.0</v>
      </c>
    </row>
    <row r="1192">
      <c r="A1192" s="4">
        <v>2713993.0</v>
      </c>
      <c r="B1192" s="11">
        <v>45933.0</v>
      </c>
    </row>
    <row r="1193">
      <c r="A1193" s="4">
        <v>2713993.0</v>
      </c>
      <c r="B1193" s="11">
        <v>45934.0</v>
      </c>
    </row>
    <row r="1194">
      <c r="A1194" s="4">
        <v>2713993.0</v>
      </c>
      <c r="B1194" s="11">
        <v>45935.0</v>
      </c>
    </row>
    <row r="1195">
      <c r="A1195" s="4">
        <v>2713993.0</v>
      </c>
      <c r="B1195" s="11">
        <v>45936.0</v>
      </c>
    </row>
    <row r="1196">
      <c r="A1196" s="4">
        <v>2713993.0</v>
      </c>
      <c r="B1196" s="11">
        <v>45937.0</v>
      </c>
    </row>
    <row r="1197">
      <c r="A1197" s="4">
        <v>2713993.0</v>
      </c>
      <c r="B1197" s="11">
        <v>45938.0</v>
      </c>
    </row>
    <row r="1198">
      <c r="A1198" s="4">
        <v>2713993.0</v>
      </c>
      <c r="B1198" s="11">
        <v>45939.0</v>
      </c>
    </row>
    <row r="1199">
      <c r="A1199" s="4">
        <v>2713993.0</v>
      </c>
      <c r="B1199" s="11">
        <v>45940.0</v>
      </c>
    </row>
    <row r="1200">
      <c r="A1200" s="4">
        <v>2713993.0</v>
      </c>
      <c r="B1200" s="11">
        <v>45941.0</v>
      </c>
    </row>
    <row r="1201">
      <c r="A1201" s="4">
        <v>2713993.0</v>
      </c>
      <c r="B1201" s="11">
        <v>45942.0</v>
      </c>
    </row>
    <row r="1202">
      <c r="A1202" s="4">
        <v>2713993.0</v>
      </c>
      <c r="B1202" s="11">
        <v>45943.0</v>
      </c>
    </row>
    <row r="1203">
      <c r="A1203" s="4">
        <v>2713993.0</v>
      </c>
      <c r="B1203" s="11">
        <v>45944.0</v>
      </c>
    </row>
    <row r="1204">
      <c r="A1204" s="4">
        <v>2713993.0</v>
      </c>
      <c r="B1204" s="11">
        <v>45945.0</v>
      </c>
    </row>
    <row r="1205">
      <c r="A1205" s="4">
        <v>2713993.0</v>
      </c>
      <c r="B1205" s="11">
        <v>45946.0</v>
      </c>
    </row>
    <row r="1206">
      <c r="A1206" s="4">
        <v>2713993.0</v>
      </c>
      <c r="B1206" s="11">
        <v>45947.0</v>
      </c>
    </row>
    <row r="1207">
      <c r="A1207" s="4">
        <v>2713993.0</v>
      </c>
      <c r="B1207" s="11">
        <v>45948.0</v>
      </c>
    </row>
    <row r="1208">
      <c r="A1208" s="4">
        <v>2713993.0</v>
      </c>
      <c r="B1208" s="11">
        <v>45949.0</v>
      </c>
    </row>
    <row r="1209">
      <c r="A1209" s="4">
        <v>2713993.0</v>
      </c>
      <c r="B1209" s="11">
        <v>45950.0</v>
      </c>
    </row>
    <row r="1210">
      <c r="A1210" s="4">
        <v>2713993.0</v>
      </c>
      <c r="B1210" s="11">
        <v>45951.0</v>
      </c>
    </row>
    <row r="1211">
      <c r="A1211" s="4">
        <v>2713993.0</v>
      </c>
      <c r="B1211" s="11">
        <v>45952.0</v>
      </c>
    </row>
    <row r="1212">
      <c r="A1212" s="4">
        <v>2713993.0</v>
      </c>
      <c r="B1212" s="11">
        <v>45953.0</v>
      </c>
    </row>
    <row r="1213">
      <c r="A1213" s="4">
        <v>2713993.0</v>
      </c>
      <c r="B1213" s="11">
        <v>45954.0</v>
      </c>
    </row>
    <row r="1214">
      <c r="A1214" s="4">
        <v>2713993.0</v>
      </c>
      <c r="B1214" s="11">
        <v>45955.0</v>
      </c>
    </row>
    <row r="1215">
      <c r="A1215" s="4">
        <v>2713993.0</v>
      </c>
      <c r="B1215" s="11">
        <v>45956.0</v>
      </c>
    </row>
    <row r="1216">
      <c r="A1216" s="4">
        <v>2713993.0</v>
      </c>
      <c r="B1216" s="11">
        <v>45957.0</v>
      </c>
    </row>
    <row r="1217">
      <c r="A1217" s="4">
        <v>2713993.0</v>
      </c>
      <c r="B1217" s="11">
        <v>45958.0</v>
      </c>
    </row>
    <row r="1218">
      <c r="A1218" s="4">
        <v>2713993.0</v>
      </c>
      <c r="B1218" s="11">
        <v>45959.0</v>
      </c>
    </row>
    <row r="1219">
      <c r="A1219" s="4">
        <v>2713993.0</v>
      </c>
      <c r="B1219" s="11">
        <v>45960.0</v>
      </c>
    </row>
    <row r="1220">
      <c r="A1220" s="4">
        <v>2713993.0</v>
      </c>
      <c r="B1220" s="11">
        <v>45961.0</v>
      </c>
    </row>
    <row r="1221">
      <c r="A1221" s="4">
        <v>2713993.0</v>
      </c>
      <c r="B1221" s="11">
        <v>46104.0</v>
      </c>
    </row>
    <row r="1222">
      <c r="A1222" s="4">
        <v>2713993.0</v>
      </c>
      <c r="B1222" s="11">
        <v>46105.0</v>
      </c>
    </row>
    <row r="1223">
      <c r="A1223" s="4">
        <v>2713993.0</v>
      </c>
      <c r="B1223" s="11">
        <v>46106.0</v>
      </c>
    </row>
    <row r="1224">
      <c r="A1224" s="4">
        <v>2713993.0</v>
      </c>
      <c r="B1224" s="11">
        <v>46107.0</v>
      </c>
    </row>
    <row r="1225">
      <c r="A1225" s="4">
        <v>2713993.0</v>
      </c>
      <c r="B1225" s="11">
        <v>46108.0</v>
      </c>
    </row>
    <row r="1226">
      <c r="A1226" s="4">
        <v>2713993.0</v>
      </c>
      <c r="B1226" s="11">
        <v>46147.0</v>
      </c>
    </row>
    <row r="1227">
      <c r="A1227" s="4">
        <v>2713993.0</v>
      </c>
      <c r="B1227" s="11">
        <v>46160.0</v>
      </c>
    </row>
    <row r="1228">
      <c r="A1228" s="4">
        <v>2713993.0</v>
      </c>
      <c r="B1228" s="11">
        <v>46223.0</v>
      </c>
    </row>
    <row r="1229">
      <c r="A1229" s="4">
        <v>2823133.0</v>
      </c>
      <c r="B1229" s="11">
        <v>45383.0</v>
      </c>
    </row>
    <row r="1230">
      <c r="A1230" s="4">
        <v>2823133.0</v>
      </c>
      <c r="B1230" s="11">
        <v>45384.0</v>
      </c>
    </row>
    <row r="1231">
      <c r="A1231" s="4">
        <v>2823133.0</v>
      </c>
      <c r="B1231" s="11">
        <v>45385.0</v>
      </c>
    </row>
    <row r="1232">
      <c r="A1232" s="4">
        <v>2823133.0</v>
      </c>
      <c r="B1232" s="11">
        <v>45386.0</v>
      </c>
    </row>
    <row r="1233">
      <c r="A1233" s="4">
        <v>2823133.0</v>
      </c>
      <c r="B1233" s="11">
        <v>45387.0</v>
      </c>
    </row>
    <row r="1234">
      <c r="A1234" s="4">
        <v>2823133.0</v>
      </c>
      <c r="B1234" s="11">
        <v>45388.0</v>
      </c>
    </row>
    <row r="1235">
      <c r="A1235" s="4">
        <v>2823133.0</v>
      </c>
      <c r="B1235" s="11">
        <v>45389.0</v>
      </c>
    </row>
    <row r="1236">
      <c r="A1236" s="4">
        <v>2823133.0</v>
      </c>
      <c r="B1236" s="11">
        <v>45466.0</v>
      </c>
    </row>
    <row r="1237">
      <c r="A1237" s="4">
        <v>2823133.0</v>
      </c>
      <c r="B1237" s="11">
        <v>45467.0</v>
      </c>
    </row>
    <row r="1238">
      <c r="A1238" s="4">
        <v>2823133.0</v>
      </c>
      <c r="B1238" s="11">
        <v>45468.0</v>
      </c>
    </row>
    <row r="1239">
      <c r="A1239" s="4">
        <v>2823133.0</v>
      </c>
      <c r="B1239" s="11">
        <v>45469.0</v>
      </c>
    </row>
    <row r="1240">
      <c r="A1240" s="4">
        <v>2823133.0</v>
      </c>
      <c r="B1240" s="11">
        <v>45470.0</v>
      </c>
    </row>
    <row r="1241">
      <c r="A1241" s="4">
        <v>2823133.0</v>
      </c>
      <c r="B1241" s="11">
        <v>45471.0</v>
      </c>
    </row>
    <row r="1242">
      <c r="A1242" s="4">
        <v>2823133.0</v>
      </c>
      <c r="B1242" s="11">
        <v>45472.0</v>
      </c>
    </row>
    <row r="1243">
      <c r="A1243" s="4">
        <v>2823133.0</v>
      </c>
      <c r="B1243" s="11">
        <v>45473.0</v>
      </c>
    </row>
    <row r="1244">
      <c r="A1244" s="4">
        <v>2823133.0</v>
      </c>
      <c r="B1244" s="11">
        <v>45489.0</v>
      </c>
    </row>
    <row r="1245">
      <c r="A1245" s="4">
        <v>2823133.0</v>
      </c>
      <c r="B1245" s="11">
        <v>45490.0</v>
      </c>
    </row>
    <row r="1246">
      <c r="A1246" s="4">
        <v>2823133.0</v>
      </c>
      <c r="B1246" s="11">
        <v>45491.0</v>
      </c>
    </row>
    <row r="1247">
      <c r="A1247" s="4">
        <v>2823133.0</v>
      </c>
      <c r="B1247" s="11">
        <v>45492.0</v>
      </c>
    </row>
    <row r="1248">
      <c r="A1248" s="4">
        <v>2823133.0</v>
      </c>
      <c r="B1248" s="11">
        <v>45493.0</v>
      </c>
    </row>
    <row r="1249">
      <c r="A1249" s="4">
        <v>2823133.0</v>
      </c>
      <c r="B1249" s="11">
        <v>45494.0</v>
      </c>
    </row>
    <row r="1250">
      <c r="A1250" s="4">
        <v>2823133.0</v>
      </c>
      <c r="B1250" s="11">
        <v>45495.0</v>
      </c>
    </row>
    <row r="1251">
      <c r="A1251" s="4">
        <v>2823133.0</v>
      </c>
      <c r="B1251" s="11">
        <v>45496.0</v>
      </c>
    </row>
    <row r="1252">
      <c r="A1252" s="4">
        <v>2823133.0</v>
      </c>
      <c r="B1252" s="11">
        <v>45627.0</v>
      </c>
    </row>
    <row r="1253">
      <c r="A1253" s="4">
        <v>2823133.0</v>
      </c>
      <c r="B1253" s="11">
        <v>45628.0</v>
      </c>
    </row>
    <row r="1254">
      <c r="A1254" s="4">
        <v>2823133.0</v>
      </c>
      <c r="B1254" s="11">
        <v>45629.0</v>
      </c>
    </row>
    <row r="1255">
      <c r="A1255" s="4">
        <v>2823133.0</v>
      </c>
      <c r="B1255" s="11">
        <v>45630.0</v>
      </c>
    </row>
    <row r="1256">
      <c r="A1256" s="4">
        <v>2823133.0</v>
      </c>
      <c r="B1256" s="11">
        <v>45631.0</v>
      </c>
    </row>
    <row r="1257">
      <c r="A1257" s="4">
        <v>2823133.0</v>
      </c>
      <c r="B1257" s="11">
        <v>45632.0</v>
      </c>
    </row>
    <row r="1258">
      <c r="A1258" s="4">
        <v>2823133.0</v>
      </c>
      <c r="B1258" s="11">
        <v>45633.0</v>
      </c>
    </row>
    <row r="1259">
      <c r="A1259" s="4">
        <v>2823133.0</v>
      </c>
      <c r="B1259" s="11">
        <v>45634.0</v>
      </c>
    </row>
    <row r="1260">
      <c r="A1260" s="4">
        <v>2823133.0</v>
      </c>
      <c r="B1260" s="11">
        <v>45635.0</v>
      </c>
    </row>
    <row r="1261">
      <c r="A1261" s="4">
        <v>2823133.0</v>
      </c>
      <c r="B1261" s="11">
        <v>45636.0</v>
      </c>
    </row>
    <row r="1262">
      <c r="A1262" s="4">
        <v>2823133.0</v>
      </c>
      <c r="B1262" s="11">
        <v>45637.0</v>
      </c>
    </row>
    <row r="1263">
      <c r="A1263" s="4">
        <v>2823133.0</v>
      </c>
      <c r="B1263" s="11">
        <v>45638.0</v>
      </c>
    </row>
    <row r="1264">
      <c r="A1264" s="4">
        <v>2823133.0</v>
      </c>
      <c r="B1264" s="11">
        <v>45639.0</v>
      </c>
    </row>
    <row r="1265">
      <c r="A1265" s="4">
        <v>2823133.0</v>
      </c>
      <c r="B1265" s="11">
        <v>45640.0</v>
      </c>
    </row>
    <row r="1266">
      <c r="A1266" s="4">
        <v>2823133.0</v>
      </c>
      <c r="B1266" s="11">
        <v>45641.0</v>
      </c>
    </row>
    <row r="1267">
      <c r="A1267" s="4">
        <v>2823133.0</v>
      </c>
      <c r="B1267" s="11">
        <v>45642.0</v>
      </c>
    </row>
    <row r="1268">
      <c r="A1268" s="4">
        <v>2823133.0</v>
      </c>
      <c r="B1268" s="11">
        <v>45824.0</v>
      </c>
    </row>
    <row r="1269">
      <c r="A1269" s="4">
        <v>2823133.0</v>
      </c>
      <c r="B1269" s="11">
        <v>45825.0</v>
      </c>
    </row>
    <row r="1270">
      <c r="A1270" s="4">
        <v>2823133.0</v>
      </c>
      <c r="B1270" s="11">
        <v>45826.0</v>
      </c>
    </row>
    <row r="1271">
      <c r="A1271" s="4">
        <v>2823133.0</v>
      </c>
      <c r="B1271" s="11">
        <v>45827.0</v>
      </c>
    </row>
    <row r="1272">
      <c r="A1272" s="4">
        <v>2823133.0</v>
      </c>
      <c r="B1272" s="11">
        <v>45828.0</v>
      </c>
    </row>
    <row r="1273">
      <c r="A1273" s="4">
        <v>2823133.0</v>
      </c>
      <c r="B1273" s="11">
        <v>45829.0</v>
      </c>
    </row>
    <row r="1274">
      <c r="A1274" s="4">
        <v>2823133.0</v>
      </c>
      <c r="B1274" s="11">
        <v>45830.0</v>
      </c>
    </row>
    <row r="1275">
      <c r="A1275" s="4">
        <v>2823133.0</v>
      </c>
      <c r="B1275" s="11">
        <v>45831.0</v>
      </c>
    </row>
    <row r="1276">
      <c r="A1276" s="4">
        <v>2823133.0</v>
      </c>
      <c r="B1276" s="11">
        <v>45832.0</v>
      </c>
    </row>
    <row r="1277">
      <c r="A1277" s="4">
        <v>2823133.0</v>
      </c>
      <c r="B1277" s="11">
        <v>45833.0</v>
      </c>
    </row>
    <row r="1278">
      <c r="A1278" s="4">
        <v>2823133.0</v>
      </c>
      <c r="B1278" s="11">
        <v>45834.0</v>
      </c>
    </row>
    <row r="1279">
      <c r="A1279" s="4">
        <v>2823133.0</v>
      </c>
      <c r="B1279" s="11">
        <v>45835.0</v>
      </c>
    </row>
    <row r="1280">
      <c r="A1280" s="4">
        <v>2823133.0</v>
      </c>
      <c r="B1280" s="11">
        <v>45836.0</v>
      </c>
    </row>
    <row r="1281">
      <c r="A1281" s="4">
        <v>2823133.0</v>
      </c>
      <c r="B1281" s="11">
        <v>45837.0</v>
      </c>
    </row>
    <row r="1282">
      <c r="A1282" s="4">
        <v>2823133.0</v>
      </c>
      <c r="B1282" s="11">
        <v>45838.0</v>
      </c>
    </row>
    <row r="1283">
      <c r="A1283" s="4">
        <v>2823133.0</v>
      </c>
      <c r="B1283" s="11">
        <v>45931.0</v>
      </c>
    </row>
    <row r="1284">
      <c r="A1284" s="4">
        <v>2823133.0</v>
      </c>
      <c r="B1284" s="11">
        <v>45932.0</v>
      </c>
    </row>
    <row r="1285">
      <c r="A1285" s="4">
        <v>2823133.0</v>
      </c>
      <c r="B1285" s="11">
        <v>45933.0</v>
      </c>
    </row>
    <row r="1286">
      <c r="A1286" s="4">
        <v>2823133.0</v>
      </c>
      <c r="B1286" s="11">
        <v>45934.0</v>
      </c>
    </row>
    <row r="1287">
      <c r="A1287" s="4">
        <v>2823133.0</v>
      </c>
      <c r="B1287" s="11">
        <v>45935.0</v>
      </c>
    </row>
    <row r="1288">
      <c r="A1288" s="4">
        <v>2823133.0</v>
      </c>
      <c r="B1288" s="11">
        <v>45936.0</v>
      </c>
    </row>
    <row r="1289">
      <c r="A1289" s="4">
        <v>2823133.0</v>
      </c>
      <c r="B1289" s="11">
        <v>45937.0</v>
      </c>
    </row>
    <row r="1290">
      <c r="A1290" s="4">
        <v>2823133.0</v>
      </c>
      <c r="B1290" s="11">
        <v>45938.0</v>
      </c>
    </row>
    <row r="1291">
      <c r="A1291" s="4">
        <v>2823133.0</v>
      </c>
      <c r="B1291" s="11">
        <v>45939.0</v>
      </c>
    </row>
    <row r="1292">
      <c r="A1292" s="4">
        <v>2823133.0</v>
      </c>
      <c r="B1292" s="11">
        <v>45940.0</v>
      </c>
    </row>
    <row r="1293">
      <c r="A1293" s="4">
        <v>2823133.0</v>
      </c>
      <c r="B1293" s="11">
        <v>45941.0</v>
      </c>
    </row>
    <row r="1294">
      <c r="A1294" s="4">
        <v>2823133.0</v>
      </c>
      <c r="B1294" s="11">
        <v>45942.0</v>
      </c>
    </row>
    <row r="1295">
      <c r="A1295" s="4">
        <v>2823133.0</v>
      </c>
      <c r="B1295" s="11">
        <v>45943.0</v>
      </c>
    </row>
    <row r="1296">
      <c r="A1296" s="4">
        <v>2823133.0</v>
      </c>
      <c r="B1296" s="11">
        <v>45944.0</v>
      </c>
    </row>
    <row r="1297">
      <c r="A1297" s="4">
        <v>2823133.0</v>
      </c>
      <c r="B1297" s="11">
        <v>45945.0</v>
      </c>
    </row>
    <row r="1298">
      <c r="A1298" s="4">
        <v>2823133.0</v>
      </c>
      <c r="B1298" s="11">
        <v>46007.0</v>
      </c>
    </row>
    <row r="1299">
      <c r="A1299" s="4">
        <v>2823133.0</v>
      </c>
      <c r="B1299" s="11">
        <v>46008.0</v>
      </c>
    </row>
    <row r="1300">
      <c r="A1300" s="4">
        <v>2823133.0</v>
      </c>
      <c r="B1300" s="11">
        <v>46009.0</v>
      </c>
    </row>
    <row r="1301">
      <c r="A1301" s="4">
        <v>2823133.0</v>
      </c>
      <c r="B1301" s="11">
        <v>46010.0</v>
      </c>
    </row>
    <row r="1302">
      <c r="A1302" s="4">
        <v>2823133.0</v>
      </c>
      <c r="B1302" s="11">
        <v>46011.0</v>
      </c>
    </row>
    <row r="1303">
      <c r="A1303" s="4">
        <v>2823133.0</v>
      </c>
      <c r="B1303" s="11">
        <v>46012.0</v>
      </c>
    </row>
    <row r="1304">
      <c r="A1304" s="4">
        <v>2823133.0</v>
      </c>
      <c r="B1304" s="11">
        <v>46013.0</v>
      </c>
    </row>
    <row r="1305">
      <c r="A1305" s="4">
        <v>2823133.0</v>
      </c>
      <c r="B1305" s="11">
        <v>46014.0</v>
      </c>
    </row>
    <row r="1306">
      <c r="A1306" s="4">
        <v>2823133.0</v>
      </c>
      <c r="B1306" s="11">
        <v>46015.0</v>
      </c>
    </row>
    <row r="1307">
      <c r="A1307" s="4">
        <v>2823133.0</v>
      </c>
      <c r="B1307" s="11">
        <v>46016.0</v>
      </c>
    </row>
    <row r="1308">
      <c r="A1308" s="4">
        <v>2823133.0</v>
      </c>
      <c r="B1308" s="11">
        <v>46189.0</v>
      </c>
    </row>
    <row r="1309">
      <c r="A1309" s="4">
        <v>2823133.0</v>
      </c>
      <c r="B1309" s="11">
        <v>46190.0</v>
      </c>
    </row>
    <row r="1310">
      <c r="A1310" s="4">
        <v>2823133.0</v>
      </c>
      <c r="B1310" s="11">
        <v>46191.0</v>
      </c>
    </row>
    <row r="1311">
      <c r="A1311" s="4">
        <v>2823133.0</v>
      </c>
      <c r="B1311" s="11">
        <v>46192.0</v>
      </c>
    </row>
    <row r="1312">
      <c r="A1312" s="4">
        <v>2823133.0</v>
      </c>
      <c r="B1312" s="11">
        <v>46193.0</v>
      </c>
    </row>
    <row r="1313">
      <c r="A1313" s="4">
        <v>2823133.0</v>
      </c>
      <c r="B1313" s="11">
        <v>46194.0</v>
      </c>
    </row>
    <row r="1314">
      <c r="A1314" s="4">
        <v>2823133.0</v>
      </c>
      <c r="B1314" s="11">
        <v>46195.0</v>
      </c>
    </row>
    <row r="1315">
      <c r="A1315" s="4">
        <v>2823133.0</v>
      </c>
      <c r="B1315" s="11">
        <v>46196.0</v>
      </c>
    </row>
    <row r="1316">
      <c r="A1316" s="4">
        <v>2823133.0</v>
      </c>
      <c r="B1316" s="11">
        <v>46197.0</v>
      </c>
    </row>
    <row r="1317">
      <c r="A1317" s="4">
        <v>2823133.0</v>
      </c>
      <c r="B1317" s="11">
        <v>46198.0</v>
      </c>
    </row>
    <row r="1318">
      <c r="A1318" s="4">
        <v>2823133.0</v>
      </c>
      <c r="B1318" s="11">
        <v>46199.0</v>
      </c>
    </row>
    <row r="1319">
      <c r="A1319" s="4">
        <v>2823133.0</v>
      </c>
      <c r="B1319" s="11">
        <v>46200.0</v>
      </c>
    </row>
    <row r="1320">
      <c r="A1320" s="4">
        <v>2823133.0</v>
      </c>
      <c r="B1320" s="11">
        <v>46201.0</v>
      </c>
    </row>
    <row r="1321">
      <c r="A1321" s="4">
        <v>2823133.0</v>
      </c>
      <c r="B1321" s="11">
        <v>46202.0</v>
      </c>
    </row>
    <row r="1322">
      <c r="A1322" s="4">
        <v>2823133.0</v>
      </c>
      <c r="B1322" s="11">
        <v>46203.0</v>
      </c>
    </row>
    <row r="1323">
      <c r="A1323" s="4">
        <v>2823133.0</v>
      </c>
      <c r="B1323" s="11">
        <v>46204.0</v>
      </c>
    </row>
    <row r="1324">
      <c r="A1324" s="4">
        <v>2823133.0</v>
      </c>
      <c r="B1324" s="11">
        <v>46205.0</v>
      </c>
    </row>
    <row r="1325">
      <c r="A1325" s="4">
        <v>2823133.0</v>
      </c>
      <c r="B1325" s="11">
        <v>46206.0</v>
      </c>
    </row>
    <row r="1326">
      <c r="A1326" s="4">
        <v>2823133.0</v>
      </c>
      <c r="B1326" s="11">
        <v>46207.0</v>
      </c>
    </row>
    <row r="1327">
      <c r="A1327" s="4">
        <v>2823133.0</v>
      </c>
      <c r="B1327" s="11">
        <v>46208.0</v>
      </c>
    </row>
    <row r="1328">
      <c r="A1328" s="4">
        <v>2823133.0</v>
      </c>
      <c r="B1328" s="11">
        <v>46209.0</v>
      </c>
    </row>
    <row r="1329">
      <c r="A1329" s="4">
        <v>2823133.0</v>
      </c>
      <c r="B1329" s="11">
        <v>46210.0</v>
      </c>
    </row>
    <row r="1330">
      <c r="A1330" s="4">
        <v>2823133.0</v>
      </c>
      <c r="B1330" s="11">
        <v>46211.0</v>
      </c>
    </row>
    <row r="1331">
      <c r="A1331" s="4">
        <v>2823133.0</v>
      </c>
      <c r="B1331" s="11">
        <v>46212.0</v>
      </c>
    </row>
    <row r="1332">
      <c r="A1332" s="4">
        <v>2823133.0</v>
      </c>
      <c r="B1332" s="11">
        <v>46213.0</v>
      </c>
    </row>
    <row r="1333">
      <c r="A1333" s="4">
        <v>2823133.0</v>
      </c>
      <c r="B1333" s="11">
        <v>46214.0</v>
      </c>
    </row>
    <row r="1334">
      <c r="A1334" s="4">
        <v>2823133.0</v>
      </c>
      <c r="B1334" s="11">
        <v>46215.0</v>
      </c>
    </row>
    <row r="1335">
      <c r="A1335" s="4">
        <v>2823133.0</v>
      </c>
      <c r="B1335" s="11">
        <v>46216.0</v>
      </c>
    </row>
    <row r="1336">
      <c r="A1336" s="4">
        <v>2823133.0</v>
      </c>
      <c r="B1336" s="11">
        <v>46217.0</v>
      </c>
    </row>
    <row r="1337">
      <c r="A1337" s="4">
        <v>2823133.0</v>
      </c>
      <c r="B1337" s="11">
        <v>46218.0</v>
      </c>
    </row>
    <row r="1338">
      <c r="A1338" s="4">
        <v>2843319.0</v>
      </c>
      <c r="B1338" s="11">
        <v>45323.0</v>
      </c>
    </row>
    <row r="1339">
      <c r="A1339" s="4">
        <v>2843319.0</v>
      </c>
      <c r="B1339" s="11">
        <v>45324.0</v>
      </c>
    </row>
    <row r="1340">
      <c r="A1340" s="4">
        <v>2843319.0</v>
      </c>
      <c r="B1340" s="11">
        <v>45325.0</v>
      </c>
    </row>
    <row r="1341">
      <c r="A1341" s="4">
        <v>2843319.0</v>
      </c>
      <c r="B1341" s="11">
        <v>45326.0</v>
      </c>
    </row>
    <row r="1342">
      <c r="A1342" s="4">
        <v>2843319.0</v>
      </c>
      <c r="B1342" s="11">
        <v>45327.0</v>
      </c>
    </row>
    <row r="1343">
      <c r="A1343" s="4">
        <v>2843319.0</v>
      </c>
      <c r="B1343" s="11">
        <v>45328.0</v>
      </c>
    </row>
    <row r="1344">
      <c r="A1344" s="4">
        <v>2843319.0</v>
      </c>
      <c r="B1344" s="11">
        <v>45329.0</v>
      </c>
    </row>
    <row r="1345">
      <c r="A1345" s="4">
        <v>2843319.0</v>
      </c>
      <c r="B1345" s="11">
        <v>45330.0</v>
      </c>
    </row>
    <row r="1346">
      <c r="A1346" s="4">
        <v>2843319.0</v>
      </c>
      <c r="B1346" s="11">
        <v>45331.0</v>
      </c>
    </row>
    <row r="1347">
      <c r="A1347" s="4">
        <v>2843319.0</v>
      </c>
      <c r="B1347" s="11">
        <v>45332.0</v>
      </c>
    </row>
    <row r="1348">
      <c r="A1348" s="4">
        <v>2843319.0</v>
      </c>
      <c r="B1348" s="11">
        <v>45333.0</v>
      </c>
    </row>
    <row r="1349">
      <c r="A1349" s="4">
        <v>2843319.0</v>
      </c>
      <c r="B1349" s="11">
        <v>45334.0</v>
      </c>
    </row>
    <row r="1350">
      <c r="A1350" s="4">
        <v>2843319.0</v>
      </c>
      <c r="B1350" s="11">
        <v>45335.0</v>
      </c>
    </row>
    <row r="1351">
      <c r="A1351" s="4">
        <v>2843319.0</v>
      </c>
      <c r="B1351" s="11">
        <v>45336.0</v>
      </c>
    </row>
    <row r="1352">
      <c r="A1352" s="4">
        <v>2843319.0</v>
      </c>
      <c r="B1352" s="11">
        <v>45337.0</v>
      </c>
    </row>
    <row r="1353">
      <c r="A1353" s="4">
        <v>2843319.0</v>
      </c>
      <c r="B1353" s="11">
        <v>45445.0</v>
      </c>
    </row>
    <row r="1354">
      <c r="A1354" s="4">
        <v>2843319.0</v>
      </c>
      <c r="B1354" s="11">
        <v>45446.0</v>
      </c>
    </row>
    <row r="1355">
      <c r="A1355" s="4">
        <v>2843319.0</v>
      </c>
      <c r="B1355" s="11">
        <v>45447.0</v>
      </c>
    </row>
    <row r="1356">
      <c r="A1356" s="4">
        <v>2843319.0</v>
      </c>
      <c r="B1356" s="11">
        <v>45448.0</v>
      </c>
    </row>
    <row r="1357">
      <c r="A1357" s="4">
        <v>2843319.0</v>
      </c>
      <c r="B1357" s="11">
        <v>45449.0</v>
      </c>
    </row>
    <row r="1358">
      <c r="A1358" s="4">
        <v>2843319.0</v>
      </c>
      <c r="B1358" s="11">
        <v>45450.0</v>
      </c>
    </row>
    <row r="1359">
      <c r="A1359" s="4">
        <v>2843319.0</v>
      </c>
      <c r="B1359" s="11">
        <v>45451.0</v>
      </c>
    </row>
    <row r="1360">
      <c r="A1360" s="4">
        <v>2843319.0</v>
      </c>
      <c r="B1360" s="11">
        <v>45452.0</v>
      </c>
    </row>
    <row r="1361">
      <c r="A1361" s="4">
        <v>2843319.0</v>
      </c>
      <c r="B1361" s="11">
        <v>45453.0</v>
      </c>
    </row>
    <row r="1362">
      <c r="A1362" s="4">
        <v>2843319.0</v>
      </c>
      <c r="B1362" s="11">
        <v>45489.0</v>
      </c>
    </row>
    <row r="1363">
      <c r="A1363" s="4">
        <v>2843319.0</v>
      </c>
      <c r="B1363" s="11">
        <v>45490.0</v>
      </c>
    </row>
    <row r="1364">
      <c r="A1364" s="4">
        <v>2843319.0</v>
      </c>
      <c r="B1364" s="11">
        <v>45491.0</v>
      </c>
    </row>
    <row r="1365">
      <c r="A1365" s="4">
        <v>2843319.0</v>
      </c>
      <c r="B1365" s="11">
        <v>45492.0</v>
      </c>
    </row>
    <row r="1366">
      <c r="A1366" s="4">
        <v>2843319.0</v>
      </c>
      <c r="B1366" s="11">
        <v>45493.0</v>
      </c>
    </row>
    <row r="1367">
      <c r="A1367" s="4">
        <v>2843319.0</v>
      </c>
      <c r="B1367" s="11">
        <v>45494.0</v>
      </c>
    </row>
    <row r="1368">
      <c r="A1368" s="4">
        <v>2843319.0</v>
      </c>
      <c r="B1368" s="11">
        <v>45495.0</v>
      </c>
    </row>
    <row r="1369">
      <c r="A1369" s="4">
        <v>2843319.0</v>
      </c>
      <c r="B1369" s="11">
        <v>45496.0</v>
      </c>
    </row>
    <row r="1370">
      <c r="A1370" s="4">
        <v>2843319.0</v>
      </c>
      <c r="B1370" s="11">
        <v>45497.0</v>
      </c>
    </row>
    <row r="1371">
      <c r="A1371" s="4">
        <v>2843319.0</v>
      </c>
      <c r="B1371" s="11">
        <v>45566.0</v>
      </c>
    </row>
    <row r="1372">
      <c r="A1372" s="4">
        <v>2843319.0</v>
      </c>
      <c r="B1372" s="11">
        <v>45567.0</v>
      </c>
    </row>
    <row r="1373">
      <c r="A1373" s="4">
        <v>2843319.0</v>
      </c>
      <c r="B1373" s="11">
        <v>45568.0</v>
      </c>
    </row>
    <row r="1374">
      <c r="A1374" s="4">
        <v>2843319.0</v>
      </c>
      <c r="B1374" s="11">
        <v>45569.0</v>
      </c>
    </row>
    <row r="1375">
      <c r="A1375" s="4">
        <v>2843319.0</v>
      </c>
      <c r="B1375" s="11">
        <v>45570.0</v>
      </c>
    </row>
    <row r="1376">
      <c r="A1376" s="4">
        <v>2843319.0</v>
      </c>
      <c r="B1376" s="11">
        <v>45571.0</v>
      </c>
    </row>
    <row r="1377">
      <c r="A1377" s="4">
        <v>2843319.0</v>
      </c>
      <c r="B1377" s="11">
        <v>45572.0</v>
      </c>
    </row>
    <row r="1378">
      <c r="A1378" s="4">
        <v>2843319.0</v>
      </c>
      <c r="B1378" s="11">
        <v>45573.0</v>
      </c>
    </row>
    <row r="1379">
      <c r="A1379" s="4">
        <v>2843319.0</v>
      </c>
      <c r="B1379" s="11">
        <v>45574.0</v>
      </c>
    </row>
    <row r="1380">
      <c r="A1380" s="4">
        <v>2843319.0</v>
      </c>
      <c r="B1380" s="11">
        <v>45575.0</v>
      </c>
    </row>
    <row r="1381">
      <c r="A1381" s="4">
        <v>2843319.0</v>
      </c>
      <c r="B1381" s="11">
        <v>45576.0</v>
      </c>
    </row>
    <row r="1382">
      <c r="A1382" s="4">
        <v>2843319.0</v>
      </c>
      <c r="B1382" s="11">
        <v>45577.0</v>
      </c>
    </row>
    <row r="1383">
      <c r="A1383" s="4">
        <v>2843319.0</v>
      </c>
      <c r="B1383" s="11">
        <v>45578.0</v>
      </c>
    </row>
    <row r="1384">
      <c r="A1384" s="4">
        <v>2843319.0</v>
      </c>
      <c r="B1384" s="11">
        <v>45579.0</v>
      </c>
    </row>
    <row r="1385">
      <c r="A1385" s="4">
        <v>2843319.0</v>
      </c>
      <c r="B1385" s="11">
        <v>45580.0</v>
      </c>
    </row>
    <row r="1386">
      <c r="A1386" s="4">
        <v>2843319.0</v>
      </c>
      <c r="B1386" s="11">
        <v>45689.0</v>
      </c>
    </row>
    <row r="1387">
      <c r="A1387" s="4">
        <v>2843319.0</v>
      </c>
      <c r="B1387" s="11">
        <v>45690.0</v>
      </c>
    </row>
    <row r="1388">
      <c r="A1388" s="4">
        <v>2843319.0</v>
      </c>
      <c r="B1388" s="11">
        <v>45691.0</v>
      </c>
    </row>
    <row r="1389">
      <c r="A1389" s="4">
        <v>2843319.0</v>
      </c>
      <c r="B1389" s="11">
        <v>45692.0</v>
      </c>
    </row>
    <row r="1390">
      <c r="A1390" s="4">
        <v>2843319.0</v>
      </c>
      <c r="B1390" s="11">
        <v>45693.0</v>
      </c>
    </row>
    <row r="1391">
      <c r="A1391" s="4">
        <v>2843319.0</v>
      </c>
      <c r="B1391" s="11">
        <v>45694.0</v>
      </c>
    </row>
    <row r="1392">
      <c r="A1392" s="4">
        <v>2843319.0</v>
      </c>
      <c r="B1392" s="11">
        <v>45695.0</v>
      </c>
    </row>
    <row r="1393">
      <c r="A1393" s="4">
        <v>2843319.0</v>
      </c>
      <c r="B1393" s="11">
        <v>45696.0</v>
      </c>
    </row>
    <row r="1394">
      <c r="A1394" s="4">
        <v>2843319.0</v>
      </c>
      <c r="B1394" s="11">
        <v>45697.0</v>
      </c>
    </row>
    <row r="1395">
      <c r="A1395" s="4">
        <v>2843319.0</v>
      </c>
      <c r="B1395" s="11">
        <v>45698.0</v>
      </c>
    </row>
    <row r="1396">
      <c r="A1396" s="4">
        <v>2843319.0</v>
      </c>
      <c r="B1396" s="11">
        <v>45699.0</v>
      </c>
    </row>
    <row r="1397">
      <c r="A1397" s="4">
        <v>2843319.0</v>
      </c>
      <c r="B1397" s="11">
        <v>45700.0</v>
      </c>
    </row>
    <row r="1398">
      <c r="A1398" s="4">
        <v>2843319.0</v>
      </c>
      <c r="B1398" s="11">
        <v>45701.0</v>
      </c>
    </row>
    <row r="1399">
      <c r="A1399" s="4">
        <v>2843319.0</v>
      </c>
      <c r="B1399" s="11">
        <v>45702.0</v>
      </c>
    </row>
    <row r="1400">
      <c r="A1400" s="4">
        <v>2843319.0</v>
      </c>
      <c r="B1400" s="11">
        <v>45786.0</v>
      </c>
    </row>
    <row r="1401">
      <c r="A1401" s="4">
        <v>2843319.0</v>
      </c>
      <c r="B1401" s="11">
        <v>45787.0</v>
      </c>
    </row>
    <row r="1402">
      <c r="A1402" s="4">
        <v>2843319.0</v>
      </c>
      <c r="B1402" s="11">
        <v>45788.0</v>
      </c>
    </row>
    <row r="1403">
      <c r="A1403" s="4">
        <v>2843319.0</v>
      </c>
      <c r="B1403" s="11">
        <v>45789.0</v>
      </c>
    </row>
    <row r="1404">
      <c r="A1404" s="4">
        <v>2843319.0</v>
      </c>
      <c r="B1404" s="11">
        <v>45790.0</v>
      </c>
    </row>
    <row r="1405">
      <c r="A1405" s="4">
        <v>2843319.0</v>
      </c>
      <c r="B1405" s="11">
        <v>45791.0</v>
      </c>
    </row>
    <row r="1406">
      <c r="A1406" s="4">
        <v>2843319.0</v>
      </c>
      <c r="B1406" s="11">
        <v>45792.0</v>
      </c>
    </row>
    <row r="1407">
      <c r="A1407" s="4">
        <v>2843319.0</v>
      </c>
      <c r="B1407" s="11">
        <v>45793.0</v>
      </c>
    </row>
    <row r="1408">
      <c r="A1408" s="4">
        <v>2843319.0</v>
      </c>
      <c r="B1408" s="11">
        <v>45794.0</v>
      </c>
    </row>
    <row r="1409">
      <c r="A1409" s="4">
        <v>2843319.0</v>
      </c>
      <c r="B1409" s="11">
        <v>45795.0</v>
      </c>
    </row>
    <row r="1410">
      <c r="A1410" s="4">
        <v>2843319.0</v>
      </c>
      <c r="B1410" s="11">
        <v>45796.0</v>
      </c>
    </row>
    <row r="1411">
      <c r="A1411" s="4">
        <v>2843319.0</v>
      </c>
      <c r="B1411" s="11">
        <v>45797.0</v>
      </c>
    </row>
    <row r="1412">
      <c r="A1412" s="4">
        <v>2843319.0</v>
      </c>
      <c r="B1412" s="11">
        <v>45938.0</v>
      </c>
    </row>
    <row r="1413">
      <c r="A1413" s="4">
        <v>2843319.0</v>
      </c>
      <c r="B1413" s="11">
        <v>45939.0</v>
      </c>
    </row>
    <row r="1414">
      <c r="A1414" s="4">
        <v>2843319.0</v>
      </c>
      <c r="B1414" s="11">
        <v>45940.0</v>
      </c>
    </row>
    <row r="1415">
      <c r="A1415" s="4">
        <v>2843319.0</v>
      </c>
      <c r="B1415" s="11">
        <v>45941.0</v>
      </c>
    </row>
    <row r="1416">
      <c r="A1416" s="4">
        <v>2843319.0</v>
      </c>
      <c r="B1416" s="11">
        <v>45942.0</v>
      </c>
    </row>
    <row r="1417">
      <c r="A1417" s="4">
        <v>2843319.0</v>
      </c>
      <c r="B1417" s="11">
        <v>45943.0</v>
      </c>
    </row>
    <row r="1418">
      <c r="A1418" s="4">
        <v>2843319.0</v>
      </c>
      <c r="B1418" s="11">
        <v>45944.0</v>
      </c>
    </row>
    <row r="1419">
      <c r="A1419" s="4">
        <v>2843319.0</v>
      </c>
      <c r="B1419" s="11">
        <v>45945.0</v>
      </c>
    </row>
    <row r="1420">
      <c r="A1420" s="4">
        <v>2843319.0</v>
      </c>
      <c r="B1420" s="11">
        <v>45946.0</v>
      </c>
    </row>
    <row r="1421">
      <c r="A1421" s="4">
        <v>2843319.0</v>
      </c>
      <c r="B1421" s="11">
        <v>45947.0</v>
      </c>
    </row>
    <row r="1422">
      <c r="A1422" s="4">
        <v>2843319.0</v>
      </c>
      <c r="B1422" s="11">
        <v>45948.0</v>
      </c>
    </row>
    <row r="1423">
      <c r="A1423" s="4">
        <v>2843319.0</v>
      </c>
      <c r="B1423" s="11">
        <v>45949.0</v>
      </c>
    </row>
    <row r="1424">
      <c r="A1424" s="4">
        <v>2843319.0</v>
      </c>
      <c r="B1424" s="11">
        <v>45950.0</v>
      </c>
    </row>
    <row r="1425">
      <c r="A1425" s="4">
        <v>2843319.0</v>
      </c>
      <c r="B1425" s="11">
        <v>45951.0</v>
      </c>
    </row>
    <row r="1426">
      <c r="A1426" s="4">
        <v>2843319.0</v>
      </c>
      <c r="B1426" s="11">
        <v>45952.0</v>
      </c>
    </row>
    <row r="1427">
      <c r="A1427" s="4">
        <v>2843319.0</v>
      </c>
      <c r="B1427" s="11">
        <v>45953.0</v>
      </c>
    </row>
    <row r="1428">
      <c r="A1428" s="4">
        <v>2843319.0</v>
      </c>
      <c r="B1428" s="11">
        <v>46038.0</v>
      </c>
    </row>
    <row r="1429">
      <c r="A1429" s="4">
        <v>2843319.0</v>
      </c>
      <c r="B1429" s="11">
        <v>46039.0</v>
      </c>
    </row>
    <row r="1430">
      <c r="A1430" s="4">
        <v>2843319.0</v>
      </c>
      <c r="B1430" s="11">
        <v>46040.0</v>
      </c>
    </row>
    <row r="1431">
      <c r="A1431" s="4">
        <v>2843319.0</v>
      </c>
      <c r="B1431" s="11">
        <v>46041.0</v>
      </c>
    </row>
    <row r="1432">
      <c r="A1432" s="4">
        <v>2843319.0</v>
      </c>
      <c r="B1432" s="11">
        <v>46042.0</v>
      </c>
    </row>
    <row r="1433">
      <c r="A1433" s="4">
        <v>2843319.0</v>
      </c>
      <c r="B1433" s="11">
        <v>46043.0</v>
      </c>
    </row>
    <row r="1434">
      <c r="A1434" s="4">
        <v>2843319.0</v>
      </c>
      <c r="B1434" s="11">
        <v>46044.0</v>
      </c>
    </row>
    <row r="1435">
      <c r="A1435" s="4">
        <v>2843319.0</v>
      </c>
      <c r="B1435" s="11">
        <v>46045.0</v>
      </c>
    </row>
    <row r="1436">
      <c r="A1436" s="4">
        <v>2843319.0</v>
      </c>
      <c r="B1436" s="11">
        <v>46046.0</v>
      </c>
    </row>
    <row r="1437">
      <c r="A1437" s="4">
        <v>2843319.0</v>
      </c>
      <c r="B1437" s="11">
        <v>46047.0</v>
      </c>
    </row>
    <row r="1438">
      <c r="A1438" s="4">
        <v>2843319.0</v>
      </c>
      <c r="B1438" s="11">
        <v>46048.0</v>
      </c>
    </row>
    <row r="1439">
      <c r="A1439" s="4">
        <v>2843319.0</v>
      </c>
      <c r="B1439" s="11">
        <v>46049.0</v>
      </c>
    </row>
    <row r="1440">
      <c r="A1440" s="4">
        <v>2843319.0</v>
      </c>
      <c r="B1440" s="11">
        <v>46050.0</v>
      </c>
    </row>
    <row r="1441">
      <c r="A1441" s="4">
        <v>2843319.0</v>
      </c>
      <c r="B1441" s="11">
        <v>46051.0</v>
      </c>
    </row>
    <row r="1442">
      <c r="A1442" s="4">
        <v>2843319.0</v>
      </c>
      <c r="B1442" s="11">
        <v>46223.0</v>
      </c>
    </row>
    <row r="1443">
      <c r="A1443" s="4">
        <v>2843319.0</v>
      </c>
      <c r="B1443" s="11">
        <v>46224.0</v>
      </c>
    </row>
    <row r="1444">
      <c r="A1444" s="4">
        <v>2843319.0</v>
      </c>
      <c r="B1444" s="11">
        <v>46225.0</v>
      </c>
    </row>
    <row r="1445">
      <c r="A1445" s="4">
        <v>2843319.0</v>
      </c>
      <c r="B1445" s="11">
        <v>46226.0</v>
      </c>
    </row>
    <row r="1446">
      <c r="A1446" s="4">
        <v>2843319.0</v>
      </c>
      <c r="B1446" s="11">
        <v>46227.0</v>
      </c>
    </row>
    <row r="1447">
      <c r="A1447" s="4">
        <v>2843319.0</v>
      </c>
      <c r="B1447" s="11">
        <v>46228.0</v>
      </c>
    </row>
    <row r="1448">
      <c r="A1448" s="4">
        <v>2843319.0</v>
      </c>
      <c r="B1448" s="11">
        <v>46229.0</v>
      </c>
    </row>
    <row r="1449">
      <c r="A1449" s="4">
        <v>2843319.0</v>
      </c>
      <c r="B1449" s="11">
        <v>46230.0</v>
      </c>
    </row>
    <row r="1450">
      <c r="A1450" s="4">
        <v>2843319.0</v>
      </c>
      <c r="B1450" s="11">
        <v>46231.0</v>
      </c>
    </row>
    <row r="1451">
      <c r="A1451" s="4">
        <v>2843319.0</v>
      </c>
      <c r="B1451" s="11">
        <v>46232.0</v>
      </c>
    </row>
    <row r="1452">
      <c r="A1452" s="4">
        <v>2843319.0</v>
      </c>
      <c r="B1452" s="11">
        <v>46233.0</v>
      </c>
    </row>
    <row r="1453">
      <c r="A1453" s="4">
        <v>2843319.0</v>
      </c>
      <c r="B1453" s="11">
        <v>46234.0</v>
      </c>
    </row>
    <row r="1454">
      <c r="A1454" s="4">
        <v>2843319.0</v>
      </c>
      <c r="B1454" s="11">
        <v>46303.0</v>
      </c>
    </row>
    <row r="1455">
      <c r="A1455" s="4">
        <v>2843319.0</v>
      </c>
      <c r="B1455" s="11">
        <v>46304.0</v>
      </c>
    </row>
    <row r="1456">
      <c r="A1456" s="4">
        <v>2843319.0</v>
      </c>
      <c r="B1456" s="11">
        <v>46305.0</v>
      </c>
    </row>
    <row r="1457">
      <c r="A1457" s="4">
        <v>2843319.0</v>
      </c>
      <c r="B1457" s="11">
        <v>46306.0</v>
      </c>
    </row>
    <row r="1458">
      <c r="A1458" s="4">
        <v>2843319.0</v>
      </c>
      <c r="B1458" s="11">
        <v>46307.0</v>
      </c>
    </row>
    <row r="1459">
      <c r="A1459" s="4">
        <v>2843319.0</v>
      </c>
      <c r="B1459" s="11">
        <v>46308.0</v>
      </c>
    </row>
    <row r="1460">
      <c r="A1460" s="4">
        <v>2843319.0</v>
      </c>
      <c r="B1460" s="11">
        <v>46309.0</v>
      </c>
    </row>
    <row r="1461">
      <c r="A1461" s="4">
        <v>2843319.0</v>
      </c>
      <c r="B1461" s="11">
        <v>46310.0</v>
      </c>
    </row>
    <row r="1462">
      <c r="A1462" s="4">
        <v>2843319.0</v>
      </c>
      <c r="B1462" s="11">
        <v>46311.0</v>
      </c>
    </row>
    <row r="1463">
      <c r="A1463" s="4">
        <v>2843319.0</v>
      </c>
      <c r="B1463" s="11">
        <v>46312.0</v>
      </c>
    </row>
    <row r="1464">
      <c r="A1464" s="4">
        <v>2843319.0</v>
      </c>
      <c r="B1464" s="11">
        <v>46313.0</v>
      </c>
    </row>
    <row r="1465">
      <c r="A1465" s="4">
        <v>2843319.0</v>
      </c>
      <c r="B1465" s="11">
        <v>46314.0</v>
      </c>
    </row>
    <row r="1466">
      <c r="A1466" s="4">
        <v>2843319.0</v>
      </c>
      <c r="B1466" s="11">
        <v>46315.0</v>
      </c>
    </row>
    <row r="1467">
      <c r="A1467" s="4">
        <v>2843319.0</v>
      </c>
      <c r="B1467" s="11">
        <v>46316.0</v>
      </c>
    </row>
    <row r="1468">
      <c r="A1468" s="4">
        <v>2843319.0</v>
      </c>
      <c r="B1468" s="11">
        <v>46317.0</v>
      </c>
    </row>
    <row r="1469">
      <c r="A1469" s="4">
        <v>2843319.0</v>
      </c>
      <c r="B1469" s="11">
        <v>46318.0</v>
      </c>
    </row>
    <row r="1470">
      <c r="A1470" s="4">
        <v>3134911.0</v>
      </c>
      <c r="B1470" s="11">
        <v>45451.0</v>
      </c>
    </row>
    <row r="1471">
      <c r="A1471" s="4">
        <v>3134911.0</v>
      </c>
      <c r="B1471" s="11">
        <v>45452.0</v>
      </c>
    </row>
    <row r="1472">
      <c r="A1472" s="4">
        <v>3134911.0</v>
      </c>
      <c r="B1472" s="11">
        <v>45453.0</v>
      </c>
    </row>
    <row r="1473">
      <c r="A1473" s="4">
        <v>3134911.0</v>
      </c>
      <c r="B1473" s="11">
        <v>45454.0</v>
      </c>
    </row>
    <row r="1474">
      <c r="A1474" s="4">
        <v>3134911.0</v>
      </c>
      <c r="B1474" s="11">
        <v>45455.0</v>
      </c>
    </row>
    <row r="1475">
      <c r="A1475" s="4">
        <v>3134911.0</v>
      </c>
      <c r="B1475" s="11">
        <v>45456.0</v>
      </c>
    </row>
    <row r="1476">
      <c r="A1476" s="4">
        <v>3134911.0</v>
      </c>
      <c r="B1476" s="11">
        <v>45457.0</v>
      </c>
    </row>
    <row r="1477">
      <c r="A1477" s="4">
        <v>3134911.0</v>
      </c>
      <c r="B1477" s="11">
        <v>45458.0</v>
      </c>
    </row>
    <row r="1478">
      <c r="A1478" s="4">
        <v>3134911.0</v>
      </c>
      <c r="B1478" s="11">
        <v>45459.0</v>
      </c>
    </row>
    <row r="1479">
      <c r="A1479" s="4">
        <v>3134911.0</v>
      </c>
      <c r="B1479" s="11">
        <v>45460.0</v>
      </c>
    </row>
    <row r="1480">
      <c r="A1480" s="4">
        <v>3134911.0</v>
      </c>
      <c r="B1480" s="11">
        <v>45461.0</v>
      </c>
    </row>
    <row r="1481">
      <c r="A1481" s="4">
        <v>3134911.0</v>
      </c>
      <c r="B1481" s="11">
        <v>45462.0</v>
      </c>
    </row>
    <row r="1482">
      <c r="A1482" s="4">
        <v>3134911.0</v>
      </c>
      <c r="B1482" s="11">
        <v>45463.0</v>
      </c>
    </row>
    <row r="1483">
      <c r="A1483" s="4">
        <v>3134911.0</v>
      </c>
      <c r="B1483" s="11">
        <v>45464.0</v>
      </c>
    </row>
    <row r="1484">
      <c r="A1484" s="4">
        <v>3134911.0</v>
      </c>
      <c r="B1484" s="11">
        <v>45465.0</v>
      </c>
    </row>
    <row r="1485">
      <c r="A1485" s="4">
        <v>3134911.0</v>
      </c>
      <c r="B1485" s="11">
        <v>45466.0</v>
      </c>
    </row>
    <row r="1486">
      <c r="A1486" s="4">
        <v>3134911.0</v>
      </c>
      <c r="B1486" s="11">
        <v>45467.0</v>
      </c>
    </row>
    <row r="1487">
      <c r="A1487" s="4">
        <v>3134911.0</v>
      </c>
      <c r="B1487" s="11">
        <v>45468.0</v>
      </c>
    </row>
    <row r="1488">
      <c r="A1488" s="4">
        <v>3134911.0</v>
      </c>
      <c r="B1488" s="11">
        <v>45469.0</v>
      </c>
    </row>
    <row r="1489">
      <c r="A1489" s="4">
        <v>3134911.0</v>
      </c>
      <c r="B1489" s="11">
        <v>45470.0</v>
      </c>
    </row>
    <row r="1490">
      <c r="A1490" s="4">
        <v>3134911.0</v>
      </c>
      <c r="B1490" s="11">
        <v>45471.0</v>
      </c>
    </row>
    <row r="1491">
      <c r="A1491" s="4">
        <v>3134911.0</v>
      </c>
      <c r="B1491" s="11">
        <v>45472.0</v>
      </c>
    </row>
    <row r="1492">
      <c r="A1492" s="4">
        <v>3134911.0</v>
      </c>
      <c r="B1492" s="11">
        <v>45473.0</v>
      </c>
    </row>
    <row r="1493">
      <c r="A1493" s="4">
        <v>3134911.0</v>
      </c>
      <c r="B1493" s="11">
        <v>45573.0</v>
      </c>
    </row>
    <row r="1494">
      <c r="A1494" s="4">
        <v>3134911.0</v>
      </c>
      <c r="B1494" s="11">
        <v>45574.0</v>
      </c>
    </row>
    <row r="1495">
      <c r="A1495" s="4">
        <v>3134911.0</v>
      </c>
      <c r="B1495" s="11">
        <v>45575.0</v>
      </c>
    </row>
    <row r="1496">
      <c r="A1496" s="4">
        <v>3134911.0</v>
      </c>
      <c r="B1496" s="11">
        <v>45576.0</v>
      </c>
    </row>
    <row r="1497">
      <c r="A1497" s="4">
        <v>3134911.0</v>
      </c>
      <c r="B1497" s="11">
        <v>45577.0</v>
      </c>
    </row>
    <row r="1498">
      <c r="A1498" s="4">
        <v>3134911.0</v>
      </c>
      <c r="B1498" s="11">
        <v>45578.0</v>
      </c>
    </row>
    <row r="1499">
      <c r="A1499" s="4">
        <v>3134911.0</v>
      </c>
      <c r="B1499" s="11">
        <v>45579.0</v>
      </c>
    </row>
    <row r="1500">
      <c r="A1500" s="4">
        <v>3134911.0</v>
      </c>
      <c r="B1500" s="11">
        <v>45580.0</v>
      </c>
    </row>
    <row r="1501">
      <c r="A1501" s="4">
        <v>3134911.0</v>
      </c>
      <c r="B1501" s="11">
        <v>45581.0</v>
      </c>
    </row>
    <row r="1502">
      <c r="A1502" s="4">
        <v>3134911.0</v>
      </c>
      <c r="B1502" s="11">
        <v>45582.0</v>
      </c>
    </row>
    <row r="1503">
      <c r="A1503" s="4">
        <v>3134911.0</v>
      </c>
      <c r="B1503" s="11">
        <v>45583.0</v>
      </c>
    </row>
    <row r="1504">
      <c r="A1504" s="4">
        <v>3134911.0</v>
      </c>
      <c r="B1504" s="11">
        <v>45584.0</v>
      </c>
    </row>
    <row r="1505">
      <c r="A1505" s="4">
        <v>3134911.0</v>
      </c>
      <c r="B1505" s="11">
        <v>45585.0</v>
      </c>
    </row>
    <row r="1506">
      <c r="A1506" s="4">
        <v>3134911.0</v>
      </c>
      <c r="B1506" s="11">
        <v>45586.0</v>
      </c>
    </row>
    <row r="1507">
      <c r="A1507" s="4">
        <v>3134911.0</v>
      </c>
      <c r="B1507" s="11">
        <v>45587.0</v>
      </c>
    </row>
    <row r="1508">
      <c r="A1508" s="4">
        <v>3134911.0</v>
      </c>
      <c r="B1508" s="11">
        <v>45588.0</v>
      </c>
    </row>
    <row r="1509">
      <c r="A1509" s="4">
        <v>3134911.0</v>
      </c>
      <c r="B1509" s="11">
        <v>45770.0</v>
      </c>
    </row>
    <row r="1510">
      <c r="A1510" s="4">
        <v>3134911.0</v>
      </c>
      <c r="B1510" s="11">
        <v>45771.0</v>
      </c>
    </row>
    <row r="1511">
      <c r="A1511" s="4">
        <v>3134911.0</v>
      </c>
      <c r="B1511" s="11">
        <v>45772.0</v>
      </c>
    </row>
    <row r="1512">
      <c r="A1512" s="4">
        <v>3134911.0</v>
      </c>
      <c r="B1512" s="11">
        <v>45773.0</v>
      </c>
    </row>
    <row r="1513">
      <c r="A1513" s="4">
        <v>3134911.0</v>
      </c>
      <c r="B1513" s="11">
        <v>45774.0</v>
      </c>
    </row>
    <row r="1514">
      <c r="A1514" s="4">
        <v>3134911.0</v>
      </c>
      <c r="B1514" s="11">
        <v>45775.0</v>
      </c>
    </row>
    <row r="1515">
      <c r="A1515" s="4">
        <v>3134911.0</v>
      </c>
      <c r="B1515" s="11">
        <v>45776.0</v>
      </c>
    </row>
    <row r="1516">
      <c r="A1516" s="4">
        <v>3134911.0</v>
      </c>
      <c r="B1516" s="11">
        <v>45777.0</v>
      </c>
    </row>
    <row r="1517">
      <c r="A1517" s="4">
        <v>3134911.0</v>
      </c>
      <c r="B1517" s="11">
        <v>45778.0</v>
      </c>
    </row>
    <row r="1518">
      <c r="A1518" s="4">
        <v>3134911.0</v>
      </c>
      <c r="B1518" s="11">
        <v>45779.0</v>
      </c>
    </row>
    <row r="1519">
      <c r="A1519" s="4">
        <v>3134911.0</v>
      </c>
      <c r="B1519" s="11">
        <v>45780.0</v>
      </c>
    </row>
    <row r="1520">
      <c r="A1520" s="4">
        <v>3134911.0</v>
      </c>
      <c r="B1520" s="11">
        <v>45781.0</v>
      </c>
    </row>
    <row r="1521">
      <c r="A1521" s="4">
        <v>3134911.0</v>
      </c>
      <c r="B1521" s="11">
        <v>45782.0</v>
      </c>
    </row>
    <row r="1522">
      <c r="A1522" s="4">
        <v>3134911.0</v>
      </c>
      <c r="B1522" s="11">
        <v>45783.0</v>
      </c>
    </row>
    <row r="1523">
      <c r="A1523" s="4">
        <v>3134911.0</v>
      </c>
      <c r="B1523" s="11">
        <v>45784.0</v>
      </c>
    </row>
    <row r="1524">
      <c r="A1524" s="4">
        <v>3134911.0</v>
      </c>
      <c r="B1524" s="11">
        <v>45785.0</v>
      </c>
    </row>
    <row r="1525">
      <c r="A1525" s="4">
        <v>3134911.0</v>
      </c>
      <c r="B1525" s="11">
        <v>45786.0</v>
      </c>
    </row>
    <row r="1526">
      <c r="A1526" s="4">
        <v>3134911.0</v>
      </c>
      <c r="B1526" s="11">
        <v>45787.0</v>
      </c>
    </row>
    <row r="1527">
      <c r="A1527" s="4">
        <v>3134911.0</v>
      </c>
      <c r="B1527" s="11">
        <v>45901.0</v>
      </c>
    </row>
    <row r="1528">
      <c r="A1528" s="4">
        <v>3134911.0</v>
      </c>
      <c r="B1528" s="11">
        <v>45902.0</v>
      </c>
    </row>
    <row r="1529">
      <c r="A1529" s="4">
        <v>3134911.0</v>
      </c>
      <c r="B1529" s="11">
        <v>45903.0</v>
      </c>
    </row>
    <row r="1530">
      <c r="A1530" s="4">
        <v>3134911.0</v>
      </c>
      <c r="B1530" s="11">
        <v>45904.0</v>
      </c>
    </row>
    <row r="1531">
      <c r="A1531" s="4">
        <v>3134911.0</v>
      </c>
      <c r="B1531" s="11">
        <v>45905.0</v>
      </c>
    </row>
    <row r="1532">
      <c r="A1532" s="4">
        <v>3134911.0</v>
      </c>
      <c r="B1532" s="11">
        <v>45906.0</v>
      </c>
    </row>
    <row r="1533">
      <c r="A1533" s="4">
        <v>3134911.0</v>
      </c>
      <c r="B1533" s="11">
        <v>45907.0</v>
      </c>
    </row>
    <row r="1534">
      <c r="A1534" s="4">
        <v>3134911.0</v>
      </c>
      <c r="B1534" s="11">
        <v>45908.0</v>
      </c>
    </row>
    <row r="1535">
      <c r="A1535" s="4">
        <v>3134911.0</v>
      </c>
      <c r="B1535" s="11">
        <v>45909.0</v>
      </c>
    </row>
    <row r="1536">
      <c r="A1536" s="4">
        <v>3134911.0</v>
      </c>
      <c r="B1536" s="11">
        <v>45910.0</v>
      </c>
    </row>
    <row r="1537">
      <c r="A1537" s="4">
        <v>3134911.0</v>
      </c>
      <c r="B1537" s="11">
        <v>45911.0</v>
      </c>
    </row>
    <row r="1538">
      <c r="A1538" s="4">
        <v>3134911.0</v>
      </c>
      <c r="B1538" s="11">
        <v>45912.0</v>
      </c>
    </row>
    <row r="1539">
      <c r="A1539" s="4">
        <v>3134911.0</v>
      </c>
      <c r="B1539" s="11">
        <v>46007.0</v>
      </c>
    </row>
    <row r="1540">
      <c r="A1540" s="4">
        <v>3134911.0</v>
      </c>
      <c r="B1540" s="11">
        <v>46008.0</v>
      </c>
    </row>
    <row r="1541">
      <c r="A1541" s="4">
        <v>3134911.0</v>
      </c>
      <c r="B1541" s="11">
        <v>46009.0</v>
      </c>
    </row>
    <row r="1542">
      <c r="A1542" s="4">
        <v>3134911.0</v>
      </c>
      <c r="B1542" s="11">
        <v>46010.0</v>
      </c>
    </row>
    <row r="1543">
      <c r="A1543" s="4">
        <v>3134911.0</v>
      </c>
      <c r="B1543" s="11">
        <v>46011.0</v>
      </c>
    </row>
    <row r="1544">
      <c r="A1544" s="4">
        <v>3134911.0</v>
      </c>
      <c r="B1544" s="11">
        <v>46012.0</v>
      </c>
    </row>
    <row r="1545">
      <c r="A1545" s="4">
        <v>3134911.0</v>
      </c>
      <c r="B1545" s="11">
        <v>46013.0</v>
      </c>
    </row>
    <row r="1546">
      <c r="A1546" s="4">
        <v>3134911.0</v>
      </c>
      <c r="B1546" s="11">
        <v>46014.0</v>
      </c>
    </row>
    <row r="1547">
      <c r="A1547" s="4">
        <v>3134911.0</v>
      </c>
      <c r="B1547" s="11">
        <v>46082.0</v>
      </c>
    </row>
    <row r="1548">
      <c r="A1548" s="4">
        <v>3134911.0</v>
      </c>
      <c r="B1548" s="11">
        <v>46083.0</v>
      </c>
    </row>
    <row r="1549">
      <c r="A1549" s="4">
        <v>3134911.0</v>
      </c>
      <c r="B1549" s="11">
        <v>46084.0</v>
      </c>
    </row>
    <row r="1550">
      <c r="A1550" s="4">
        <v>3134911.0</v>
      </c>
      <c r="B1550" s="11">
        <v>46085.0</v>
      </c>
    </row>
    <row r="1551">
      <c r="A1551" s="4">
        <v>3134911.0</v>
      </c>
      <c r="B1551" s="11">
        <v>46086.0</v>
      </c>
    </row>
    <row r="1552">
      <c r="A1552" s="4">
        <v>3134911.0</v>
      </c>
      <c r="B1552" s="11">
        <v>46087.0</v>
      </c>
    </row>
    <row r="1553">
      <c r="A1553" s="4">
        <v>3134911.0</v>
      </c>
      <c r="B1553" s="11">
        <v>46088.0</v>
      </c>
    </row>
    <row r="1554">
      <c r="A1554" s="4">
        <v>3134911.0</v>
      </c>
      <c r="B1554" s="11">
        <v>46089.0</v>
      </c>
    </row>
    <row r="1555">
      <c r="A1555" s="4">
        <v>3134911.0</v>
      </c>
      <c r="B1555" s="11">
        <v>46090.0</v>
      </c>
    </row>
    <row r="1556">
      <c r="A1556" s="4">
        <v>3134911.0</v>
      </c>
      <c r="B1556" s="11">
        <v>46091.0</v>
      </c>
    </row>
    <row r="1557">
      <c r="A1557" s="4">
        <v>3134911.0</v>
      </c>
      <c r="B1557" s="11">
        <v>46092.0</v>
      </c>
    </row>
    <row r="1558">
      <c r="A1558" s="4">
        <v>3134911.0</v>
      </c>
      <c r="B1558" s="11">
        <v>46093.0</v>
      </c>
    </row>
    <row r="1559">
      <c r="A1559" s="4">
        <v>3134911.0</v>
      </c>
      <c r="B1559" s="11">
        <v>46094.0</v>
      </c>
    </row>
    <row r="1560">
      <c r="A1560" s="4">
        <v>3134911.0</v>
      </c>
      <c r="B1560" s="11">
        <v>46095.0</v>
      </c>
    </row>
    <row r="1561">
      <c r="A1561" s="4">
        <v>3134911.0</v>
      </c>
      <c r="B1561" s="11">
        <v>46096.0</v>
      </c>
    </row>
    <row r="1562">
      <c r="A1562" s="4">
        <v>3134911.0</v>
      </c>
      <c r="B1562" s="11">
        <v>46097.0</v>
      </c>
    </row>
    <row r="1563">
      <c r="A1563" s="4">
        <v>3134911.0</v>
      </c>
      <c r="B1563" s="11">
        <v>46098.0</v>
      </c>
    </row>
    <row r="1564">
      <c r="A1564" s="4">
        <v>3134911.0</v>
      </c>
      <c r="B1564" s="11">
        <v>46099.0</v>
      </c>
    </row>
    <row r="1565">
      <c r="A1565" s="4">
        <v>3134911.0</v>
      </c>
      <c r="B1565" s="11">
        <v>46100.0</v>
      </c>
    </row>
    <row r="1566">
      <c r="A1566" s="4">
        <v>3134911.0</v>
      </c>
      <c r="B1566" s="11">
        <v>46101.0</v>
      </c>
    </row>
    <row r="1567">
      <c r="A1567" s="4">
        <v>3134911.0</v>
      </c>
      <c r="B1567" s="11">
        <v>46102.0</v>
      </c>
    </row>
    <row r="1568">
      <c r="A1568" s="4">
        <v>3134911.0</v>
      </c>
      <c r="B1568" s="11">
        <v>46103.0</v>
      </c>
    </row>
    <row r="1569">
      <c r="A1569" s="4">
        <v>3134911.0</v>
      </c>
      <c r="B1569" s="11">
        <v>46104.0</v>
      </c>
    </row>
    <row r="1570">
      <c r="A1570" s="4">
        <v>3134911.0</v>
      </c>
      <c r="B1570" s="11">
        <v>46296.0</v>
      </c>
    </row>
    <row r="1571">
      <c r="A1571" s="4">
        <v>3134911.0</v>
      </c>
      <c r="B1571" s="11">
        <v>46297.0</v>
      </c>
    </row>
    <row r="1572">
      <c r="A1572" s="4">
        <v>3134911.0</v>
      </c>
      <c r="B1572" s="11">
        <v>46298.0</v>
      </c>
    </row>
    <row r="1573">
      <c r="A1573" s="4">
        <v>3134911.0</v>
      </c>
      <c r="B1573" s="11">
        <v>46299.0</v>
      </c>
    </row>
    <row r="1574">
      <c r="A1574" s="4">
        <v>3134911.0</v>
      </c>
      <c r="B1574" s="11">
        <v>46300.0</v>
      </c>
    </row>
    <row r="1575">
      <c r="A1575" s="4">
        <v>3134911.0</v>
      </c>
      <c r="B1575" s="11">
        <v>46301.0</v>
      </c>
    </row>
    <row r="1576">
      <c r="A1576" s="4">
        <v>3134911.0</v>
      </c>
      <c r="B1576" s="11">
        <v>46302.0</v>
      </c>
    </row>
    <row r="1577">
      <c r="A1577" s="4">
        <v>3134911.0</v>
      </c>
      <c r="B1577" s="11">
        <v>46303.0</v>
      </c>
    </row>
    <row r="1578">
      <c r="A1578" s="4">
        <v>3134911.0</v>
      </c>
      <c r="B1578" s="11">
        <v>46304.0</v>
      </c>
    </row>
    <row r="1579">
      <c r="A1579" s="4">
        <v>3134911.0</v>
      </c>
      <c r="B1579" s="11">
        <v>46305.0</v>
      </c>
    </row>
    <row r="1580">
      <c r="A1580" s="4">
        <v>3134911.0</v>
      </c>
      <c r="B1580" s="11">
        <v>46306.0</v>
      </c>
    </row>
    <row r="1581">
      <c r="A1581" s="4">
        <v>3134911.0</v>
      </c>
      <c r="B1581" s="11">
        <v>46307.0</v>
      </c>
    </row>
    <row r="1582">
      <c r="A1582" s="4">
        <v>3134911.0</v>
      </c>
      <c r="B1582" s="11">
        <v>46308.0</v>
      </c>
    </row>
    <row r="1583">
      <c r="A1583" s="4">
        <v>3134911.0</v>
      </c>
      <c r="B1583" s="11">
        <v>46309.0</v>
      </c>
    </row>
    <row r="1584">
      <c r="A1584" s="4">
        <v>3134911.0</v>
      </c>
      <c r="B1584" s="11">
        <v>46310.0</v>
      </c>
    </row>
    <row r="1585">
      <c r="A1585" s="4">
        <v>3134911.0</v>
      </c>
      <c r="B1585" s="11">
        <v>46311.0</v>
      </c>
    </row>
    <row r="1586">
      <c r="A1586" s="4">
        <v>3134911.0</v>
      </c>
      <c r="B1586" s="11">
        <v>46312.0</v>
      </c>
    </row>
    <row r="1587">
      <c r="A1587" s="4">
        <v>3134911.0</v>
      </c>
      <c r="B1587" s="11">
        <v>46313.0</v>
      </c>
    </row>
    <row r="1588">
      <c r="A1588" s="4">
        <v>3134911.0</v>
      </c>
      <c r="B1588" s="11">
        <v>46314.0</v>
      </c>
    </row>
    <row r="1589">
      <c r="A1589" s="4">
        <v>3134911.0</v>
      </c>
      <c r="B1589" s="11">
        <v>46315.0</v>
      </c>
    </row>
    <row r="1590">
      <c r="A1590" s="4">
        <v>3134911.0</v>
      </c>
      <c r="B1590" s="11">
        <v>46316.0</v>
      </c>
    </row>
    <row r="1591">
      <c r="A1591" s="4">
        <v>3134911.0</v>
      </c>
      <c r="B1591" s="11">
        <v>46317.0</v>
      </c>
    </row>
    <row r="1592">
      <c r="A1592" s="4">
        <v>3134911.0</v>
      </c>
      <c r="B1592" s="11">
        <v>46318.0</v>
      </c>
    </row>
    <row r="1593">
      <c r="A1593" s="4">
        <v>3189967.0</v>
      </c>
      <c r="B1593" s="11">
        <v>45338.0</v>
      </c>
    </row>
    <row r="1594">
      <c r="A1594" s="4">
        <v>3189967.0</v>
      </c>
      <c r="B1594" s="11">
        <v>45339.0</v>
      </c>
    </row>
    <row r="1595">
      <c r="A1595" s="4">
        <v>3189967.0</v>
      </c>
      <c r="B1595" s="11">
        <v>45340.0</v>
      </c>
    </row>
    <row r="1596">
      <c r="A1596" s="4">
        <v>3189967.0</v>
      </c>
      <c r="B1596" s="11">
        <v>45341.0</v>
      </c>
    </row>
    <row r="1597">
      <c r="A1597" s="4">
        <v>3189967.0</v>
      </c>
      <c r="B1597" s="11">
        <v>45342.0</v>
      </c>
    </row>
    <row r="1598">
      <c r="A1598" s="4">
        <v>3189967.0</v>
      </c>
      <c r="B1598" s="11">
        <v>45343.0</v>
      </c>
    </row>
    <row r="1599">
      <c r="A1599" s="4">
        <v>3189967.0</v>
      </c>
      <c r="B1599" s="11">
        <v>45344.0</v>
      </c>
    </row>
    <row r="1600">
      <c r="A1600" s="4">
        <v>3189967.0</v>
      </c>
      <c r="B1600" s="11">
        <v>45345.0</v>
      </c>
    </row>
    <row r="1601">
      <c r="A1601" s="4">
        <v>3189967.0</v>
      </c>
      <c r="B1601" s="11">
        <v>45346.0</v>
      </c>
    </row>
    <row r="1602">
      <c r="A1602" s="4">
        <v>3189967.0</v>
      </c>
      <c r="B1602" s="11">
        <v>45347.0</v>
      </c>
    </row>
    <row r="1603">
      <c r="A1603" s="4">
        <v>3189967.0</v>
      </c>
      <c r="B1603" s="11">
        <v>45348.0</v>
      </c>
    </row>
    <row r="1604">
      <c r="A1604" s="4">
        <v>3189967.0</v>
      </c>
      <c r="B1604" s="11">
        <v>45349.0</v>
      </c>
    </row>
    <row r="1605">
      <c r="A1605" s="4">
        <v>3189967.0</v>
      </c>
      <c r="B1605" s="11">
        <v>45350.0</v>
      </c>
    </row>
    <row r="1606">
      <c r="A1606" s="4">
        <v>3189967.0</v>
      </c>
      <c r="B1606" s="11">
        <v>45351.0</v>
      </c>
    </row>
    <row r="1607">
      <c r="A1607" s="4">
        <v>3189967.0</v>
      </c>
      <c r="B1607" s="11">
        <v>45511.0</v>
      </c>
    </row>
    <row r="1608">
      <c r="A1608" s="4">
        <v>3189967.0</v>
      </c>
      <c r="B1608" s="11">
        <v>45512.0</v>
      </c>
    </row>
    <row r="1609">
      <c r="A1609" s="4">
        <v>3189967.0</v>
      </c>
      <c r="B1609" s="11">
        <v>45513.0</v>
      </c>
    </row>
    <row r="1610">
      <c r="A1610" s="4">
        <v>3189967.0</v>
      </c>
      <c r="B1610" s="11">
        <v>45514.0</v>
      </c>
    </row>
    <row r="1611">
      <c r="A1611" s="4">
        <v>3189967.0</v>
      </c>
      <c r="B1611" s="11">
        <v>45515.0</v>
      </c>
    </row>
    <row r="1612">
      <c r="A1612" s="4">
        <v>3189967.0</v>
      </c>
      <c r="B1612" s="11">
        <v>45516.0</v>
      </c>
    </row>
    <row r="1613">
      <c r="A1613" s="4">
        <v>3189967.0</v>
      </c>
      <c r="B1613" s="11">
        <v>45517.0</v>
      </c>
    </row>
    <row r="1614">
      <c r="A1614" s="4">
        <v>3189967.0</v>
      </c>
      <c r="B1614" s="11">
        <v>45518.0</v>
      </c>
    </row>
    <row r="1615">
      <c r="A1615" s="4">
        <v>3189967.0</v>
      </c>
      <c r="B1615" s="11">
        <v>45519.0</v>
      </c>
    </row>
    <row r="1616">
      <c r="A1616" s="4">
        <v>3189967.0</v>
      </c>
      <c r="B1616" s="11">
        <v>45520.0</v>
      </c>
    </row>
    <row r="1617">
      <c r="A1617" s="4">
        <v>3189967.0</v>
      </c>
      <c r="B1617" s="11">
        <v>45521.0</v>
      </c>
    </row>
    <row r="1618">
      <c r="A1618" s="4">
        <v>3189967.0</v>
      </c>
      <c r="B1618" s="11">
        <v>45522.0</v>
      </c>
    </row>
    <row r="1619">
      <c r="A1619" s="4">
        <v>3189967.0</v>
      </c>
      <c r="B1619" s="11">
        <v>45523.0</v>
      </c>
    </row>
    <row r="1620">
      <c r="A1620" s="4">
        <v>3189967.0</v>
      </c>
      <c r="B1620" s="11">
        <v>45524.0</v>
      </c>
    </row>
    <row r="1621">
      <c r="A1621" s="4">
        <v>3189967.0</v>
      </c>
      <c r="B1621" s="11">
        <v>45525.0</v>
      </c>
    </row>
    <row r="1622">
      <c r="A1622" s="4">
        <v>3189967.0</v>
      </c>
      <c r="B1622" s="11">
        <v>45526.0</v>
      </c>
    </row>
    <row r="1623">
      <c r="A1623" s="4">
        <v>3189967.0</v>
      </c>
      <c r="B1623" s="11">
        <v>45527.0</v>
      </c>
    </row>
    <row r="1624">
      <c r="A1624" s="4">
        <v>3189967.0</v>
      </c>
      <c r="B1624" s="11">
        <v>45528.0</v>
      </c>
    </row>
    <row r="1625">
      <c r="A1625" s="4">
        <v>3189967.0</v>
      </c>
      <c r="B1625" s="11">
        <v>45529.0</v>
      </c>
    </row>
    <row r="1626">
      <c r="A1626" s="4">
        <v>3189967.0</v>
      </c>
      <c r="B1626" s="11">
        <v>45530.0</v>
      </c>
    </row>
    <row r="1627">
      <c r="A1627" s="4">
        <v>3189967.0</v>
      </c>
      <c r="B1627" s="11">
        <v>45531.0</v>
      </c>
    </row>
    <row r="1628">
      <c r="A1628" s="4">
        <v>3189967.0</v>
      </c>
      <c r="B1628" s="11">
        <v>45532.0</v>
      </c>
    </row>
    <row r="1629">
      <c r="A1629" s="4">
        <v>3189967.0</v>
      </c>
      <c r="B1629" s="11">
        <v>45533.0</v>
      </c>
    </row>
    <row r="1630">
      <c r="A1630" s="4">
        <v>3189967.0</v>
      </c>
      <c r="B1630" s="11">
        <v>45534.0</v>
      </c>
    </row>
    <row r="1631">
      <c r="A1631" s="4">
        <v>3189967.0</v>
      </c>
      <c r="B1631" s="11">
        <v>45535.0</v>
      </c>
    </row>
    <row r="1632">
      <c r="A1632" s="4">
        <v>3189967.0</v>
      </c>
      <c r="B1632" s="11">
        <v>45740.0</v>
      </c>
    </row>
    <row r="1633">
      <c r="A1633" s="4">
        <v>3189967.0</v>
      </c>
      <c r="B1633" s="11">
        <v>45741.0</v>
      </c>
    </row>
    <row r="1634">
      <c r="A1634" s="4">
        <v>3189967.0</v>
      </c>
      <c r="B1634" s="11">
        <v>45742.0</v>
      </c>
    </row>
    <row r="1635">
      <c r="A1635" s="4">
        <v>3189967.0</v>
      </c>
      <c r="B1635" s="11">
        <v>45743.0</v>
      </c>
    </row>
    <row r="1636">
      <c r="A1636" s="4">
        <v>3189967.0</v>
      </c>
      <c r="B1636" s="11">
        <v>45744.0</v>
      </c>
    </row>
    <row r="1637">
      <c r="A1637" s="4">
        <v>3189967.0</v>
      </c>
      <c r="B1637" s="11">
        <v>45745.0</v>
      </c>
    </row>
    <row r="1638">
      <c r="A1638" s="4">
        <v>3189967.0</v>
      </c>
      <c r="B1638" s="11">
        <v>45746.0</v>
      </c>
    </row>
    <row r="1639">
      <c r="A1639" s="4">
        <v>3189967.0</v>
      </c>
      <c r="B1639" s="11">
        <v>45747.0</v>
      </c>
    </row>
    <row r="1640">
      <c r="A1640" s="4">
        <v>3189967.0</v>
      </c>
      <c r="B1640" s="11">
        <v>45748.0</v>
      </c>
    </row>
    <row r="1641">
      <c r="A1641" s="4">
        <v>3189967.0</v>
      </c>
      <c r="B1641" s="11">
        <v>45749.0</v>
      </c>
    </row>
    <row r="1642">
      <c r="A1642" s="4">
        <v>3189967.0</v>
      </c>
      <c r="B1642" s="11">
        <v>45750.0</v>
      </c>
    </row>
    <row r="1643">
      <c r="A1643" s="4">
        <v>3189967.0</v>
      </c>
      <c r="B1643" s="11">
        <v>45751.0</v>
      </c>
    </row>
    <row r="1644">
      <c r="A1644" s="4">
        <v>3189967.0</v>
      </c>
      <c r="B1644" s="11">
        <v>45752.0</v>
      </c>
    </row>
    <row r="1645">
      <c r="A1645" s="4">
        <v>3189967.0</v>
      </c>
      <c r="B1645" s="11">
        <v>45753.0</v>
      </c>
    </row>
    <row r="1646">
      <c r="A1646" s="4">
        <v>3189967.0</v>
      </c>
      <c r="B1646" s="11">
        <v>45754.0</v>
      </c>
    </row>
    <row r="1647">
      <c r="A1647" s="4">
        <v>3189967.0</v>
      </c>
      <c r="B1647" s="11">
        <v>45839.0</v>
      </c>
    </row>
    <row r="1648">
      <c r="A1648" s="4">
        <v>3189967.0</v>
      </c>
      <c r="B1648" s="11">
        <v>45840.0</v>
      </c>
    </row>
    <row r="1649">
      <c r="A1649" s="4">
        <v>3189967.0</v>
      </c>
      <c r="B1649" s="11">
        <v>45841.0</v>
      </c>
    </row>
    <row r="1650">
      <c r="A1650" s="4">
        <v>3189967.0</v>
      </c>
      <c r="B1650" s="11">
        <v>45842.0</v>
      </c>
    </row>
    <row r="1651">
      <c r="A1651" s="4">
        <v>3189967.0</v>
      </c>
      <c r="B1651" s="11">
        <v>45843.0</v>
      </c>
    </row>
    <row r="1652">
      <c r="A1652" s="4">
        <v>3189967.0</v>
      </c>
      <c r="B1652" s="11">
        <v>45844.0</v>
      </c>
    </row>
    <row r="1653">
      <c r="A1653" s="4">
        <v>3189967.0</v>
      </c>
      <c r="B1653" s="11">
        <v>45845.0</v>
      </c>
    </row>
    <row r="1654">
      <c r="A1654" s="4">
        <v>3189967.0</v>
      </c>
      <c r="B1654" s="11">
        <v>45846.0</v>
      </c>
    </row>
    <row r="1655">
      <c r="A1655" s="4">
        <v>3189967.0</v>
      </c>
      <c r="B1655" s="11">
        <v>45847.0</v>
      </c>
    </row>
    <row r="1656">
      <c r="A1656" s="4">
        <v>3189967.0</v>
      </c>
      <c r="B1656" s="11">
        <v>45848.0</v>
      </c>
    </row>
    <row r="1657">
      <c r="A1657" s="4">
        <v>3189967.0</v>
      </c>
      <c r="B1657" s="11">
        <v>45849.0</v>
      </c>
    </row>
    <row r="1658">
      <c r="A1658" s="4">
        <v>3189967.0</v>
      </c>
      <c r="B1658" s="11">
        <v>45850.0</v>
      </c>
    </row>
    <row r="1659">
      <c r="A1659" s="4">
        <v>3189967.0</v>
      </c>
      <c r="B1659" s="11">
        <v>45851.0</v>
      </c>
    </row>
    <row r="1660">
      <c r="A1660" s="4">
        <v>3189967.0</v>
      </c>
      <c r="B1660" s="11">
        <v>45852.0</v>
      </c>
    </row>
    <row r="1661">
      <c r="A1661" s="4">
        <v>3189967.0</v>
      </c>
      <c r="B1661" s="11">
        <v>45853.0</v>
      </c>
    </row>
    <row r="1662">
      <c r="A1662" s="4">
        <v>3189967.0</v>
      </c>
      <c r="B1662" s="11">
        <v>45854.0</v>
      </c>
    </row>
    <row r="1663">
      <c r="A1663" s="4">
        <v>3189967.0</v>
      </c>
      <c r="B1663" s="11">
        <v>45855.0</v>
      </c>
    </row>
    <row r="1664">
      <c r="A1664" s="4">
        <v>3189967.0</v>
      </c>
      <c r="B1664" s="11">
        <v>45856.0</v>
      </c>
    </row>
    <row r="1665">
      <c r="A1665" s="4">
        <v>3189967.0</v>
      </c>
      <c r="B1665" s="11">
        <v>45857.0</v>
      </c>
    </row>
    <row r="1666">
      <c r="A1666" s="4">
        <v>3189967.0</v>
      </c>
      <c r="B1666" s="11">
        <v>45858.0</v>
      </c>
    </row>
    <row r="1667">
      <c r="A1667" s="4">
        <v>3189967.0</v>
      </c>
      <c r="B1667" s="11">
        <v>45859.0</v>
      </c>
    </row>
    <row r="1668">
      <c r="A1668" s="4">
        <v>3189967.0</v>
      </c>
      <c r="B1668" s="11">
        <v>45860.0</v>
      </c>
    </row>
    <row r="1669">
      <c r="A1669" s="4">
        <v>3189967.0</v>
      </c>
      <c r="B1669" s="11">
        <v>45861.0</v>
      </c>
    </row>
    <row r="1670">
      <c r="A1670" s="4">
        <v>3189967.0</v>
      </c>
      <c r="B1670" s="11">
        <v>45862.0</v>
      </c>
    </row>
    <row r="1671">
      <c r="A1671" s="4">
        <v>3189967.0</v>
      </c>
      <c r="B1671" s="11">
        <v>45863.0</v>
      </c>
    </row>
    <row r="1672">
      <c r="A1672" s="4">
        <v>3189967.0</v>
      </c>
      <c r="B1672" s="11">
        <v>46174.0</v>
      </c>
    </row>
    <row r="1673">
      <c r="A1673" s="4">
        <v>3189967.0</v>
      </c>
      <c r="B1673" s="11">
        <v>46175.0</v>
      </c>
    </row>
    <row r="1674">
      <c r="A1674" s="4">
        <v>3189967.0</v>
      </c>
      <c r="B1674" s="11">
        <v>46176.0</v>
      </c>
    </row>
    <row r="1675">
      <c r="A1675" s="4">
        <v>3189967.0</v>
      </c>
      <c r="B1675" s="11">
        <v>46177.0</v>
      </c>
    </row>
    <row r="1676">
      <c r="A1676" s="4">
        <v>3189967.0</v>
      </c>
      <c r="B1676" s="11">
        <v>46178.0</v>
      </c>
    </row>
    <row r="1677">
      <c r="A1677" s="4">
        <v>3189967.0</v>
      </c>
      <c r="B1677" s="11">
        <v>46179.0</v>
      </c>
    </row>
    <row r="1678">
      <c r="A1678" s="4">
        <v>3189967.0</v>
      </c>
      <c r="B1678" s="11">
        <v>46180.0</v>
      </c>
    </row>
    <row r="1679">
      <c r="A1679" s="4">
        <v>3189967.0</v>
      </c>
      <c r="B1679" s="11">
        <v>46250.0</v>
      </c>
    </row>
    <row r="1680">
      <c r="A1680" s="4">
        <v>3189967.0</v>
      </c>
      <c r="B1680" s="11">
        <v>46251.0</v>
      </c>
    </row>
    <row r="1681">
      <c r="A1681" s="4">
        <v>3189967.0</v>
      </c>
      <c r="B1681" s="11">
        <v>46252.0</v>
      </c>
    </row>
    <row r="1682">
      <c r="A1682" s="4">
        <v>3189967.0</v>
      </c>
      <c r="B1682" s="11">
        <v>46253.0</v>
      </c>
    </row>
    <row r="1683">
      <c r="A1683" s="4">
        <v>3189967.0</v>
      </c>
      <c r="B1683" s="11">
        <v>46254.0</v>
      </c>
    </row>
    <row r="1684">
      <c r="A1684" s="4">
        <v>3189967.0</v>
      </c>
      <c r="B1684" s="11">
        <v>46255.0</v>
      </c>
    </row>
    <row r="1685">
      <c r="A1685" s="4">
        <v>3189967.0</v>
      </c>
      <c r="B1685" s="11">
        <v>46256.0</v>
      </c>
    </row>
    <row r="1686">
      <c r="A1686" s="4">
        <v>3189967.0</v>
      </c>
      <c r="B1686" s="11">
        <v>46257.0</v>
      </c>
    </row>
    <row r="1687">
      <c r="A1687" s="4">
        <v>3189967.0</v>
      </c>
      <c r="B1687" s="11">
        <v>46258.0</v>
      </c>
    </row>
    <row r="1688">
      <c r="A1688" s="4">
        <v>3189967.0</v>
      </c>
      <c r="B1688" s="11">
        <v>46259.0</v>
      </c>
    </row>
    <row r="1689">
      <c r="A1689" s="4">
        <v>3189967.0</v>
      </c>
      <c r="B1689" s="11">
        <v>46260.0</v>
      </c>
    </row>
    <row r="1690">
      <c r="A1690" s="4">
        <v>3189967.0</v>
      </c>
      <c r="B1690" s="11">
        <v>46261.0</v>
      </c>
    </row>
    <row r="1691">
      <c r="A1691" s="4">
        <v>3189967.0</v>
      </c>
      <c r="B1691" s="11">
        <v>46262.0</v>
      </c>
    </row>
    <row r="1692">
      <c r="A1692" s="4">
        <v>3189967.0</v>
      </c>
      <c r="B1692" s="11">
        <v>46263.0</v>
      </c>
    </row>
    <row r="1693">
      <c r="A1693" s="4">
        <v>3189967.0</v>
      </c>
      <c r="B1693" s="11">
        <v>46264.0</v>
      </c>
    </row>
    <row r="1694">
      <c r="A1694" s="4">
        <v>3189967.0</v>
      </c>
      <c r="B1694" s="11">
        <v>46265.0</v>
      </c>
    </row>
    <row r="1695">
      <c r="A1695" s="4">
        <v>3189967.0</v>
      </c>
      <c r="B1695" s="11">
        <v>46266.0</v>
      </c>
    </row>
    <row r="1696">
      <c r="A1696" s="4">
        <v>3189967.0</v>
      </c>
      <c r="B1696" s="11">
        <v>46267.0</v>
      </c>
    </row>
    <row r="1697">
      <c r="A1697" s="4">
        <v>3189967.0</v>
      </c>
      <c r="B1697" s="11">
        <v>46268.0</v>
      </c>
    </row>
    <row r="1698">
      <c r="A1698" s="4">
        <v>3189967.0</v>
      </c>
      <c r="B1698" s="11">
        <v>46269.0</v>
      </c>
    </row>
    <row r="1699">
      <c r="A1699" s="4">
        <v>3189967.0</v>
      </c>
      <c r="B1699" s="11">
        <v>46270.0</v>
      </c>
    </row>
    <row r="1700">
      <c r="A1700" s="4">
        <v>3189967.0</v>
      </c>
      <c r="B1700" s="11">
        <v>46271.0</v>
      </c>
    </row>
    <row r="1701">
      <c r="A1701" s="4">
        <v>3189967.0</v>
      </c>
      <c r="B1701" s="11">
        <v>46272.0</v>
      </c>
    </row>
    <row r="1702">
      <c r="A1702" s="4">
        <v>3189967.0</v>
      </c>
      <c r="B1702" s="11">
        <v>46273.0</v>
      </c>
    </row>
    <row r="1703">
      <c r="A1703" s="4">
        <v>3189967.0</v>
      </c>
      <c r="B1703" s="11">
        <v>46274.0</v>
      </c>
    </row>
    <row r="1704">
      <c r="A1704" s="4">
        <v>3189967.0</v>
      </c>
      <c r="B1704" s="11">
        <v>46275.0</v>
      </c>
    </row>
    <row r="1705">
      <c r="A1705" s="4">
        <v>3189967.0</v>
      </c>
      <c r="B1705" s="11">
        <v>46276.0</v>
      </c>
    </row>
    <row r="1706">
      <c r="A1706" s="4">
        <v>3189967.0</v>
      </c>
      <c r="B1706" s="11">
        <v>46277.0</v>
      </c>
    </row>
    <row r="1707">
      <c r="A1707" s="4">
        <v>3189967.0</v>
      </c>
      <c r="B1707" s="11">
        <v>46278.0</v>
      </c>
    </row>
    <row r="1708">
      <c r="A1708" s="4">
        <v>3189967.0</v>
      </c>
      <c r="B1708" s="11">
        <v>46279.0</v>
      </c>
    </row>
    <row r="1709">
      <c r="A1709" s="4">
        <v>3189967.0</v>
      </c>
      <c r="B1709" s="11">
        <v>46280.0</v>
      </c>
    </row>
    <row r="1710">
      <c r="A1710" s="4">
        <v>3189967.0</v>
      </c>
      <c r="B1710" s="11">
        <v>46281.0</v>
      </c>
    </row>
    <row r="1711">
      <c r="A1711" s="4">
        <v>3189967.0</v>
      </c>
      <c r="B1711" s="11">
        <v>46282.0</v>
      </c>
    </row>
    <row r="1712">
      <c r="A1712" s="4">
        <v>3189967.0</v>
      </c>
      <c r="B1712" s="11">
        <v>46283.0</v>
      </c>
    </row>
    <row r="1713">
      <c r="A1713" s="4">
        <v>3217561.0</v>
      </c>
      <c r="B1713" s="11">
        <v>45383.0</v>
      </c>
    </row>
    <row r="1714">
      <c r="A1714" s="4">
        <v>3217561.0</v>
      </c>
      <c r="B1714" s="11">
        <v>45384.0</v>
      </c>
    </row>
    <row r="1715">
      <c r="A1715" s="4">
        <v>3217561.0</v>
      </c>
      <c r="B1715" s="11">
        <v>45385.0</v>
      </c>
    </row>
    <row r="1716">
      <c r="A1716" s="4">
        <v>3217561.0</v>
      </c>
      <c r="B1716" s="11">
        <v>45386.0</v>
      </c>
    </row>
    <row r="1717">
      <c r="A1717" s="4">
        <v>3217561.0</v>
      </c>
      <c r="B1717" s="11">
        <v>45387.0</v>
      </c>
    </row>
    <row r="1718">
      <c r="A1718" s="4">
        <v>3217561.0</v>
      </c>
      <c r="B1718" s="11">
        <v>45388.0</v>
      </c>
    </row>
    <row r="1719">
      <c r="A1719" s="4">
        <v>3217561.0</v>
      </c>
      <c r="B1719" s="11">
        <v>45389.0</v>
      </c>
    </row>
    <row r="1720">
      <c r="A1720" s="4">
        <v>3217561.0</v>
      </c>
      <c r="B1720" s="11">
        <v>45390.0</v>
      </c>
    </row>
    <row r="1721">
      <c r="A1721" s="4">
        <v>3217561.0</v>
      </c>
      <c r="B1721" s="11">
        <v>45391.0</v>
      </c>
    </row>
    <row r="1722">
      <c r="A1722" s="4">
        <v>3217561.0</v>
      </c>
      <c r="B1722" s="11">
        <v>45392.0</v>
      </c>
    </row>
    <row r="1723">
      <c r="A1723" s="4">
        <v>3217561.0</v>
      </c>
      <c r="B1723" s="11">
        <v>45393.0</v>
      </c>
    </row>
    <row r="1724">
      <c r="A1724" s="4">
        <v>3217561.0</v>
      </c>
      <c r="B1724" s="11">
        <v>45394.0</v>
      </c>
    </row>
    <row r="1725">
      <c r="A1725" s="4">
        <v>3217561.0</v>
      </c>
      <c r="B1725" s="11">
        <v>45395.0</v>
      </c>
    </row>
    <row r="1726">
      <c r="A1726" s="4">
        <v>3217561.0</v>
      </c>
      <c r="B1726" s="11">
        <v>45396.0</v>
      </c>
    </row>
    <row r="1727">
      <c r="A1727" s="4">
        <v>3217561.0</v>
      </c>
      <c r="B1727" s="11">
        <v>45397.0</v>
      </c>
    </row>
    <row r="1728">
      <c r="A1728" s="4">
        <v>3217561.0</v>
      </c>
      <c r="B1728" s="11">
        <v>45543.0</v>
      </c>
    </row>
    <row r="1729">
      <c r="A1729" s="4">
        <v>3217561.0</v>
      </c>
      <c r="B1729" s="11">
        <v>45544.0</v>
      </c>
    </row>
    <row r="1730">
      <c r="A1730" s="4">
        <v>3217561.0</v>
      </c>
      <c r="B1730" s="11">
        <v>45545.0</v>
      </c>
    </row>
    <row r="1731">
      <c r="A1731" s="4">
        <v>3217561.0</v>
      </c>
      <c r="B1731" s="11">
        <v>45546.0</v>
      </c>
    </row>
    <row r="1732">
      <c r="A1732" s="4">
        <v>3217561.0</v>
      </c>
      <c r="B1732" s="11">
        <v>45547.0</v>
      </c>
    </row>
    <row r="1733">
      <c r="A1733" s="4">
        <v>3217561.0</v>
      </c>
      <c r="B1733" s="11">
        <v>45548.0</v>
      </c>
    </row>
    <row r="1734">
      <c r="A1734" s="4">
        <v>3217561.0</v>
      </c>
      <c r="B1734" s="11">
        <v>45549.0</v>
      </c>
    </row>
    <row r="1735">
      <c r="A1735" s="4">
        <v>3217561.0</v>
      </c>
      <c r="B1735" s="11">
        <v>45550.0</v>
      </c>
    </row>
    <row r="1736">
      <c r="A1736" s="4">
        <v>3217561.0</v>
      </c>
      <c r="B1736" s="11">
        <v>45611.0</v>
      </c>
    </row>
    <row r="1737">
      <c r="A1737" s="4">
        <v>3217561.0</v>
      </c>
      <c r="B1737" s="11">
        <v>45612.0</v>
      </c>
    </row>
    <row r="1738">
      <c r="A1738" s="4">
        <v>3217561.0</v>
      </c>
      <c r="B1738" s="11">
        <v>45613.0</v>
      </c>
    </row>
    <row r="1739">
      <c r="A1739" s="4">
        <v>3217561.0</v>
      </c>
      <c r="B1739" s="11">
        <v>45614.0</v>
      </c>
    </row>
    <row r="1740">
      <c r="A1740" s="4">
        <v>3217561.0</v>
      </c>
      <c r="B1740" s="11">
        <v>45615.0</v>
      </c>
    </row>
    <row r="1741">
      <c r="A1741" s="4">
        <v>3217561.0</v>
      </c>
      <c r="B1741" s="11">
        <v>45616.0</v>
      </c>
    </row>
    <row r="1742">
      <c r="A1742" s="4">
        <v>3217561.0</v>
      </c>
      <c r="B1742" s="11">
        <v>45617.0</v>
      </c>
    </row>
    <row r="1743">
      <c r="A1743" s="4">
        <v>3217561.0</v>
      </c>
      <c r="B1743" s="11">
        <v>45618.0</v>
      </c>
    </row>
    <row r="1744">
      <c r="A1744" s="4">
        <v>3217561.0</v>
      </c>
      <c r="B1744" s="11">
        <v>45619.0</v>
      </c>
    </row>
    <row r="1745">
      <c r="A1745" s="4">
        <v>3217561.0</v>
      </c>
      <c r="B1745" s="11">
        <v>45620.0</v>
      </c>
    </row>
    <row r="1746">
      <c r="A1746" s="4">
        <v>3217561.0</v>
      </c>
      <c r="B1746" s="11">
        <v>45621.0</v>
      </c>
    </row>
    <row r="1747">
      <c r="A1747" s="4">
        <v>3217561.0</v>
      </c>
      <c r="B1747" s="11">
        <v>45622.0</v>
      </c>
    </row>
    <row r="1748">
      <c r="A1748" s="4">
        <v>3217561.0</v>
      </c>
      <c r="B1748" s="11">
        <v>45623.0</v>
      </c>
    </row>
    <row r="1749">
      <c r="A1749" s="4">
        <v>3217561.0</v>
      </c>
      <c r="B1749" s="11">
        <v>45624.0</v>
      </c>
    </row>
    <row r="1750">
      <c r="A1750" s="4">
        <v>3217561.0</v>
      </c>
      <c r="B1750" s="11">
        <v>45625.0</v>
      </c>
    </row>
    <row r="1751">
      <c r="A1751" s="4">
        <v>3217561.0</v>
      </c>
      <c r="B1751" s="11">
        <v>45626.0</v>
      </c>
    </row>
    <row r="1752">
      <c r="A1752" s="4">
        <v>3217561.0</v>
      </c>
      <c r="B1752" s="11">
        <v>45755.0</v>
      </c>
    </row>
    <row r="1753">
      <c r="A1753" s="4">
        <v>3217561.0</v>
      </c>
      <c r="B1753" s="11">
        <v>45756.0</v>
      </c>
    </row>
    <row r="1754">
      <c r="A1754" s="4">
        <v>3217561.0</v>
      </c>
      <c r="B1754" s="11">
        <v>45757.0</v>
      </c>
    </row>
    <row r="1755">
      <c r="A1755" s="4">
        <v>3217561.0</v>
      </c>
      <c r="B1755" s="11">
        <v>45758.0</v>
      </c>
    </row>
    <row r="1756">
      <c r="A1756" s="4">
        <v>3217561.0</v>
      </c>
      <c r="B1756" s="11">
        <v>45759.0</v>
      </c>
    </row>
    <row r="1757">
      <c r="A1757" s="4">
        <v>3217561.0</v>
      </c>
      <c r="B1757" s="11">
        <v>45760.0</v>
      </c>
    </row>
    <row r="1758">
      <c r="A1758" s="4">
        <v>3217561.0</v>
      </c>
      <c r="B1758" s="11">
        <v>45761.0</v>
      </c>
    </row>
    <row r="1759">
      <c r="A1759" s="4">
        <v>3217561.0</v>
      </c>
      <c r="B1759" s="11">
        <v>45762.0</v>
      </c>
    </row>
    <row r="1760">
      <c r="A1760" s="4">
        <v>3217561.0</v>
      </c>
      <c r="B1760" s="11">
        <v>45763.0</v>
      </c>
    </row>
    <row r="1761">
      <c r="A1761" s="4">
        <v>3217561.0</v>
      </c>
      <c r="B1761" s="11">
        <v>45764.0</v>
      </c>
    </row>
    <row r="1762">
      <c r="A1762" s="4">
        <v>3217561.0</v>
      </c>
      <c r="B1762" s="11">
        <v>45765.0</v>
      </c>
    </row>
    <row r="1763">
      <c r="A1763" s="4">
        <v>3217561.0</v>
      </c>
      <c r="B1763" s="11">
        <v>45766.0</v>
      </c>
    </row>
    <row r="1764">
      <c r="A1764" s="4">
        <v>3217561.0</v>
      </c>
      <c r="B1764" s="11">
        <v>45767.0</v>
      </c>
    </row>
    <row r="1765">
      <c r="A1765" s="4">
        <v>3217561.0</v>
      </c>
      <c r="B1765" s="11">
        <v>45768.0</v>
      </c>
    </row>
    <row r="1766">
      <c r="A1766" s="4">
        <v>3217561.0</v>
      </c>
      <c r="B1766" s="11">
        <v>45769.0</v>
      </c>
    </row>
    <row r="1767">
      <c r="A1767" s="4">
        <v>3217561.0</v>
      </c>
      <c r="B1767" s="11">
        <v>45870.0</v>
      </c>
    </row>
    <row r="1768">
      <c r="A1768" s="4">
        <v>3217561.0</v>
      </c>
      <c r="B1768" s="11">
        <v>45871.0</v>
      </c>
    </row>
    <row r="1769">
      <c r="A1769" s="4">
        <v>3217561.0</v>
      </c>
      <c r="B1769" s="11">
        <v>45872.0</v>
      </c>
    </row>
    <row r="1770">
      <c r="A1770" s="4">
        <v>3217561.0</v>
      </c>
      <c r="B1770" s="11">
        <v>45873.0</v>
      </c>
    </row>
    <row r="1771">
      <c r="A1771" s="4">
        <v>3217561.0</v>
      </c>
      <c r="B1771" s="11">
        <v>45874.0</v>
      </c>
    </row>
    <row r="1772">
      <c r="A1772" s="4">
        <v>3217561.0</v>
      </c>
      <c r="B1772" s="11">
        <v>45875.0</v>
      </c>
    </row>
    <row r="1773">
      <c r="A1773" s="4">
        <v>3217561.0</v>
      </c>
      <c r="B1773" s="11">
        <v>45876.0</v>
      </c>
    </row>
    <row r="1774">
      <c r="A1774" s="4">
        <v>3217561.0</v>
      </c>
      <c r="B1774" s="11">
        <v>45944.0</v>
      </c>
    </row>
    <row r="1775">
      <c r="A1775" s="4">
        <v>3217561.0</v>
      </c>
      <c r="B1775" s="11">
        <v>45945.0</v>
      </c>
    </row>
    <row r="1776">
      <c r="A1776" s="4">
        <v>3217561.0</v>
      </c>
      <c r="B1776" s="11">
        <v>45946.0</v>
      </c>
    </row>
    <row r="1777">
      <c r="A1777" s="4">
        <v>3217561.0</v>
      </c>
      <c r="B1777" s="11">
        <v>45947.0</v>
      </c>
    </row>
    <row r="1778">
      <c r="A1778" s="4">
        <v>3217561.0</v>
      </c>
      <c r="B1778" s="11">
        <v>45948.0</v>
      </c>
    </row>
    <row r="1779">
      <c r="A1779" s="4">
        <v>3217561.0</v>
      </c>
      <c r="B1779" s="11">
        <v>45949.0</v>
      </c>
    </row>
    <row r="1780">
      <c r="A1780" s="4">
        <v>3217561.0</v>
      </c>
      <c r="B1780" s="11">
        <v>45950.0</v>
      </c>
    </row>
    <row r="1781">
      <c r="A1781" s="4">
        <v>3217561.0</v>
      </c>
      <c r="B1781" s="11">
        <v>45951.0</v>
      </c>
    </row>
    <row r="1782">
      <c r="A1782" s="4">
        <v>3217561.0</v>
      </c>
      <c r="B1782" s="11">
        <v>45952.0</v>
      </c>
    </row>
    <row r="1783">
      <c r="A1783" s="4">
        <v>3217561.0</v>
      </c>
      <c r="B1783" s="11">
        <v>45953.0</v>
      </c>
    </row>
    <row r="1784">
      <c r="A1784" s="4">
        <v>3217561.0</v>
      </c>
      <c r="B1784" s="11">
        <v>45954.0</v>
      </c>
    </row>
    <row r="1785">
      <c r="A1785" s="4">
        <v>3217561.0</v>
      </c>
      <c r="B1785" s="11">
        <v>45955.0</v>
      </c>
    </row>
    <row r="1786">
      <c r="A1786" s="4">
        <v>3217561.0</v>
      </c>
      <c r="B1786" s="11">
        <v>45956.0</v>
      </c>
    </row>
    <row r="1787">
      <c r="A1787" s="4">
        <v>3217561.0</v>
      </c>
      <c r="B1787" s="11">
        <v>45957.0</v>
      </c>
    </row>
    <row r="1788">
      <c r="A1788" s="4">
        <v>3217561.0</v>
      </c>
      <c r="B1788" s="11">
        <v>45958.0</v>
      </c>
    </row>
    <row r="1789">
      <c r="A1789" s="4">
        <v>3217561.0</v>
      </c>
      <c r="B1789" s="11">
        <v>45959.0</v>
      </c>
    </row>
    <row r="1790">
      <c r="A1790" s="4">
        <v>3217561.0</v>
      </c>
      <c r="B1790" s="11">
        <v>45960.0</v>
      </c>
    </row>
    <row r="1791">
      <c r="A1791" s="4">
        <v>3217561.0</v>
      </c>
      <c r="B1791" s="11">
        <v>45961.0</v>
      </c>
    </row>
    <row r="1792">
      <c r="A1792" s="4">
        <v>3217561.0</v>
      </c>
      <c r="B1792" s="11">
        <v>46120.0</v>
      </c>
    </row>
    <row r="1793">
      <c r="A1793" s="4">
        <v>3217561.0</v>
      </c>
      <c r="B1793" s="11">
        <v>46121.0</v>
      </c>
    </row>
    <row r="1794">
      <c r="A1794" s="4">
        <v>3217561.0</v>
      </c>
      <c r="B1794" s="11">
        <v>46122.0</v>
      </c>
    </row>
    <row r="1795">
      <c r="A1795" s="4">
        <v>3217561.0</v>
      </c>
      <c r="B1795" s="11">
        <v>46123.0</v>
      </c>
    </row>
    <row r="1796">
      <c r="A1796" s="4">
        <v>3217561.0</v>
      </c>
      <c r="B1796" s="11">
        <v>46124.0</v>
      </c>
    </row>
    <row r="1797">
      <c r="A1797" s="4">
        <v>3217561.0</v>
      </c>
      <c r="B1797" s="11">
        <v>46125.0</v>
      </c>
    </row>
    <row r="1798">
      <c r="A1798" s="4">
        <v>3217561.0</v>
      </c>
      <c r="B1798" s="11">
        <v>46126.0</v>
      </c>
    </row>
    <row r="1799">
      <c r="A1799" s="4">
        <v>3217561.0</v>
      </c>
      <c r="B1799" s="11">
        <v>46127.0</v>
      </c>
    </row>
    <row r="1800">
      <c r="A1800" s="4">
        <v>3217561.0</v>
      </c>
      <c r="B1800" s="11">
        <v>46128.0</v>
      </c>
    </row>
    <row r="1801">
      <c r="A1801" s="4">
        <v>3217561.0</v>
      </c>
      <c r="B1801" s="11">
        <v>46129.0</v>
      </c>
    </row>
    <row r="1802">
      <c r="A1802" s="4">
        <v>3217561.0</v>
      </c>
      <c r="B1802" s="11">
        <v>46130.0</v>
      </c>
    </row>
    <row r="1803">
      <c r="A1803" s="4">
        <v>3217561.0</v>
      </c>
      <c r="B1803" s="11">
        <v>46131.0</v>
      </c>
    </row>
    <row r="1804">
      <c r="A1804" s="4">
        <v>3217561.0</v>
      </c>
      <c r="B1804" s="11">
        <v>46132.0</v>
      </c>
    </row>
    <row r="1805">
      <c r="A1805" s="4">
        <v>3217561.0</v>
      </c>
      <c r="B1805" s="11">
        <v>46133.0</v>
      </c>
    </row>
    <row r="1806">
      <c r="A1806" s="4">
        <v>3217561.0</v>
      </c>
      <c r="B1806" s="11">
        <v>46134.0</v>
      </c>
    </row>
    <row r="1807">
      <c r="A1807" s="4">
        <v>3217561.0</v>
      </c>
      <c r="B1807" s="11">
        <v>46281.0</v>
      </c>
    </row>
    <row r="1808">
      <c r="A1808" s="4">
        <v>3217561.0</v>
      </c>
      <c r="B1808" s="11">
        <v>46282.0</v>
      </c>
    </row>
    <row r="1809">
      <c r="A1809" s="4">
        <v>3217561.0</v>
      </c>
      <c r="B1809" s="11">
        <v>46283.0</v>
      </c>
    </row>
    <row r="1810">
      <c r="A1810" s="4">
        <v>3217561.0</v>
      </c>
      <c r="B1810" s="11">
        <v>46284.0</v>
      </c>
    </row>
    <row r="1811">
      <c r="A1811" s="4">
        <v>3217561.0</v>
      </c>
      <c r="B1811" s="11">
        <v>46285.0</v>
      </c>
    </row>
    <row r="1812">
      <c r="A1812" s="4">
        <v>3217561.0</v>
      </c>
      <c r="B1812" s="11">
        <v>46286.0</v>
      </c>
    </row>
    <row r="1813">
      <c r="A1813" s="4">
        <v>3217561.0</v>
      </c>
      <c r="B1813" s="11">
        <v>46287.0</v>
      </c>
    </row>
    <row r="1814">
      <c r="A1814" s="4">
        <v>3217561.0</v>
      </c>
      <c r="B1814" s="11">
        <v>46288.0</v>
      </c>
    </row>
    <row r="1815">
      <c r="A1815" s="4">
        <v>3217561.0</v>
      </c>
      <c r="B1815" s="11">
        <v>46289.0</v>
      </c>
    </row>
    <row r="1816">
      <c r="A1816" s="4">
        <v>3217561.0</v>
      </c>
      <c r="B1816" s="11">
        <v>46290.0</v>
      </c>
    </row>
    <row r="1817">
      <c r="A1817" s="4">
        <v>3217561.0</v>
      </c>
      <c r="B1817" s="11">
        <v>46291.0</v>
      </c>
    </row>
    <row r="1818">
      <c r="A1818" s="4">
        <v>3217561.0</v>
      </c>
      <c r="B1818" s="11">
        <v>46292.0</v>
      </c>
    </row>
    <row r="1819">
      <c r="A1819" s="4">
        <v>3217561.0</v>
      </c>
      <c r="B1819" s="11">
        <v>46293.0</v>
      </c>
    </row>
    <row r="1820">
      <c r="A1820" s="4">
        <v>3217561.0</v>
      </c>
      <c r="B1820" s="11">
        <v>46294.0</v>
      </c>
    </row>
    <row r="1821">
      <c r="A1821" s="4">
        <v>3217561.0</v>
      </c>
      <c r="B1821" s="11">
        <v>46295.0</v>
      </c>
    </row>
    <row r="1822">
      <c r="A1822" s="4">
        <v>3750335.0</v>
      </c>
      <c r="B1822" s="11">
        <v>45383.0</v>
      </c>
    </row>
    <row r="1823">
      <c r="A1823" s="4">
        <v>3750335.0</v>
      </c>
      <c r="B1823" s="11">
        <v>45384.0</v>
      </c>
    </row>
    <row r="1824">
      <c r="A1824" s="4">
        <v>3750335.0</v>
      </c>
      <c r="B1824" s="11">
        <v>45385.0</v>
      </c>
    </row>
    <row r="1825">
      <c r="A1825" s="4">
        <v>3750335.0</v>
      </c>
      <c r="B1825" s="11">
        <v>45386.0</v>
      </c>
    </row>
    <row r="1826">
      <c r="A1826" s="4">
        <v>3750335.0</v>
      </c>
      <c r="B1826" s="11">
        <v>45387.0</v>
      </c>
    </row>
    <row r="1827">
      <c r="A1827" s="4">
        <v>3750335.0</v>
      </c>
      <c r="B1827" s="11">
        <v>45388.0</v>
      </c>
    </row>
    <row r="1828">
      <c r="A1828" s="4">
        <v>3750335.0</v>
      </c>
      <c r="B1828" s="11">
        <v>45389.0</v>
      </c>
    </row>
    <row r="1829">
      <c r="A1829" s="4">
        <v>3750335.0</v>
      </c>
      <c r="B1829" s="11">
        <v>45391.0</v>
      </c>
    </row>
    <row r="1830">
      <c r="A1830" s="4">
        <v>3750335.0</v>
      </c>
      <c r="B1830" s="11">
        <v>45392.0</v>
      </c>
    </row>
    <row r="1831">
      <c r="A1831" s="4">
        <v>3750335.0</v>
      </c>
      <c r="B1831" s="11">
        <v>45393.0</v>
      </c>
    </row>
    <row r="1832">
      <c r="A1832" s="4">
        <v>3750335.0</v>
      </c>
      <c r="B1832" s="11">
        <v>45394.0</v>
      </c>
    </row>
    <row r="1833">
      <c r="A1833" s="4">
        <v>3750335.0</v>
      </c>
      <c r="B1833" s="11">
        <v>45395.0</v>
      </c>
    </row>
    <row r="1834">
      <c r="A1834" s="4">
        <v>3750335.0</v>
      </c>
      <c r="B1834" s="11">
        <v>45396.0</v>
      </c>
    </row>
    <row r="1835">
      <c r="A1835" s="4">
        <v>3750335.0</v>
      </c>
      <c r="B1835" s="11">
        <v>45397.0</v>
      </c>
    </row>
    <row r="1836">
      <c r="A1836" s="4">
        <v>3750335.0</v>
      </c>
      <c r="B1836" s="11">
        <v>45398.0</v>
      </c>
    </row>
    <row r="1837">
      <c r="A1837" s="4">
        <v>3750335.0</v>
      </c>
      <c r="B1837" s="11">
        <v>45399.0</v>
      </c>
    </row>
    <row r="1838">
      <c r="A1838" s="4">
        <v>3750335.0</v>
      </c>
      <c r="B1838" s="11">
        <v>45400.0</v>
      </c>
    </row>
    <row r="1839">
      <c r="A1839" s="4">
        <v>3750335.0</v>
      </c>
      <c r="B1839" s="11">
        <v>45401.0</v>
      </c>
    </row>
    <row r="1840">
      <c r="A1840" s="4">
        <v>3750335.0</v>
      </c>
      <c r="B1840" s="11">
        <v>45402.0</v>
      </c>
    </row>
    <row r="1841">
      <c r="A1841" s="4">
        <v>3750335.0</v>
      </c>
      <c r="B1841" s="11">
        <v>45543.0</v>
      </c>
    </row>
    <row r="1842">
      <c r="A1842" s="4">
        <v>3750335.0</v>
      </c>
      <c r="B1842" s="11">
        <v>45544.0</v>
      </c>
    </row>
    <row r="1843">
      <c r="A1843" s="4">
        <v>3750335.0</v>
      </c>
      <c r="B1843" s="11">
        <v>45545.0</v>
      </c>
    </row>
    <row r="1844">
      <c r="A1844" s="4">
        <v>3750335.0</v>
      </c>
      <c r="B1844" s="11">
        <v>45546.0</v>
      </c>
    </row>
    <row r="1845">
      <c r="A1845" s="4">
        <v>3750335.0</v>
      </c>
      <c r="B1845" s="11">
        <v>45547.0</v>
      </c>
    </row>
    <row r="1846">
      <c r="A1846" s="4">
        <v>3750335.0</v>
      </c>
      <c r="B1846" s="11">
        <v>45548.0</v>
      </c>
    </row>
    <row r="1847">
      <c r="A1847" s="4">
        <v>3750335.0</v>
      </c>
      <c r="B1847" s="11">
        <v>45549.0</v>
      </c>
    </row>
    <row r="1848">
      <c r="A1848" s="4">
        <v>3750335.0</v>
      </c>
      <c r="B1848" s="11">
        <v>45550.0</v>
      </c>
    </row>
    <row r="1849">
      <c r="A1849" s="4">
        <v>3750335.0</v>
      </c>
      <c r="B1849" s="11">
        <v>45573.0</v>
      </c>
    </row>
    <row r="1850">
      <c r="A1850" s="4">
        <v>3750335.0</v>
      </c>
      <c r="B1850" s="11">
        <v>45574.0</v>
      </c>
    </row>
    <row r="1851">
      <c r="A1851" s="4">
        <v>3750335.0</v>
      </c>
      <c r="B1851" s="11">
        <v>45575.0</v>
      </c>
    </row>
    <row r="1852">
      <c r="A1852" s="4">
        <v>3750335.0</v>
      </c>
      <c r="B1852" s="11">
        <v>45576.0</v>
      </c>
    </row>
    <row r="1853">
      <c r="A1853" s="4">
        <v>3750335.0</v>
      </c>
      <c r="B1853" s="11">
        <v>45577.0</v>
      </c>
    </row>
    <row r="1854">
      <c r="A1854" s="4">
        <v>3750335.0</v>
      </c>
      <c r="B1854" s="11">
        <v>45578.0</v>
      </c>
    </row>
    <row r="1855">
      <c r="A1855" s="4">
        <v>3750335.0</v>
      </c>
      <c r="B1855" s="11">
        <v>45579.0</v>
      </c>
    </row>
    <row r="1856">
      <c r="A1856" s="4">
        <v>3750335.0</v>
      </c>
      <c r="B1856" s="11">
        <v>45580.0</v>
      </c>
    </row>
    <row r="1857">
      <c r="A1857" s="4">
        <v>3750335.0</v>
      </c>
      <c r="B1857" s="11">
        <v>45736.0</v>
      </c>
    </row>
    <row r="1858">
      <c r="A1858" s="4">
        <v>3750335.0</v>
      </c>
      <c r="B1858" s="11">
        <v>45737.0</v>
      </c>
    </row>
    <row r="1859">
      <c r="A1859" s="4">
        <v>3750335.0</v>
      </c>
      <c r="B1859" s="11">
        <v>45738.0</v>
      </c>
    </row>
    <row r="1860">
      <c r="A1860" s="4">
        <v>3750335.0</v>
      </c>
      <c r="B1860" s="11">
        <v>45739.0</v>
      </c>
    </row>
    <row r="1861">
      <c r="A1861" s="4">
        <v>3750335.0</v>
      </c>
      <c r="B1861" s="11">
        <v>45740.0</v>
      </c>
    </row>
    <row r="1862">
      <c r="A1862" s="4">
        <v>3750335.0</v>
      </c>
      <c r="B1862" s="11">
        <v>45741.0</v>
      </c>
    </row>
    <row r="1863">
      <c r="A1863" s="4">
        <v>3750335.0</v>
      </c>
      <c r="B1863" s="11">
        <v>45742.0</v>
      </c>
    </row>
    <row r="1864">
      <c r="A1864" s="4">
        <v>3750335.0</v>
      </c>
      <c r="B1864" s="11">
        <v>45743.0</v>
      </c>
    </row>
    <row r="1865">
      <c r="A1865" s="4">
        <v>3750335.0</v>
      </c>
      <c r="B1865" s="11">
        <v>45744.0</v>
      </c>
    </row>
    <row r="1866">
      <c r="A1866" s="4">
        <v>3750335.0</v>
      </c>
      <c r="B1866" s="11">
        <v>45745.0</v>
      </c>
    </row>
    <row r="1867">
      <c r="A1867" s="4">
        <v>3750335.0</v>
      </c>
      <c r="B1867" s="11">
        <v>45746.0</v>
      </c>
    </row>
    <row r="1868">
      <c r="A1868" s="4">
        <v>3750335.0</v>
      </c>
      <c r="B1868" s="11">
        <v>45747.0</v>
      </c>
    </row>
    <row r="1869">
      <c r="A1869" s="4">
        <v>3750335.0</v>
      </c>
      <c r="B1869" s="11">
        <v>45748.0</v>
      </c>
    </row>
    <row r="1870">
      <c r="A1870" s="4">
        <v>3750335.0</v>
      </c>
      <c r="B1870" s="11">
        <v>45749.0</v>
      </c>
    </row>
    <row r="1871">
      <c r="A1871" s="4">
        <v>3750335.0</v>
      </c>
      <c r="B1871" s="11">
        <v>45750.0</v>
      </c>
    </row>
    <row r="1872">
      <c r="A1872" s="4">
        <v>3750335.0</v>
      </c>
      <c r="B1872" s="11">
        <v>45751.0</v>
      </c>
    </row>
    <row r="1873">
      <c r="A1873" s="4">
        <v>3750335.0</v>
      </c>
      <c r="B1873" s="11">
        <v>45752.0</v>
      </c>
    </row>
    <row r="1874">
      <c r="A1874" s="4">
        <v>3750335.0</v>
      </c>
      <c r="B1874" s="11">
        <v>45753.0</v>
      </c>
    </row>
    <row r="1875">
      <c r="A1875" s="4">
        <v>3750335.0</v>
      </c>
      <c r="B1875" s="11">
        <v>45754.0</v>
      </c>
    </row>
    <row r="1876">
      <c r="A1876" s="4">
        <v>3750335.0</v>
      </c>
      <c r="B1876" s="11">
        <v>45885.0</v>
      </c>
    </row>
    <row r="1877">
      <c r="A1877" s="4">
        <v>3750335.0</v>
      </c>
      <c r="B1877" s="11">
        <v>45886.0</v>
      </c>
    </row>
    <row r="1878">
      <c r="A1878" s="4">
        <v>3750335.0</v>
      </c>
      <c r="B1878" s="11">
        <v>45887.0</v>
      </c>
    </row>
    <row r="1879">
      <c r="A1879" s="4">
        <v>3750335.0</v>
      </c>
      <c r="B1879" s="11">
        <v>45888.0</v>
      </c>
    </row>
    <row r="1880">
      <c r="A1880" s="4">
        <v>3750335.0</v>
      </c>
      <c r="B1880" s="11">
        <v>45889.0</v>
      </c>
    </row>
    <row r="1881">
      <c r="A1881" s="4">
        <v>3750335.0</v>
      </c>
      <c r="B1881" s="11">
        <v>45890.0</v>
      </c>
    </row>
    <row r="1882">
      <c r="A1882" s="4">
        <v>3750335.0</v>
      </c>
      <c r="B1882" s="11">
        <v>45891.0</v>
      </c>
    </row>
    <row r="1883">
      <c r="A1883" s="4">
        <v>3750335.0</v>
      </c>
      <c r="B1883" s="11">
        <v>45892.0</v>
      </c>
    </row>
    <row r="1884">
      <c r="A1884" s="4">
        <v>3750335.0</v>
      </c>
      <c r="B1884" s="11">
        <v>45938.0</v>
      </c>
    </row>
    <row r="1885">
      <c r="A1885" s="4">
        <v>3750335.0</v>
      </c>
      <c r="B1885" s="11">
        <v>45939.0</v>
      </c>
    </row>
    <row r="1886">
      <c r="A1886" s="4">
        <v>3750335.0</v>
      </c>
      <c r="B1886" s="11">
        <v>45940.0</v>
      </c>
    </row>
    <row r="1887">
      <c r="A1887" s="4">
        <v>3750335.0</v>
      </c>
      <c r="B1887" s="11">
        <v>45941.0</v>
      </c>
    </row>
    <row r="1888">
      <c r="A1888" s="4">
        <v>3750335.0</v>
      </c>
      <c r="B1888" s="11">
        <v>45942.0</v>
      </c>
    </row>
    <row r="1889">
      <c r="A1889" s="4">
        <v>3750335.0</v>
      </c>
      <c r="B1889" s="11">
        <v>45943.0</v>
      </c>
    </row>
    <row r="1890">
      <c r="A1890" s="4">
        <v>3750335.0</v>
      </c>
      <c r="B1890" s="11">
        <v>45944.0</v>
      </c>
    </row>
    <row r="1891">
      <c r="A1891" s="4">
        <v>3750335.0</v>
      </c>
      <c r="B1891" s="11">
        <v>45945.0</v>
      </c>
    </row>
    <row r="1892">
      <c r="A1892" s="4">
        <v>3750335.0</v>
      </c>
      <c r="B1892" s="11">
        <v>46123.0</v>
      </c>
    </row>
    <row r="1893">
      <c r="A1893" s="4">
        <v>3750335.0</v>
      </c>
      <c r="B1893" s="11">
        <v>46124.0</v>
      </c>
    </row>
    <row r="1894">
      <c r="A1894" s="4">
        <v>3750335.0</v>
      </c>
      <c r="B1894" s="11">
        <v>46125.0</v>
      </c>
    </row>
    <row r="1895">
      <c r="A1895" s="4">
        <v>3750335.0</v>
      </c>
      <c r="B1895" s="11">
        <v>46126.0</v>
      </c>
    </row>
    <row r="1896">
      <c r="A1896" s="4">
        <v>3750335.0</v>
      </c>
      <c r="B1896" s="11">
        <v>46127.0</v>
      </c>
    </row>
    <row r="1897">
      <c r="A1897" s="4">
        <v>3750335.0</v>
      </c>
      <c r="B1897" s="11">
        <v>46128.0</v>
      </c>
    </row>
    <row r="1898">
      <c r="A1898" s="4">
        <v>3750335.0</v>
      </c>
      <c r="B1898" s="11">
        <v>46129.0</v>
      </c>
    </row>
    <row r="1899">
      <c r="A1899" s="4">
        <v>3750335.0</v>
      </c>
      <c r="B1899" s="11">
        <v>46130.0</v>
      </c>
    </row>
    <row r="1900">
      <c r="A1900" s="4">
        <v>3750335.0</v>
      </c>
      <c r="B1900" s="11">
        <v>46131.0</v>
      </c>
    </row>
    <row r="1901">
      <c r="A1901" s="4">
        <v>3750335.0</v>
      </c>
      <c r="B1901" s="11">
        <v>46132.0</v>
      </c>
    </row>
    <row r="1902">
      <c r="A1902" s="4">
        <v>3750335.0</v>
      </c>
      <c r="B1902" s="11">
        <v>46133.0</v>
      </c>
    </row>
    <row r="1903">
      <c r="A1903" s="4">
        <v>3750335.0</v>
      </c>
      <c r="B1903" s="11">
        <v>46134.0</v>
      </c>
    </row>
    <row r="1904">
      <c r="A1904" s="4">
        <v>3750335.0</v>
      </c>
      <c r="B1904" s="11">
        <v>46135.0</v>
      </c>
    </row>
    <row r="1905">
      <c r="A1905" s="4">
        <v>3750335.0</v>
      </c>
      <c r="B1905" s="11">
        <v>46136.0</v>
      </c>
    </row>
    <row r="1906">
      <c r="A1906" s="4">
        <v>3750335.0</v>
      </c>
      <c r="B1906" s="11">
        <v>46137.0</v>
      </c>
    </row>
    <row r="1907">
      <c r="A1907" s="4">
        <v>3750335.0</v>
      </c>
      <c r="B1907" s="11">
        <v>46138.0</v>
      </c>
    </row>
    <row r="1908">
      <c r="A1908" s="4">
        <v>3750335.0</v>
      </c>
      <c r="B1908" s="11">
        <v>46139.0</v>
      </c>
    </row>
    <row r="1909">
      <c r="A1909" s="4">
        <v>3750335.0</v>
      </c>
      <c r="B1909" s="11">
        <v>46140.0</v>
      </c>
    </row>
    <row r="1910">
      <c r="A1910" s="4">
        <v>3750335.0</v>
      </c>
      <c r="B1910" s="11">
        <v>46141.0</v>
      </c>
    </row>
    <row r="1911">
      <c r="A1911" s="4">
        <v>3750335.0</v>
      </c>
      <c r="B1911" s="11">
        <v>46142.0</v>
      </c>
    </row>
    <row r="1912">
      <c r="A1912" s="4">
        <v>3750335.0</v>
      </c>
      <c r="B1912" s="11">
        <v>46273.0</v>
      </c>
    </row>
    <row r="1913">
      <c r="A1913" s="4">
        <v>3750335.0</v>
      </c>
      <c r="B1913" s="11">
        <v>46274.0</v>
      </c>
    </row>
    <row r="1914">
      <c r="A1914" s="4">
        <v>3750335.0</v>
      </c>
      <c r="B1914" s="11">
        <v>46275.0</v>
      </c>
    </row>
    <row r="1915">
      <c r="A1915" s="4">
        <v>3750335.0</v>
      </c>
      <c r="B1915" s="11">
        <v>46276.0</v>
      </c>
    </row>
    <row r="1916">
      <c r="A1916" s="4">
        <v>3750335.0</v>
      </c>
      <c r="B1916" s="11">
        <v>46277.0</v>
      </c>
    </row>
    <row r="1917">
      <c r="A1917" s="4">
        <v>3750335.0</v>
      </c>
      <c r="B1917" s="11">
        <v>46278.0</v>
      </c>
    </row>
    <row r="1918">
      <c r="A1918" s="4">
        <v>3750335.0</v>
      </c>
      <c r="B1918" s="11">
        <v>46279.0</v>
      </c>
    </row>
    <row r="1919">
      <c r="A1919" s="4">
        <v>3750335.0</v>
      </c>
      <c r="B1919" s="11">
        <v>46280.0</v>
      </c>
    </row>
    <row r="1920">
      <c r="A1920" s="4">
        <v>3750335.0</v>
      </c>
      <c r="B1920" s="11">
        <v>46313.0</v>
      </c>
    </row>
    <row r="1921">
      <c r="A1921" s="4">
        <v>3750335.0</v>
      </c>
      <c r="B1921" s="11">
        <v>46314.0</v>
      </c>
    </row>
    <row r="1922">
      <c r="A1922" s="4">
        <v>3750335.0</v>
      </c>
      <c r="B1922" s="11">
        <v>46315.0</v>
      </c>
    </row>
    <row r="1923">
      <c r="A1923" s="4">
        <v>3750335.0</v>
      </c>
      <c r="B1923" s="11">
        <v>46316.0</v>
      </c>
    </row>
    <row r="1924">
      <c r="A1924" s="4">
        <v>3750335.0</v>
      </c>
      <c r="B1924" s="11">
        <v>46317.0</v>
      </c>
    </row>
    <row r="1925">
      <c r="A1925" s="4">
        <v>3750335.0</v>
      </c>
      <c r="B1925" s="11">
        <v>46318.0</v>
      </c>
    </row>
    <row r="1926">
      <c r="A1926" s="4">
        <v>3750335.0</v>
      </c>
      <c r="B1926" s="11">
        <v>46319.0</v>
      </c>
    </row>
    <row r="1927">
      <c r="A1927" s="4">
        <v>3750335.0</v>
      </c>
      <c r="B1927" s="11">
        <v>46320.0</v>
      </c>
    </row>
    <row r="1928">
      <c r="A1928" s="4">
        <v>3779550.0</v>
      </c>
      <c r="B1928" s="11">
        <v>45383.0</v>
      </c>
    </row>
    <row r="1929">
      <c r="A1929" s="4">
        <v>3779550.0</v>
      </c>
      <c r="B1929" s="11">
        <v>45384.0</v>
      </c>
    </row>
    <row r="1930">
      <c r="A1930" s="4">
        <v>3779550.0</v>
      </c>
      <c r="B1930" s="11">
        <v>45385.0</v>
      </c>
    </row>
    <row r="1931">
      <c r="A1931" s="4">
        <v>3779550.0</v>
      </c>
      <c r="B1931" s="11">
        <v>45386.0</v>
      </c>
    </row>
    <row r="1932">
      <c r="A1932" s="4">
        <v>3779550.0</v>
      </c>
      <c r="B1932" s="11">
        <v>45387.0</v>
      </c>
    </row>
    <row r="1933">
      <c r="A1933" s="4">
        <v>3779550.0</v>
      </c>
      <c r="B1933" s="11">
        <v>45388.0</v>
      </c>
    </row>
    <row r="1934">
      <c r="A1934" s="4">
        <v>3779550.0</v>
      </c>
      <c r="B1934" s="11">
        <v>45389.0</v>
      </c>
    </row>
    <row r="1935">
      <c r="A1935" s="4">
        <v>3779550.0</v>
      </c>
      <c r="B1935" s="11">
        <v>45451.0</v>
      </c>
    </row>
    <row r="1936">
      <c r="A1936" s="4">
        <v>3779550.0</v>
      </c>
      <c r="B1936" s="11">
        <v>45452.0</v>
      </c>
    </row>
    <row r="1937">
      <c r="A1937" s="4">
        <v>3779550.0</v>
      </c>
      <c r="B1937" s="11">
        <v>45453.0</v>
      </c>
    </row>
    <row r="1938">
      <c r="A1938" s="4">
        <v>3779550.0</v>
      </c>
      <c r="B1938" s="11">
        <v>45454.0</v>
      </c>
    </row>
    <row r="1939">
      <c r="A1939" s="4">
        <v>3779550.0</v>
      </c>
      <c r="B1939" s="11">
        <v>45455.0</v>
      </c>
    </row>
    <row r="1940">
      <c r="A1940" s="4">
        <v>3779550.0</v>
      </c>
      <c r="B1940" s="11">
        <v>45456.0</v>
      </c>
    </row>
    <row r="1941">
      <c r="A1941" s="4">
        <v>3779550.0</v>
      </c>
      <c r="B1941" s="11">
        <v>45457.0</v>
      </c>
    </row>
    <row r="1942">
      <c r="A1942" s="4">
        <v>3779550.0</v>
      </c>
      <c r="B1942" s="11">
        <v>45458.0</v>
      </c>
    </row>
    <row r="1943">
      <c r="A1943" s="4">
        <v>3779550.0</v>
      </c>
      <c r="B1943" s="11">
        <v>45597.0</v>
      </c>
    </row>
    <row r="1944">
      <c r="A1944" s="4">
        <v>3779550.0</v>
      </c>
      <c r="B1944" s="11">
        <v>45598.0</v>
      </c>
    </row>
    <row r="1945">
      <c r="A1945" s="4">
        <v>3779550.0</v>
      </c>
      <c r="B1945" s="11">
        <v>45599.0</v>
      </c>
    </row>
    <row r="1946">
      <c r="A1946" s="4">
        <v>3779550.0</v>
      </c>
      <c r="B1946" s="11">
        <v>45600.0</v>
      </c>
    </row>
    <row r="1947">
      <c r="A1947" s="4">
        <v>3779550.0</v>
      </c>
      <c r="B1947" s="11">
        <v>45601.0</v>
      </c>
    </row>
    <row r="1948">
      <c r="A1948" s="4">
        <v>3779550.0</v>
      </c>
      <c r="B1948" s="11">
        <v>45602.0</v>
      </c>
    </row>
    <row r="1949">
      <c r="A1949" s="4">
        <v>3779550.0</v>
      </c>
      <c r="B1949" s="11">
        <v>45603.0</v>
      </c>
    </row>
    <row r="1950">
      <c r="A1950" s="4">
        <v>3779550.0</v>
      </c>
      <c r="B1950" s="11">
        <v>45604.0</v>
      </c>
    </row>
    <row r="1951">
      <c r="A1951" s="4">
        <v>3779550.0</v>
      </c>
      <c r="B1951" s="11">
        <v>45605.0</v>
      </c>
    </row>
    <row r="1952">
      <c r="A1952" s="4">
        <v>3779550.0</v>
      </c>
      <c r="B1952" s="11">
        <v>45606.0</v>
      </c>
    </row>
    <row r="1953">
      <c r="A1953" s="4">
        <v>3779550.0</v>
      </c>
      <c r="B1953" s="11">
        <v>45607.0</v>
      </c>
    </row>
    <row r="1954">
      <c r="A1954" s="4">
        <v>3779550.0</v>
      </c>
      <c r="B1954" s="11">
        <v>45608.0</v>
      </c>
    </row>
    <row r="1955">
      <c r="A1955" s="4">
        <v>3779550.0</v>
      </c>
      <c r="B1955" s="11">
        <v>45609.0</v>
      </c>
    </row>
    <row r="1956">
      <c r="A1956" s="4">
        <v>3779550.0</v>
      </c>
      <c r="B1956" s="11">
        <v>45610.0</v>
      </c>
    </row>
    <row r="1957">
      <c r="A1957" s="4">
        <v>3779550.0</v>
      </c>
      <c r="B1957" s="11">
        <v>45611.0</v>
      </c>
    </row>
    <row r="1958">
      <c r="A1958" s="4">
        <v>3779550.0</v>
      </c>
      <c r="B1958" s="11">
        <v>45673.0</v>
      </c>
    </row>
    <row r="1959">
      <c r="A1959" s="4">
        <v>3779550.0</v>
      </c>
      <c r="B1959" s="11">
        <v>45674.0</v>
      </c>
    </row>
    <row r="1960">
      <c r="A1960" s="4">
        <v>3779550.0</v>
      </c>
      <c r="B1960" s="11">
        <v>45675.0</v>
      </c>
    </row>
    <row r="1961">
      <c r="A1961" s="4">
        <v>3779550.0</v>
      </c>
      <c r="B1961" s="11">
        <v>45676.0</v>
      </c>
    </row>
    <row r="1962">
      <c r="A1962" s="4">
        <v>3779550.0</v>
      </c>
      <c r="B1962" s="11">
        <v>45677.0</v>
      </c>
    </row>
    <row r="1963">
      <c r="A1963" s="4">
        <v>3779550.0</v>
      </c>
      <c r="B1963" s="11">
        <v>45678.0</v>
      </c>
    </row>
    <row r="1964">
      <c r="A1964" s="4">
        <v>3779550.0</v>
      </c>
      <c r="B1964" s="11">
        <v>45679.0</v>
      </c>
    </row>
    <row r="1965">
      <c r="A1965" s="4">
        <v>3779550.0</v>
      </c>
      <c r="B1965" s="11">
        <v>45680.0</v>
      </c>
    </row>
    <row r="1966">
      <c r="A1966" s="4">
        <v>3779550.0</v>
      </c>
      <c r="B1966" s="11">
        <v>45770.0</v>
      </c>
    </row>
    <row r="1967">
      <c r="A1967" s="4">
        <v>3779550.0</v>
      </c>
      <c r="B1967" s="11">
        <v>45771.0</v>
      </c>
    </row>
    <row r="1968">
      <c r="A1968" s="4">
        <v>3779550.0</v>
      </c>
      <c r="B1968" s="11">
        <v>45772.0</v>
      </c>
    </row>
    <row r="1969">
      <c r="A1969" s="4">
        <v>3779550.0</v>
      </c>
      <c r="B1969" s="11">
        <v>45773.0</v>
      </c>
    </row>
    <row r="1970">
      <c r="A1970" s="4">
        <v>3779550.0</v>
      </c>
      <c r="B1970" s="11">
        <v>45774.0</v>
      </c>
    </row>
    <row r="1971">
      <c r="A1971" s="4">
        <v>3779550.0</v>
      </c>
      <c r="B1971" s="11">
        <v>45775.0</v>
      </c>
    </row>
    <row r="1972">
      <c r="A1972" s="4">
        <v>3779550.0</v>
      </c>
      <c r="B1972" s="11">
        <v>45776.0</v>
      </c>
    </row>
    <row r="1973">
      <c r="A1973" s="4">
        <v>3779550.0</v>
      </c>
      <c r="B1973" s="11">
        <v>45777.0</v>
      </c>
    </row>
    <row r="1974">
      <c r="A1974" s="4">
        <v>3779550.0</v>
      </c>
      <c r="B1974" s="11">
        <v>45778.0</v>
      </c>
    </row>
    <row r="1975">
      <c r="A1975" s="4">
        <v>3779550.0</v>
      </c>
      <c r="B1975" s="11">
        <v>45779.0</v>
      </c>
    </row>
    <row r="1976">
      <c r="A1976" s="4">
        <v>3779550.0</v>
      </c>
      <c r="B1976" s="11">
        <v>45780.0</v>
      </c>
    </row>
    <row r="1977">
      <c r="A1977" s="4">
        <v>3779550.0</v>
      </c>
      <c r="B1977" s="11">
        <v>45781.0</v>
      </c>
    </row>
    <row r="1978">
      <c r="A1978" s="4">
        <v>3779550.0</v>
      </c>
      <c r="B1978" s="11">
        <v>45782.0</v>
      </c>
    </row>
    <row r="1979">
      <c r="A1979" s="4">
        <v>3779550.0</v>
      </c>
      <c r="B1979" s="11">
        <v>45783.0</v>
      </c>
    </row>
    <row r="1980">
      <c r="A1980" s="4">
        <v>3779550.0</v>
      </c>
      <c r="B1980" s="11">
        <v>45784.0</v>
      </c>
    </row>
    <row r="1981">
      <c r="A1981" s="4">
        <v>3779550.0</v>
      </c>
      <c r="B1981" s="11">
        <v>45946.0</v>
      </c>
    </row>
    <row r="1982">
      <c r="A1982" s="4">
        <v>3779550.0</v>
      </c>
      <c r="B1982" s="11">
        <v>45947.0</v>
      </c>
    </row>
    <row r="1983">
      <c r="A1983" s="4">
        <v>3779550.0</v>
      </c>
      <c r="B1983" s="11">
        <v>45948.0</v>
      </c>
    </row>
    <row r="1984">
      <c r="A1984" s="4">
        <v>3779550.0</v>
      </c>
      <c r="B1984" s="11">
        <v>45949.0</v>
      </c>
    </row>
    <row r="1985">
      <c r="A1985" s="4">
        <v>3779550.0</v>
      </c>
      <c r="B1985" s="11">
        <v>45950.0</v>
      </c>
    </row>
    <row r="1986">
      <c r="A1986" s="4">
        <v>3779550.0</v>
      </c>
      <c r="B1986" s="11">
        <v>45951.0</v>
      </c>
    </row>
    <row r="1987">
      <c r="A1987" s="4">
        <v>3779550.0</v>
      </c>
      <c r="B1987" s="11">
        <v>45952.0</v>
      </c>
    </row>
    <row r="1988">
      <c r="A1988" s="4">
        <v>3779550.0</v>
      </c>
      <c r="B1988" s="11">
        <v>45953.0</v>
      </c>
    </row>
    <row r="1989">
      <c r="A1989" s="4">
        <v>3779550.0</v>
      </c>
      <c r="B1989" s="11">
        <v>45954.0</v>
      </c>
    </row>
    <row r="1990">
      <c r="A1990" s="4">
        <v>3779550.0</v>
      </c>
      <c r="B1990" s="11">
        <v>45955.0</v>
      </c>
    </row>
    <row r="1991">
      <c r="A1991" s="4">
        <v>3779550.0</v>
      </c>
      <c r="B1991" s="11">
        <v>45956.0</v>
      </c>
    </row>
    <row r="1992">
      <c r="A1992" s="4">
        <v>3779550.0</v>
      </c>
      <c r="B1992" s="11">
        <v>45957.0</v>
      </c>
    </row>
    <row r="1993">
      <c r="A1993" s="4">
        <v>3779550.0</v>
      </c>
      <c r="B1993" s="11">
        <v>45958.0</v>
      </c>
    </row>
    <row r="1994">
      <c r="A1994" s="4">
        <v>3779550.0</v>
      </c>
      <c r="B1994" s="11">
        <v>45959.0</v>
      </c>
    </row>
    <row r="1995">
      <c r="A1995" s="4">
        <v>3779550.0</v>
      </c>
      <c r="B1995" s="11">
        <v>45960.0</v>
      </c>
    </row>
    <row r="1996">
      <c r="A1996" s="4">
        <v>3779550.0</v>
      </c>
      <c r="B1996" s="11">
        <v>45961.0</v>
      </c>
    </row>
    <row r="1997">
      <c r="A1997" s="4">
        <v>3779550.0</v>
      </c>
      <c r="B1997" s="11">
        <v>46120.0</v>
      </c>
    </row>
    <row r="1998">
      <c r="A1998" s="4">
        <v>3779550.0</v>
      </c>
      <c r="B1998" s="11">
        <v>46121.0</v>
      </c>
    </row>
    <row r="1999">
      <c r="A1999" s="4">
        <v>3779550.0</v>
      </c>
      <c r="B1999" s="11">
        <v>46122.0</v>
      </c>
    </row>
    <row r="2000">
      <c r="A2000" s="4">
        <v>3779550.0</v>
      </c>
      <c r="B2000" s="11">
        <v>46123.0</v>
      </c>
    </row>
    <row r="2001">
      <c r="A2001" s="4">
        <v>3779550.0</v>
      </c>
      <c r="B2001" s="11">
        <v>46124.0</v>
      </c>
    </row>
    <row r="2002">
      <c r="A2002" s="4">
        <v>3779550.0</v>
      </c>
      <c r="B2002" s="11">
        <v>46125.0</v>
      </c>
    </row>
    <row r="2003">
      <c r="A2003" s="4">
        <v>3779550.0</v>
      </c>
      <c r="B2003" s="11">
        <v>46126.0</v>
      </c>
    </row>
    <row r="2004">
      <c r="A2004" s="4">
        <v>3779550.0</v>
      </c>
      <c r="B2004" s="11">
        <v>46127.0</v>
      </c>
    </row>
    <row r="2005">
      <c r="A2005" s="4">
        <v>3779550.0</v>
      </c>
      <c r="B2005" s="11">
        <v>46174.0</v>
      </c>
    </row>
    <row r="2006">
      <c r="A2006" s="4">
        <v>3779550.0</v>
      </c>
      <c r="B2006" s="11">
        <v>46175.0</v>
      </c>
    </row>
    <row r="2007">
      <c r="A2007" s="4">
        <v>3779550.0</v>
      </c>
      <c r="B2007" s="11">
        <v>46176.0</v>
      </c>
    </row>
    <row r="2008">
      <c r="A2008" s="4">
        <v>3779550.0</v>
      </c>
      <c r="B2008" s="11">
        <v>46177.0</v>
      </c>
    </row>
    <row r="2009">
      <c r="A2009" s="4">
        <v>3779550.0</v>
      </c>
      <c r="B2009" s="11">
        <v>46178.0</v>
      </c>
    </row>
    <row r="2010">
      <c r="A2010" s="4">
        <v>3779550.0</v>
      </c>
      <c r="B2010" s="11">
        <v>46179.0</v>
      </c>
    </row>
    <row r="2011">
      <c r="A2011" s="4">
        <v>3779550.0</v>
      </c>
      <c r="B2011" s="11">
        <v>46180.0</v>
      </c>
    </row>
    <row r="2012">
      <c r="A2012" s="4">
        <v>3779550.0</v>
      </c>
      <c r="B2012" s="11">
        <v>46181.0</v>
      </c>
    </row>
    <row r="2013">
      <c r="A2013" s="4">
        <v>3779550.0</v>
      </c>
      <c r="B2013" s="11">
        <v>46182.0</v>
      </c>
    </row>
    <row r="2014">
      <c r="A2014" s="4">
        <v>3779550.0</v>
      </c>
      <c r="B2014" s="11">
        <v>46183.0</v>
      </c>
    </row>
    <row r="2015">
      <c r="A2015" s="4">
        <v>3779550.0</v>
      </c>
      <c r="B2015" s="11">
        <v>46184.0</v>
      </c>
    </row>
    <row r="2016">
      <c r="A2016" s="4">
        <v>3779550.0</v>
      </c>
      <c r="B2016" s="11">
        <v>46185.0</v>
      </c>
    </row>
    <row r="2017">
      <c r="A2017" s="4">
        <v>3779550.0</v>
      </c>
      <c r="B2017" s="11">
        <v>46186.0</v>
      </c>
    </row>
    <row r="2018">
      <c r="A2018" s="4">
        <v>3779550.0</v>
      </c>
      <c r="B2018" s="11">
        <v>46187.0</v>
      </c>
    </row>
    <row r="2019">
      <c r="A2019" s="4">
        <v>3779550.0</v>
      </c>
      <c r="B2019" s="11">
        <v>46188.0</v>
      </c>
    </row>
    <row r="2020">
      <c r="A2020" s="4">
        <v>3796947.0</v>
      </c>
      <c r="B2020" s="11">
        <v>45367.0</v>
      </c>
    </row>
    <row r="2021">
      <c r="A2021" s="4">
        <v>3796947.0</v>
      </c>
      <c r="B2021" s="11">
        <v>45368.0</v>
      </c>
    </row>
    <row r="2022">
      <c r="A2022" s="4">
        <v>3796947.0</v>
      </c>
      <c r="B2022" s="11">
        <v>45369.0</v>
      </c>
    </row>
    <row r="2023">
      <c r="A2023" s="4">
        <v>3796947.0</v>
      </c>
      <c r="B2023" s="11">
        <v>45370.0</v>
      </c>
    </row>
    <row r="2024">
      <c r="A2024" s="4">
        <v>3796947.0</v>
      </c>
      <c r="B2024" s="11">
        <v>45371.0</v>
      </c>
    </row>
    <row r="2025">
      <c r="A2025" s="4">
        <v>3796947.0</v>
      </c>
      <c r="B2025" s="11">
        <v>45372.0</v>
      </c>
    </row>
    <row r="2026">
      <c r="A2026" s="4">
        <v>3796947.0</v>
      </c>
      <c r="B2026" s="11">
        <v>45373.0</v>
      </c>
    </row>
    <row r="2027">
      <c r="A2027" s="4">
        <v>3796947.0</v>
      </c>
      <c r="B2027" s="11">
        <v>45374.0</v>
      </c>
    </row>
    <row r="2028">
      <c r="A2028" s="4">
        <v>3796947.0</v>
      </c>
      <c r="B2028" s="11">
        <v>45444.0</v>
      </c>
    </row>
    <row r="2029">
      <c r="A2029" s="4">
        <v>3796947.0</v>
      </c>
      <c r="B2029" s="11">
        <v>45445.0</v>
      </c>
    </row>
    <row r="2030">
      <c r="A2030" s="4">
        <v>3796947.0</v>
      </c>
      <c r="B2030" s="11">
        <v>45446.0</v>
      </c>
    </row>
    <row r="2031">
      <c r="A2031" s="4">
        <v>3796947.0</v>
      </c>
      <c r="B2031" s="11">
        <v>45447.0</v>
      </c>
    </row>
    <row r="2032">
      <c r="A2032" s="4">
        <v>3796947.0</v>
      </c>
      <c r="B2032" s="11">
        <v>45448.0</v>
      </c>
    </row>
    <row r="2033">
      <c r="A2033" s="4">
        <v>3796947.0</v>
      </c>
      <c r="B2033" s="11">
        <v>45449.0</v>
      </c>
    </row>
    <row r="2034">
      <c r="A2034" s="4">
        <v>3796947.0</v>
      </c>
      <c r="B2034" s="11">
        <v>45450.0</v>
      </c>
    </row>
    <row r="2035">
      <c r="A2035" s="4">
        <v>3796947.0</v>
      </c>
      <c r="B2035" s="11">
        <v>45500.0</v>
      </c>
    </row>
    <row r="2036">
      <c r="A2036" s="4">
        <v>3796947.0</v>
      </c>
      <c r="B2036" s="11">
        <v>45501.0</v>
      </c>
    </row>
    <row r="2037">
      <c r="A2037" s="4">
        <v>3796947.0</v>
      </c>
      <c r="B2037" s="11">
        <v>45502.0</v>
      </c>
    </row>
    <row r="2038">
      <c r="A2038" s="4">
        <v>3796947.0</v>
      </c>
      <c r="B2038" s="11">
        <v>45503.0</v>
      </c>
    </row>
    <row r="2039">
      <c r="A2039" s="4">
        <v>3796947.0</v>
      </c>
      <c r="B2039" s="11">
        <v>45504.0</v>
      </c>
    </row>
    <row r="2040">
      <c r="A2040" s="4">
        <v>3796947.0</v>
      </c>
      <c r="B2040" s="11">
        <v>45505.0</v>
      </c>
    </row>
    <row r="2041">
      <c r="A2041" s="4">
        <v>3796947.0</v>
      </c>
      <c r="B2041" s="11">
        <v>45506.0</v>
      </c>
    </row>
    <row r="2042">
      <c r="A2042" s="4">
        <v>3796947.0</v>
      </c>
      <c r="B2042" s="11">
        <v>45507.0</v>
      </c>
    </row>
    <row r="2043">
      <c r="A2043" s="4">
        <v>3796947.0</v>
      </c>
      <c r="B2043" s="11">
        <v>45508.0</v>
      </c>
    </row>
    <row r="2044">
      <c r="A2044" s="4">
        <v>3796947.0</v>
      </c>
      <c r="B2044" s="11">
        <v>45509.0</v>
      </c>
    </row>
    <row r="2045">
      <c r="A2045" s="4">
        <v>3796947.0</v>
      </c>
      <c r="B2045" s="11">
        <v>45510.0</v>
      </c>
    </row>
    <row r="2046">
      <c r="A2046" s="4">
        <v>3796947.0</v>
      </c>
      <c r="B2046" s="11">
        <v>45511.0</v>
      </c>
    </row>
    <row r="2047">
      <c r="A2047" s="4">
        <v>3796947.0</v>
      </c>
      <c r="B2047" s="11">
        <v>45512.0</v>
      </c>
    </row>
    <row r="2048">
      <c r="A2048" s="4">
        <v>3796947.0</v>
      </c>
      <c r="B2048" s="11">
        <v>45558.0</v>
      </c>
    </row>
    <row r="2049">
      <c r="A2049" s="4">
        <v>3796947.0</v>
      </c>
      <c r="B2049" s="11">
        <v>45559.0</v>
      </c>
    </row>
    <row r="2050">
      <c r="A2050" s="4">
        <v>3796947.0</v>
      </c>
      <c r="B2050" s="11">
        <v>45560.0</v>
      </c>
    </row>
    <row r="2051">
      <c r="A2051" s="4">
        <v>3796947.0</v>
      </c>
      <c r="B2051" s="11">
        <v>45561.0</v>
      </c>
    </row>
    <row r="2052">
      <c r="A2052" s="4">
        <v>3796947.0</v>
      </c>
      <c r="B2052" s="11">
        <v>45562.0</v>
      </c>
    </row>
    <row r="2053">
      <c r="A2053" s="4">
        <v>3796947.0</v>
      </c>
      <c r="B2053" s="11">
        <v>45563.0</v>
      </c>
    </row>
    <row r="2054">
      <c r="A2054" s="4">
        <v>3796947.0</v>
      </c>
      <c r="B2054" s="11">
        <v>45564.0</v>
      </c>
    </row>
    <row r="2055">
      <c r="A2055" s="4">
        <v>3796947.0</v>
      </c>
      <c r="B2055" s="11">
        <v>45565.0</v>
      </c>
    </row>
    <row r="2056">
      <c r="A2056" s="4">
        <v>3796947.0</v>
      </c>
      <c r="B2056" s="11">
        <v>45665.0</v>
      </c>
    </row>
    <row r="2057">
      <c r="A2057" s="4">
        <v>3796947.0</v>
      </c>
      <c r="B2057" s="11">
        <v>45666.0</v>
      </c>
    </row>
    <row r="2058">
      <c r="A2058" s="4">
        <v>3796947.0</v>
      </c>
      <c r="B2058" s="11">
        <v>45667.0</v>
      </c>
    </row>
    <row r="2059">
      <c r="A2059" s="4">
        <v>3796947.0</v>
      </c>
      <c r="B2059" s="11">
        <v>45668.0</v>
      </c>
    </row>
    <row r="2060">
      <c r="A2060" s="4">
        <v>3796947.0</v>
      </c>
      <c r="B2060" s="11">
        <v>45669.0</v>
      </c>
    </row>
    <row r="2061">
      <c r="A2061" s="4">
        <v>3796947.0</v>
      </c>
      <c r="B2061" s="11">
        <v>45670.0</v>
      </c>
    </row>
    <row r="2062">
      <c r="A2062" s="4">
        <v>3796947.0</v>
      </c>
      <c r="B2062" s="11">
        <v>45671.0</v>
      </c>
    </row>
    <row r="2063">
      <c r="A2063" s="4">
        <v>3796947.0</v>
      </c>
      <c r="B2063" s="11">
        <v>45672.0</v>
      </c>
    </row>
    <row r="2064">
      <c r="A2064" s="4">
        <v>3796947.0</v>
      </c>
      <c r="B2064" s="11">
        <v>45759.0</v>
      </c>
    </row>
    <row r="2065">
      <c r="A2065" s="4">
        <v>3796947.0</v>
      </c>
      <c r="B2065" s="11">
        <v>45760.0</v>
      </c>
    </row>
    <row r="2066">
      <c r="A2066" s="4">
        <v>3796947.0</v>
      </c>
      <c r="B2066" s="11">
        <v>45761.0</v>
      </c>
    </row>
    <row r="2067">
      <c r="A2067" s="4">
        <v>3796947.0</v>
      </c>
      <c r="B2067" s="11">
        <v>45762.0</v>
      </c>
    </row>
    <row r="2068">
      <c r="A2068" s="4">
        <v>3796947.0</v>
      </c>
      <c r="B2068" s="11">
        <v>45763.0</v>
      </c>
    </row>
    <row r="2069">
      <c r="A2069" s="4">
        <v>3796947.0</v>
      </c>
      <c r="B2069" s="11">
        <v>45764.0</v>
      </c>
    </row>
    <row r="2070">
      <c r="A2070" s="4">
        <v>3796947.0</v>
      </c>
      <c r="B2070" s="11">
        <v>45765.0</v>
      </c>
    </row>
    <row r="2071">
      <c r="A2071" s="4">
        <v>3796947.0</v>
      </c>
      <c r="B2071" s="11">
        <v>45766.0</v>
      </c>
    </row>
    <row r="2072">
      <c r="A2072" s="4">
        <v>3796947.0</v>
      </c>
      <c r="B2072" s="11">
        <v>45767.0</v>
      </c>
    </row>
    <row r="2073">
      <c r="A2073" s="4">
        <v>3796947.0</v>
      </c>
      <c r="B2073" s="11">
        <v>45768.0</v>
      </c>
    </row>
    <row r="2074">
      <c r="A2074" s="4">
        <v>3796947.0</v>
      </c>
      <c r="B2074" s="11">
        <v>45769.0</v>
      </c>
    </row>
    <row r="2075">
      <c r="A2075" s="4">
        <v>3796947.0</v>
      </c>
      <c r="B2075" s="11">
        <v>45770.0</v>
      </c>
    </row>
    <row r="2076">
      <c r="A2076" s="4">
        <v>3796947.0</v>
      </c>
      <c r="B2076" s="11">
        <v>45771.0</v>
      </c>
    </row>
    <row r="2077">
      <c r="A2077" s="4">
        <v>3796947.0</v>
      </c>
      <c r="B2077" s="11">
        <v>45772.0</v>
      </c>
    </row>
    <row r="2078">
      <c r="A2078" s="4">
        <v>3796947.0</v>
      </c>
      <c r="B2078" s="11">
        <v>45773.0</v>
      </c>
    </row>
    <row r="2079">
      <c r="A2079" s="4">
        <v>3796947.0</v>
      </c>
      <c r="B2079" s="11">
        <v>45774.0</v>
      </c>
    </row>
    <row r="2080">
      <c r="A2080" s="4">
        <v>3796947.0</v>
      </c>
      <c r="B2080" s="11">
        <v>45775.0</v>
      </c>
    </row>
    <row r="2081">
      <c r="A2081" s="4">
        <v>3796947.0</v>
      </c>
      <c r="B2081" s="11">
        <v>45776.0</v>
      </c>
    </row>
    <row r="2082">
      <c r="A2082" s="4">
        <v>3796947.0</v>
      </c>
      <c r="B2082" s="11">
        <v>45777.0</v>
      </c>
    </row>
    <row r="2083">
      <c r="A2083" s="4">
        <v>3796947.0</v>
      </c>
      <c r="B2083" s="11">
        <v>45778.0</v>
      </c>
    </row>
    <row r="2084">
      <c r="A2084" s="4">
        <v>3796947.0</v>
      </c>
      <c r="B2084" s="11">
        <v>45779.0</v>
      </c>
    </row>
    <row r="2085">
      <c r="A2085" s="4">
        <v>3796947.0</v>
      </c>
      <c r="B2085" s="11">
        <v>46266.0</v>
      </c>
    </row>
    <row r="2086">
      <c r="A2086" s="4">
        <v>3796947.0</v>
      </c>
      <c r="B2086" s="11">
        <v>46267.0</v>
      </c>
    </row>
    <row r="2087">
      <c r="A2087" s="4">
        <v>3796947.0</v>
      </c>
      <c r="B2087" s="11">
        <v>46268.0</v>
      </c>
    </row>
    <row r="2088">
      <c r="A2088" s="4">
        <v>3796947.0</v>
      </c>
      <c r="B2088" s="11">
        <v>46269.0</v>
      </c>
    </row>
    <row r="2089">
      <c r="A2089" s="4">
        <v>3796947.0</v>
      </c>
      <c r="B2089" s="11">
        <v>46270.0</v>
      </c>
    </row>
    <row r="2090">
      <c r="A2090" s="4">
        <v>3796947.0</v>
      </c>
      <c r="B2090" s="11">
        <v>46271.0</v>
      </c>
    </row>
    <row r="2091">
      <c r="A2091" s="4">
        <v>3796947.0</v>
      </c>
      <c r="B2091" s="11">
        <v>46272.0</v>
      </c>
    </row>
    <row r="2092">
      <c r="A2092" s="4">
        <v>3796947.0</v>
      </c>
      <c r="B2092" s="11">
        <v>46273.0</v>
      </c>
    </row>
    <row r="2093">
      <c r="A2093" s="4">
        <v>3841387.0</v>
      </c>
      <c r="B2093" s="11">
        <v>45352.0</v>
      </c>
    </row>
    <row r="2094">
      <c r="A2094" s="4">
        <v>3841387.0</v>
      </c>
      <c r="B2094" s="11">
        <v>45353.0</v>
      </c>
    </row>
    <row r="2095">
      <c r="A2095" s="4">
        <v>3841387.0</v>
      </c>
      <c r="B2095" s="11">
        <v>45354.0</v>
      </c>
    </row>
    <row r="2096">
      <c r="A2096" s="4">
        <v>3841387.0</v>
      </c>
      <c r="B2096" s="11">
        <v>45355.0</v>
      </c>
    </row>
    <row r="2097">
      <c r="A2097" s="4">
        <v>3841387.0</v>
      </c>
      <c r="B2097" s="11">
        <v>45356.0</v>
      </c>
    </row>
    <row r="2098">
      <c r="A2098" s="4">
        <v>3841387.0</v>
      </c>
      <c r="B2098" s="11">
        <v>45357.0</v>
      </c>
    </row>
    <row r="2099">
      <c r="A2099" s="4">
        <v>3841387.0</v>
      </c>
      <c r="B2099" s="11">
        <v>45358.0</v>
      </c>
    </row>
    <row r="2100">
      <c r="A2100" s="4">
        <v>3841387.0</v>
      </c>
      <c r="B2100" s="11">
        <v>45359.0</v>
      </c>
    </row>
    <row r="2101">
      <c r="A2101" s="4">
        <v>3841387.0</v>
      </c>
      <c r="B2101" s="11">
        <v>45360.0</v>
      </c>
    </row>
    <row r="2102">
      <c r="A2102" s="4">
        <v>3841387.0</v>
      </c>
      <c r="B2102" s="11">
        <v>45361.0</v>
      </c>
    </row>
    <row r="2103">
      <c r="A2103" s="4">
        <v>3841387.0</v>
      </c>
      <c r="B2103" s="11">
        <v>45362.0</v>
      </c>
    </row>
    <row r="2104">
      <c r="A2104" s="4">
        <v>3841387.0</v>
      </c>
      <c r="B2104" s="11">
        <v>45363.0</v>
      </c>
    </row>
    <row r="2105">
      <c r="A2105" s="4">
        <v>3841387.0</v>
      </c>
      <c r="B2105" s="11">
        <v>45364.0</v>
      </c>
    </row>
    <row r="2106">
      <c r="A2106" s="4">
        <v>3841387.0</v>
      </c>
      <c r="B2106" s="11">
        <v>45365.0</v>
      </c>
    </row>
    <row r="2107">
      <c r="A2107" s="4">
        <v>3841387.0</v>
      </c>
      <c r="B2107" s="11">
        <v>45366.0</v>
      </c>
    </row>
    <row r="2108">
      <c r="A2108" s="4">
        <v>3841387.0</v>
      </c>
      <c r="B2108" s="11">
        <v>45481.0</v>
      </c>
    </row>
    <row r="2109">
      <c r="A2109" s="4">
        <v>3841387.0</v>
      </c>
      <c r="B2109" s="11">
        <v>45482.0</v>
      </c>
    </row>
    <row r="2110">
      <c r="A2110" s="4">
        <v>3841387.0</v>
      </c>
      <c r="B2110" s="11">
        <v>45483.0</v>
      </c>
    </row>
    <row r="2111">
      <c r="A2111" s="4">
        <v>3841387.0</v>
      </c>
      <c r="B2111" s="11">
        <v>45484.0</v>
      </c>
    </row>
    <row r="2112">
      <c r="A2112" s="4">
        <v>3841387.0</v>
      </c>
      <c r="B2112" s="11">
        <v>45485.0</v>
      </c>
    </row>
    <row r="2113">
      <c r="A2113" s="4">
        <v>3841387.0</v>
      </c>
      <c r="B2113" s="11">
        <v>45486.0</v>
      </c>
    </row>
    <row r="2114">
      <c r="A2114" s="4">
        <v>3841387.0</v>
      </c>
      <c r="B2114" s="11">
        <v>45487.0</v>
      </c>
    </row>
    <row r="2115">
      <c r="A2115" s="4">
        <v>3841387.0</v>
      </c>
      <c r="B2115" s="11">
        <v>45488.0</v>
      </c>
    </row>
    <row r="2116">
      <c r="A2116" s="4">
        <v>3841387.0</v>
      </c>
      <c r="B2116" s="11">
        <v>45489.0</v>
      </c>
    </row>
    <row r="2117">
      <c r="A2117" s="4">
        <v>3841387.0</v>
      </c>
      <c r="B2117" s="11">
        <v>45490.0</v>
      </c>
    </row>
    <row r="2118">
      <c r="A2118" s="4">
        <v>3841387.0</v>
      </c>
      <c r="B2118" s="11">
        <v>45491.0</v>
      </c>
    </row>
    <row r="2119">
      <c r="A2119" s="4">
        <v>3841387.0</v>
      </c>
      <c r="B2119" s="11">
        <v>45492.0</v>
      </c>
    </row>
    <row r="2120">
      <c r="A2120" s="4">
        <v>3841387.0</v>
      </c>
      <c r="B2120" s="11">
        <v>45493.0</v>
      </c>
    </row>
    <row r="2121">
      <c r="A2121" s="4">
        <v>3841387.0</v>
      </c>
      <c r="B2121" s="11">
        <v>45494.0</v>
      </c>
    </row>
    <row r="2122">
      <c r="A2122" s="4">
        <v>3841387.0</v>
      </c>
      <c r="B2122" s="11">
        <v>45495.0</v>
      </c>
    </row>
    <row r="2123">
      <c r="A2123" s="4">
        <v>3841387.0</v>
      </c>
      <c r="B2123" s="11">
        <v>45496.0</v>
      </c>
    </row>
    <row r="2124">
      <c r="A2124" s="4">
        <v>3841387.0</v>
      </c>
      <c r="B2124" s="11">
        <v>45581.0</v>
      </c>
    </row>
    <row r="2125">
      <c r="A2125" s="4">
        <v>3841387.0</v>
      </c>
      <c r="B2125" s="11">
        <v>45582.0</v>
      </c>
    </row>
    <row r="2126">
      <c r="A2126" s="4">
        <v>3841387.0</v>
      </c>
      <c r="B2126" s="11">
        <v>45583.0</v>
      </c>
    </row>
    <row r="2127">
      <c r="A2127" s="4">
        <v>3841387.0</v>
      </c>
      <c r="B2127" s="11">
        <v>45584.0</v>
      </c>
    </row>
    <row r="2128">
      <c r="A2128" s="4">
        <v>3841387.0</v>
      </c>
      <c r="B2128" s="11">
        <v>45585.0</v>
      </c>
    </row>
    <row r="2129">
      <c r="A2129" s="4">
        <v>3841387.0</v>
      </c>
      <c r="B2129" s="11">
        <v>45586.0</v>
      </c>
    </row>
    <row r="2130">
      <c r="A2130" s="4">
        <v>3841387.0</v>
      </c>
      <c r="B2130" s="11">
        <v>45587.0</v>
      </c>
    </row>
    <row r="2131">
      <c r="A2131" s="4">
        <v>3841387.0</v>
      </c>
      <c r="B2131" s="11">
        <v>45588.0</v>
      </c>
    </row>
    <row r="2132">
      <c r="A2132" s="4">
        <v>3841387.0</v>
      </c>
      <c r="B2132" s="11">
        <v>45703.0</v>
      </c>
    </row>
    <row r="2133">
      <c r="A2133" s="4">
        <v>3841387.0</v>
      </c>
      <c r="B2133" s="11">
        <v>45704.0</v>
      </c>
    </row>
    <row r="2134">
      <c r="A2134" s="4">
        <v>3841387.0</v>
      </c>
      <c r="B2134" s="11">
        <v>45705.0</v>
      </c>
    </row>
    <row r="2135">
      <c r="A2135" s="4">
        <v>3841387.0</v>
      </c>
      <c r="B2135" s="11">
        <v>45706.0</v>
      </c>
    </row>
    <row r="2136">
      <c r="A2136" s="4">
        <v>3841387.0</v>
      </c>
      <c r="B2136" s="11">
        <v>45707.0</v>
      </c>
    </row>
    <row r="2137">
      <c r="A2137" s="4">
        <v>3841387.0</v>
      </c>
      <c r="B2137" s="11">
        <v>45708.0</v>
      </c>
    </row>
    <row r="2138">
      <c r="A2138" s="4">
        <v>3841387.0</v>
      </c>
      <c r="B2138" s="11">
        <v>45709.0</v>
      </c>
    </row>
    <row r="2139">
      <c r="A2139" s="4">
        <v>3841387.0</v>
      </c>
      <c r="B2139" s="11">
        <v>45710.0</v>
      </c>
    </row>
    <row r="2140">
      <c r="A2140" s="4">
        <v>3841387.0</v>
      </c>
      <c r="B2140" s="11">
        <v>45711.0</v>
      </c>
    </row>
    <row r="2141">
      <c r="A2141" s="4">
        <v>3841387.0</v>
      </c>
      <c r="B2141" s="11">
        <v>45712.0</v>
      </c>
    </row>
    <row r="2142">
      <c r="A2142" s="4">
        <v>3841387.0</v>
      </c>
      <c r="B2142" s="11">
        <v>45713.0</v>
      </c>
    </row>
    <row r="2143">
      <c r="A2143" s="4">
        <v>3841387.0</v>
      </c>
      <c r="B2143" s="11">
        <v>45714.0</v>
      </c>
    </row>
    <row r="2144">
      <c r="A2144" s="4">
        <v>3841387.0</v>
      </c>
      <c r="B2144" s="11">
        <v>45715.0</v>
      </c>
    </row>
    <row r="2145">
      <c r="A2145" s="4">
        <v>3841387.0</v>
      </c>
      <c r="B2145" s="11">
        <v>45716.0</v>
      </c>
    </row>
    <row r="2146">
      <c r="A2146" s="4">
        <v>3841387.0</v>
      </c>
      <c r="B2146" s="11">
        <v>45862.0</v>
      </c>
    </row>
    <row r="2147">
      <c r="A2147" s="4">
        <v>3841387.0</v>
      </c>
      <c r="B2147" s="11">
        <v>45863.0</v>
      </c>
    </row>
    <row r="2148">
      <c r="A2148" s="4">
        <v>3841387.0</v>
      </c>
      <c r="B2148" s="11">
        <v>45864.0</v>
      </c>
    </row>
    <row r="2149">
      <c r="A2149" s="4">
        <v>3841387.0</v>
      </c>
      <c r="B2149" s="11">
        <v>45865.0</v>
      </c>
    </row>
    <row r="2150">
      <c r="A2150" s="4">
        <v>3841387.0</v>
      </c>
      <c r="B2150" s="11">
        <v>45866.0</v>
      </c>
    </row>
    <row r="2151">
      <c r="A2151" s="4">
        <v>3841387.0</v>
      </c>
      <c r="B2151" s="11">
        <v>45867.0</v>
      </c>
    </row>
    <row r="2152">
      <c r="A2152" s="4">
        <v>3841387.0</v>
      </c>
      <c r="B2152" s="11">
        <v>45868.0</v>
      </c>
    </row>
    <row r="2153">
      <c r="A2153" s="4">
        <v>3841387.0</v>
      </c>
      <c r="B2153" s="11">
        <v>45869.0</v>
      </c>
    </row>
    <row r="2154">
      <c r="A2154" s="4">
        <v>3841387.0</v>
      </c>
      <c r="B2154" s="11">
        <v>45870.0</v>
      </c>
    </row>
    <row r="2155">
      <c r="A2155" s="4">
        <v>3841387.0</v>
      </c>
      <c r="B2155" s="11">
        <v>45871.0</v>
      </c>
    </row>
    <row r="2156">
      <c r="A2156" s="4">
        <v>3841387.0</v>
      </c>
      <c r="B2156" s="11">
        <v>45872.0</v>
      </c>
    </row>
    <row r="2157">
      <c r="A2157" s="4">
        <v>3841387.0</v>
      </c>
      <c r="B2157" s="11">
        <v>45873.0</v>
      </c>
    </row>
    <row r="2158">
      <c r="A2158" s="4">
        <v>3841387.0</v>
      </c>
      <c r="B2158" s="11">
        <v>45874.0</v>
      </c>
    </row>
    <row r="2159">
      <c r="A2159" s="4">
        <v>3841387.0</v>
      </c>
      <c r="B2159" s="11">
        <v>45875.0</v>
      </c>
    </row>
    <row r="2160">
      <c r="A2160" s="4">
        <v>3841387.0</v>
      </c>
      <c r="B2160" s="11">
        <v>45876.0</v>
      </c>
    </row>
    <row r="2161">
      <c r="A2161" s="4">
        <v>3841387.0</v>
      </c>
      <c r="B2161" s="11">
        <v>45877.0</v>
      </c>
    </row>
    <row r="2162">
      <c r="A2162" s="4">
        <v>3841387.0</v>
      </c>
      <c r="B2162" s="11">
        <v>45878.0</v>
      </c>
    </row>
    <row r="2163">
      <c r="A2163" s="4">
        <v>3841387.0</v>
      </c>
      <c r="B2163" s="11">
        <v>45879.0</v>
      </c>
    </row>
    <row r="2164">
      <c r="A2164" s="4">
        <v>3841387.0</v>
      </c>
      <c r="B2164" s="11">
        <v>45880.0</v>
      </c>
    </row>
    <row r="2165">
      <c r="A2165" s="4">
        <v>3841387.0</v>
      </c>
      <c r="B2165" s="11">
        <v>45881.0</v>
      </c>
    </row>
    <row r="2166">
      <c r="A2166" s="4">
        <v>3841387.0</v>
      </c>
      <c r="B2166" s="11">
        <v>45882.0</v>
      </c>
    </row>
    <row r="2167">
      <c r="A2167" s="4">
        <v>3841387.0</v>
      </c>
      <c r="B2167" s="11">
        <v>45883.0</v>
      </c>
    </row>
    <row r="2168">
      <c r="A2168" s="4">
        <v>3841387.0</v>
      </c>
      <c r="B2168" s="11">
        <v>45884.0</v>
      </c>
    </row>
    <row r="2169">
      <c r="A2169" s="4">
        <v>3841387.0</v>
      </c>
      <c r="B2169" s="11">
        <v>46038.0</v>
      </c>
    </row>
    <row r="2170">
      <c r="A2170" s="4">
        <v>3841387.0</v>
      </c>
      <c r="B2170" s="11">
        <v>46039.0</v>
      </c>
    </row>
    <row r="2171">
      <c r="A2171" s="4">
        <v>3841387.0</v>
      </c>
      <c r="B2171" s="11">
        <v>46040.0</v>
      </c>
    </row>
    <row r="2172">
      <c r="A2172" s="4">
        <v>3841387.0</v>
      </c>
      <c r="B2172" s="11">
        <v>46041.0</v>
      </c>
    </row>
    <row r="2173">
      <c r="A2173" s="4">
        <v>3841387.0</v>
      </c>
      <c r="B2173" s="11">
        <v>46042.0</v>
      </c>
    </row>
    <row r="2174">
      <c r="A2174" s="4">
        <v>3841387.0</v>
      </c>
      <c r="B2174" s="11">
        <v>46043.0</v>
      </c>
    </row>
    <row r="2175">
      <c r="A2175" s="4">
        <v>3841387.0</v>
      </c>
      <c r="B2175" s="11">
        <v>46044.0</v>
      </c>
    </row>
    <row r="2176">
      <c r="A2176" s="4">
        <v>3841387.0</v>
      </c>
      <c r="B2176" s="11">
        <v>46045.0</v>
      </c>
    </row>
    <row r="2177">
      <c r="A2177" s="4">
        <v>3841387.0</v>
      </c>
      <c r="B2177" s="11">
        <v>46174.0</v>
      </c>
    </row>
    <row r="2178">
      <c r="A2178" s="4">
        <v>3841387.0</v>
      </c>
      <c r="B2178" s="11">
        <v>46175.0</v>
      </c>
    </row>
    <row r="2179">
      <c r="A2179" s="4">
        <v>3841387.0</v>
      </c>
      <c r="B2179" s="11">
        <v>46176.0</v>
      </c>
    </row>
    <row r="2180">
      <c r="A2180" s="4">
        <v>3841387.0</v>
      </c>
      <c r="B2180" s="11">
        <v>46177.0</v>
      </c>
    </row>
    <row r="2181">
      <c r="A2181" s="4">
        <v>3841387.0</v>
      </c>
      <c r="B2181" s="11">
        <v>46178.0</v>
      </c>
    </row>
    <row r="2182">
      <c r="A2182" s="4">
        <v>3841387.0</v>
      </c>
      <c r="B2182" s="11">
        <v>46179.0</v>
      </c>
    </row>
    <row r="2183">
      <c r="A2183" s="4">
        <v>3841387.0</v>
      </c>
      <c r="B2183" s="11">
        <v>46180.0</v>
      </c>
    </row>
    <row r="2184">
      <c r="A2184" s="4">
        <v>3841387.0</v>
      </c>
      <c r="B2184" s="11">
        <v>46218.0</v>
      </c>
    </row>
    <row r="2185">
      <c r="A2185" s="4">
        <v>3841387.0</v>
      </c>
      <c r="B2185" s="11">
        <v>46219.0</v>
      </c>
    </row>
    <row r="2186">
      <c r="A2186" s="4">
        <v>3841387.0</v>
      </c>
      <c r="B2186" s="11">
        <v>46220.0</v>
      </c>
    </row>
    <row r="2187">
      <c r="A2187" s="4">
        <v>3841387.0</v>
      </c>
      <c r="B2187" s="11">
        <v>46221.0</v>
      </c>
    </row>
    <row r="2188">
      <c r="A2188" s="4">
        <v>3841387.0</v>
      </c>
      <c r="B2188" s="11">
        <v>46222.0</v>
      </c>
    </row>
    <row r="2189">
      <c r="A2189" s="4">
        <v>3841387.0</v>
      </c>
      <c r="B2189" s="11">
        <v>46223.0</v>
      </c>
    </row>
    <row r="2190">
      <c r="A2190" s="4">
        <v>3841387.0</v>
      </c>
      <c r="B2190" s="11">
        <v>46224.0</v>
      </c>
    </row>
    <row r="2191">
      <c r="A2191" s="4">
        <v>3841387.0</v>
      </c>
      <c r="B2191" s="11">
        <v>46225.0</v>
      </c>
    </row>
    <row r="2192">
      <c r="A2192" s="4">
        <v>3841387.0</v>
      </c>
      <c r="B2192" s="11">
        <v>46226.0</v>
      </c>
    </row>
    <row r="2193">
      <c r="A2193" s="4">
        <v>3841387.0</v>
      </c>
      <c r="B2193" s="11">
        <v>46227.0</v>
      </c>
    </row>
    <row r="2194">
      <c r="A2194" s="4">
        <v>3841387.0</v>
      </c>
      <c r="B2194" s="11">
        <v>46228.0</v>
      </c>
    </row>
    <row r="2195">
      <c r="A2195" s="4">
        <v>3841387.0</v>
      </c>
      <c r="B2195" s="11">
        <v>46229.0</v>
      </c>
    </row>
    <row r="2196">
      <c r="A2196" s="4">
        <v>3841387.0</v>
      </c>
      <c r="B2196" s="11">
        <v>46230.0</v>
      </c>
    </row>
    <row r="2197">
      <c r="A2197" s="4">
        <v>3841387.0</v>
      </c>
      <c r="B2197" s="11">
        <v>46231.0</v>
      </c>
    </row>
    <row r="2198">
      <c r="A2198" s="4">
        <v>3841387.0</v>
      </c>
      <c r="B2198" s="11">
        <v>46232.0</v>
      </c>
    </row>
    <row r="2199">
      <c r="A2199" s="4">
        <v>3841387.0</v>
      </c>
      <c r="B2199" s="11">
        <v>46233.0</v>
      </c>
    </row>
    <row r="2200">
      <c r="A2200" s="4">
        <v>3841387.0</v>
      </c>
      <c r="B2200" s="11">
        <v>46234.0</v>
      </c>
    </row>
    <row r="2201">
      <c r="A2201" s="4">
        <v>3841387.0</v>
      </c>
      <c r="B2201" s="11">
        <v>46235.0</v>
      </c>
    </row>
    <row r="2202">
      <c r="A2202" s="4">
        <v>3841387.0</v>
      </c>
      <c r="B2202" s="11">
        <v>46236.0</v>
      </c>
    </row>
    <row r="2203">
      <c r="A2203" s="4">
        <v>3841387.0</v>
      </c>
      <c r="B2203" s="11">
        <v>46237.0</v>
      </c>
    </row>
    <row r="2204">
      <c r="A2204" s="4">
        <v>3841387.0</v>
      </c>
      <c r="B2204" s="11">
        <v>46238.0</v>
      </c>
    </row>
    <row r="2205">
      <c r="A2205" s="4">
        <v>3841387.0</v>
      </c>
      <c r="B2205" s="11">
        <v>46239.0</v>
      </c>
    </row>
    <row r="2206">
      <c r="A2206" s="4">
        <v>3841387.0</v>
      </c>
      <c r="B2206" s="11">
        <v>46240.0</v>
      </c>
    </row>
    <row r="2207">
      <c r="A2207" s="4">
        <v>3841387.0</v>
      </c>
      <c r="B2207" s="11">
        <v>46241.0</v>
      </c>
    </row>
    <row r="2208">
      <c r="A2208" s="4">
        <v>3852423.0</v>
      </c>
      <c r="B2208" s="11">
        <v>45444.0</v>
      </c>
    </row>
    <row r="2209">
      <c r="A2209" s="4">
        <v>3852423.0</v>
      </c>
      <c r="B2209" s="11">
        <v>45445.0</v>
      </c>
    </row>
    <row r="2210">
      <c r="A2210" s="4">
        <v>3852423.0</v>
      </c>
      <c r="B2210" s="11">
        <v>45446.0</v>
      </c>
    </row>
    <row r="2211">
      <c r="A2211" s="4">
        <v>3852423.0</v>
      </c>
      <c r="B2211" s="11">
        <v>45447.0</v>
      </c>
    </row>
    <row r="2212">
      <c r="A2212" s="4">
        <v>3852423.0</v>
      </c>
      <c r="B2212" s="11">
        <v>45448.0</v>
      </c>
    </row>
    <row r="2213">
      <c r="A2213" s="4">
        <v>3852423.0</v>
      </c>
      <c r="B2213" s="11">
        <v>45449.0</v>
      </c>
    </row>
    <row r="2214">
      <c r="A2214" s="4">
        <v>3852423.0</v>
      </c>
      <c r="B2214" s="11">
        <v>45450.0</v>
      </c>
    </row>
    <row r="2215">
      <c r="A2215" s="4">
        <v>3852423.0</v>
      </c>
      <c r="B2215" s="11">
        <v>45536.0</v>
      </c>
    </row>
    <row r="2216">
      <c r="A2216" s="4">
        <v>3852423.0</v>
      </c>
      <c r="B2216" s="11">
        <v>45537.0</v>
      </c>
    </row>
    <row r="2217">
      <c r="A2217" s="4">
        <v>3852423.0</v>
      </c>
      <c r="B2217" s="11">
        <v>45538.0</v>
      </c>
    </row>
    <row r="2218">
      <c r="A2218" s="4">
        <v>3852423.0</v>
      </c>
      <c r="B2218" s="11">
        <v>45539.0</v>
      </c>
    </row>
    <row r="2219">
      <c r="A2219" s="4">
        <v>3852423.0</v>
      </c>
      <c r="B2219" s="11">
        <v>45540.0</v>
      </c>
    </row>
    <row r="2220">
      <c r="A2220" s="4">
        <v>3852423.0</v>
      </c>
      <c r="B2220" s="11">
        <v>45541.0</v>
      </c>
    </row>
    <row r="2221">
      <c r="A2221" s="4">
        <v>3852423.0</v>
      </c>
      <c r="B2221" s="11">
        <v>45542.0</v>
      </c>
    </row>
    <row r="2222">
      <c r="A2222" s="4">
        <v>3852423.0</v>
      </c>
      <c r="B2222" s="11">
        <v>45543.0</v>
      </c>
    </row>
    <row r="2223">
      <c r="A2223" s="4">
        <v>3852423.0</v>
      </c>
      <c r="B2223" s="11">
        <v>45544.0</v>
      </c>
    </row>
    <row r="2224">
      <c r="A2224" s="4">
        <v>3852423.0</v>
      </c>
      <c r="B2224" s="11">
        <v>45545.0</v>
      </c>
    </row>
    <row r="2225">
      <c r="A2225" s="4">
        <v>3852423.0</v>
      </c>
      <c r="B2225" s="11">
        <v>45546.0</v>
      </c>
    </row>
    <row r="2226">
      <c r="A2226" s="4">
        <v>3852423.0</v>
      </c>
      <c r="B2226" s="11">
        <v>45547.0</v>
      </c>
    </row>
    <row r="2227">
      <c r="A2227" s="4">
        <v>3852423.0</v>
      </c>
      <c r="B2227" s="11">
        <v>45548.0</v>
      </c>
    </row>
    <row r="2228">
      <c r="A2228" s="4">
        <v>3852423.0</v>
      </c>
      <c r="B2228" s="11">
        <v>45549.0</v>
      </c>
    </row>
    <row r="2229">
      <c r="A2229" s="4">
        <v>3852423.0</v>
      </c>
      <c r="B2229" s="11">
        <v>45550.0</v>
      </c>
    </row>
    <row r="2230">
      <c r="A2230" s="4">
        <v>3852423.0</v>
      </c>
      <c r="B2230" s="11">
        <v>45665.0</v>
      </c>
    </row>
    <row r="2231">
      <c r="A2231" s="4">
        <v>3852423.0</v>
      </c>
      <c r="B2231" s="11">
        <v>45666.0</v>
      </c>
    </row>
    <row r="2232">
      <c r="A2232" s="4">
        <v>3852423.0</v>
      </c>
      <c r="B2232" s="11">
        <v>45667.0</v>
      </c>
    </row>
    <row r="2233">
      <c r="A2233" s="4">
        <v>3852423.0</v>
      </c>
      <c r="B2233" s="11">
        <v>45668.0</v>
      </c>
    </row>
    <row r="2234">
      <c r="A2234" s="4">
        <v>3852423.0</v>
      </c>
      <c r="B2234" s="11">
        <v>45669.0</v>
      </c>
    </row>
    <row r="2235">
      <c r="A2235" s="4">
        <v>3852423.0</v>
      </c>
      <c r="B2235" s="11">
        <v>45670.0</v>
      </c>
    </row>
    <row r="2236">
      <c r="A2236" s="4">
        <v>3852423.0</v>
      </c>
      <c r="B2236" s="11">
        <v>45671.0</v>
      </c>
    </row>
    <row r="2237">
      <c r="A2237" s="4">
        <v>3852423.0</v>
      </c>
      <c r="B2237" s="11">
        <v>45672.0</v>
      </c>
    </row>
    <row r="2238">
      <c r="A2238" s="4">
        <v>3852423.0</v>
      </c>
      <c r="B2238" s="11">
        <v>45673.0</v>
      </c>
    </row>
    <row r="2239">
      <c r="A2239" s="4">
        <v>3852423.0</v>
      </c>
      <c r="B2239" s="11">
        <v>45674.0</v>
      </c>
    </row>
    <row r="2240">
      <c r="A2240" s="4">
        <v>3852423.0</v>
      </c>
      <c r="B2240" s="11">
        <v>45675.0</v>
      </c>
    </row>
    <row r="2241">
      <c r="A2241" s="4">
        <v>3852423.0</v>
      </c>
      <c r="B2241" s="11">
        <v>45676.0</v>
      </c>
    </row>
    <row r="2242">
      <c r="A2242" s="4">
        <v>3852423.0</v>
      </c>
      <c r="B2242" s="11">
        <v>45677.0</v>
      </c>
    </row>
    <row r="2243">
      <c r="A2243" s="4">
        <v>3852423.0</v>
      </c>
      <c r="B2243" s="11">
        <v>45678.0</v>
      </c>
    </row>
    <row r="2244">
      <c r="A2244" s="4">
        <v>3852423.0</v>
      </c>
      <c r="B2244" s="11">
        <v>45679.0</v>
      </c>
    </row>
    <row r="2245">
      <c r="A2245" s="4">
        <v>3852423.0</v>
      </c>
      <c r="B2245" s="11">
        <v>45680.0</v>
      </c>
    </row>
    <row r="2246">
      <c r="A2246" s="4">
        <v>3852423.0</v>
      </c>
      <c r="B2246" s="11">
        <v>45771.0</v>
      </c>
    </row>
    <row r="2247">
      <c r="A2247" s="4">
        <v>3852423.0</v>
      </c>
      <c r="B2247" s="11">
        <v>45772.0</v>
      </c>
    </row>
    <row r="2248">
      <c r="A2248" s="4">
        <v>3852423.0</v>
      </c>
      <c r="B2248" s="11">
        <v>45773.0</v>
      </c>
    </row>
    <row r="2249">
      <c r="A2249" s="4">
        <v>3852423.0</v>
      </c>
      <c r="B2249" s="11">
        <v>45774.0</v>
      </c>
    </row>
    <row r="2250">
      <c r="A2250" s="4">
        <v>3852423.0</v>
      </c>
      <c r="B2250" s="11">
        <v>45775.0</v>
      </c>
    </row>
    <row r="2251">
      <c r="A2251" s="4">
        <v>3852423.0</v>
      </c>
      <c r="B2251" s="11">
        <v>45776.0</v>
      </c>
    </row>
    <row r="2252">
      <c r="A2252" s="4">
        <v>3852423.0</v>
      </c>
      <c r="B2252" s="11">
        <v>45777.0</v>
      </c>
    </row>
    <row r="2253">
      <c r="A2253" s="4">
        <v>3852423.0</v>
      </c>
      <c r="B2253" s="11">
        <v>45778.0</v>
      </c>
    </row>
    <row r="2254">
      <c r="A2254" s="4">
        <v>3852423.0</v>
      </c>
      <c r="B2254" s="11">
        <v>45931.0</v>
      </c>
    </row>
    <row r="2255">
      <c r="A2255" s="4">
        <v>3852423.0</v>
      </c>
      <c r="B2255" s="11">
        <v>45932.0</v>
      </c>
    </row>
    <row r="2256">
      <c r="A2256" s="4">
        <v>3852423.0</v>
      </c>
      <c r="B2256" s="11">
        <v>45933.0</v>
      </c>
    </row>
    <row r="2257">
      <c r="A2257" s="4">
        <v>3852423.0</v>
      </c>
      <c r="B2257" s="11">
        <v>45934.0</v>
      </c>
    </row>
    <row r="2258">
      <c r="A2258" s="4">
        <v>3852423.0</v>
      </c>
      <c r="B2258" s="11">
        <v>45935.0</v>
      </c>
    </row>
    <row r="2259">
      <c r="A2259" s="4">
        <v>3852423.0</v>
      </c>
      <c r="B2259" s="11">
        <v>45936.0</v>
      </c>
    </row>
    <row r="2260">
      <c r="A2260" s="4">
        <v>3852423.0</v>
      </c>
      <c r="B2260" s="11">
        <v>45937.0</v>
      </c>
    </row>
    <row r="2261">
      <c r="A2261" s="4">
        <v>3852423.0</v>
      </c>
      <c r="B2261" s="11">
        <v>45938.0</v>
      </c>
    </row>
    <row r="2262">
      <c r="A2262" s="4">
        <v>3852423.0</v>
      </c>
      <c r="B2262" s="11">
        <v>45939.0</v>
      </c>
    </row>
    <row r="2263">
      <c r="A2263" s="4">
        <v>3852423.0</v>
      </c>
      <c r="B2263" s="11">
        <v>45940.0</v>
      </c>
    </row>
    <row r="2264">
      <c r="A2264" s="4">
        <v>3852423.0</v>
      </c>
      <c r="B2264" s="11">
        <v>45941.0</v>
      </c>
    </row>
    <row r="2265">
      <c r="A2265" s="4">
        <v>3852423.0</v>
      </c>
      <c r="B2265" s="11">
        <v>45942.0</v>
      </c>
    </row>
    <row r="2266">
      <c r="A2266" s="4">
        <v>3852423.0</v>
      </c>
      <c r="B2266" s="11">
        <v>45943.0</v>
      </c>
    </row>
    <row r="2267">
      <c r="A2267" s="4">
        <v>3852423.0</v>
      </c>
      <c r="B2267" s="11">
        <v>45944.0</v>
      </c>
    </row>
    <row r="2268">
      <c r="A2268" s="4">
        <v>3852423.0</v>
      </c>
      <c r="B2268" s="11">
        <v>45945.0</v>
      </c>
    </row>
    <row r="2269">
      <c r="A2269" s="4">
        <v>3852423.0</v>
      </c>
      <c r="B2269" s="11">
        <v>46105.0</v>
      </c>
    </row>
    <row r="2270">
      <c r="A2270" s="4">
        <v>3852423.0</v>
      </c>
      <c r="B2270" s="11">
        <v>46106.0</v>
      </c>
    </row>
    <row r="2271">
      <c r="A2271" s="4">
        <v>3852423.0</v>
      </c>
      <c r="B2271" s="11">
        <v>46107.0</v>
      </c>
    </row>
    <row r="2272">
      <c r="A2272" s="4">
        <v>3852423.0</v>
      </c>
      <c r="B2272" s="11">
        <v>46108.0</v>
      </c>
    </row>
    <row r="2273">
      <c r="A2273" s="4">
        <v>3852423.0</v>
      </c>
      <c r="B2273" s="11">
        <v>46109.0</v>
      </c>
    </row>
    <row r="2274">
      <c r="A2274" s="4">
        <v>3852423.0</v>
      </c>
      <c r="B2274" s="11">
        <v>46110.0</v>
      </c>
    </row>
    <row r="2275">
      <c r="A2275" s="4">
        <v>3852423.0</v>
      </c>
      <c r="B2275" s="11">
        <v>46111.0</v>
      </c>
    </row>
    <row r="2276">
      <c r="A2276" s="4">
        <v>3852423.0</v>
      </c>
      <c r="B2276" s="11">
        <v>46112.0</v>
      </c>
    </row>
    <row r="2277">
      <c r="A2277" s="4">
        <v>3852423.0</v>
      </c>
      <c r="B2277" s="11">
        <v>46158.0</v>
      </c>
    </row>
    <row r="2278">
      <c r="A2278" s="4">
        <v>3852423.0</v>
      </c>
      <c r="B2278" s="11">
        <v>46159.0</v>
      </c>
    </row>
    <row r="2279">
      <c r="A2279" s="4">
        <v>3852423.0</v>
      </c>
      <c r="B2279" s="11">
        <v>46160.0</v>
      </c>
    </row>
    <row r="2280">
      <c r="A2280" s="4">
        <v>3852423.0</v>
      </c>
      <c r="B2280" s="11">
        <v>46161.0</v>
      </c>
    </row>
    <row r="2281">
      <c r="A2281" s="4">
        <v>3852423.0</v>
      </c>
      <c r="B2281" s="11">
        <v>46162.0</v>
      </c>
    </row>
    <row r="2282">
      <c r="A2282" s="4">
        <v>3852423.0</v>
      </c>
      <c r="B2282" s="11">
        <v>46163.0</v>
      </c>
    </row>
    <row r="2283">
      <c r="A2283" s="4">
        <v>3852423.0</v>
      </c>
      <c r="B2283" s="11">
        <v>46164.0</v>
      </c>
    </row>
    <row r="2284">
      <c r="A2284" s="4">
        <v>3852423.0</v>
      </c>
      <c r="B2284" s="11">
        <v>46165.0</v>
      </c>
    </row>
    <row r="2285">
      <c r="A2285" s="4">
        <v>3852423.0</v>
      </c>
      <c r="B2285" s="11">
        <v>46189.0</v>
      </c>
    </row>
    <row r="2286">
      <c r="A2286" s="4">
        <v>3852423.0</v>
      </c>
      <c r="B2286" s="11">
        <v>46190.0</v>
      </c>
    </row>
    <row r="2287">
      <c r="A2287" s="4">
        <v>3852423.0</v>
      </c>
      <c r="B2287" s="11">
        <v>46191.0</v>
      </c>
    </row>
    <row r="2288">
      <c r="A2288" s="4">
        <v>3852423.0</v>
      </c>
      <c r="B2288" s="11">
        <v>46192.0</v>
      </c>
    </row>
    <row r="2289">
      <c r="A2289" s="4">
        <v>3852423.0</v>
      </c>
      <c r="B2289" s="11">
        <v>46193.0</v>
      </c>
    </row>
    <row r="2290">
      <c r="A2290" s="4">
        <v>3852423.0</v>
      </c>
      <c r="B2290" s="11">
        <v>46194.0</v>
      </c>
    </row>
    <row r="2291">
      <c r="A2291" s="4">
        <v>3852423.0</v>
      </c>
      <c r="B2291" s="11">
        <v>46195.0</v>
      </c>
    </row>
    <row r="2292">
      <c r="A2292" s="4">
        <v>3852423.0</v>
      </c>
      <c r="B2292" s="11">
        <v>46242.0</v>
      </c>
    </row>
    <row r="2293">
      <c r="A2293" s="4">
        <v>3852423.0</v>
      </c>
      <c r="B2293" s="11">
        <v>46243.0</v>
      </c>
    </row>
    <row r="2294">
      <c r="A2294" s="4">
        <v>3852423.0</v>
      </c>
      <c r="B2294" s="11">
        <v>46244.0</v>
      </c>
    </row>
    <row r="2295">
      <c r="A2295" s="4">
        <v>3852423.0</v>
      </c>
      <c r="B2295" s="11">
        <v>46245.0</v>
      </c>
    </row>
    <row r="2296">
      <c r="A2296" s="4">
        <v>3852423.0</v>
      </c>
      <c r="B2296" s="11">
        <v>46246.0</v>
      </c>
    </row>
    <row r="2297">
      <c r="A2297" s="4">
        <v>3852423.0</v>
      </c>
      <c r="B2297" s="11">
        <v>46247.0</v>
      </c>
    </row>
    <row r="2298">
      <c r="A2298" s="4">
        <v>3852423.0</v>
      </c>
      <c r="B2298" s="11">
        <v>46248.0</v>
      </c>
    </row>
    <row r="2299">
      <c r="A2299" s="4">
        <v>3852423.0</v>
      </c>
      <c r="B2299" s="11">
        <v>46249.0</v>
      </c>
    </row>
    <row r="2300">
      <c r="A2300" s="4">
        <v>3852423.0</v>
      </c>
      <c r="B2300" s="11">
        <v>46250.0</v>
      </c>
    </row>
    <row r="2301">
      <c r="A2301" s="4">
        <v>3852423.0</v>
      </c>
      <c r="B2301" s="11">
        <v>46251.0</v>
      </c>
    </row>
    <row r="2302">
      <c r="A2302" s="4">
        <v>3852423.0</v>
      </c>
      <c r="B2302" s="11">
        <v>46252.0</v>
      </c>
    </row>
    <row r="2303">
      <c r="A2303" s="4">
        <v>3852423.0</v>
      </c>
      <c r="B2303" s="11">
        <v>46253.0</v>
      </c>
    </row>
    <row r="2304">
      <c r="A2304" s="4">
        <v>3852423.0</v>
      </c>
      <c r="B2304" s="11">
        <v>46254.0</v>
      </c>
    </row>
    <row r="2305">
      <c r="A2305" s="4">
        <v>3852423.0</v>
      </c>
      <c r="B2305" s="11">
        <v>46255.0</v>
      </c>
    </row>
    <row r="2306">
      <c r="A2306" s="4">
        <v>3852423.0</v>
      </c>
      <c r="B2306" s="11">
        <v>46256.0</v>
      </c>
    </row>
    <row r="2307">
      <c r="A2307" s="4">
        <v>3852423.0</v>
      </c>
      <c r="B2307" s="11">
        <v>46257.0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186</v>
      </c>
      <c r="B1" s="4" t="s">
        <v>273</v>
      </c>
      <c r="C1" s="4" t="s">
        <v>274</v>
      </c>
      <c r="D1" s="4" t="s">
        <v>60</v>
      </c>
      <c r="E1" s="4" t="s">
        <v>275</v>
      </c>
    </row>
    <row r="2">
      <c r="A2" s="4">
        <v>29530.0</v>
      </c>
      <c r="B2" s="11">
        <v>46296.0</v>
      </c>
      <c r="C2" s="11">
        <v>46310.0</v>
      </c>
      <c r="D2" s="7">
        <v>15.0</v>
      </c>
      <c r="E2" s="11">
        <v>46230.0</v>
      </c>
    </row>
    <row r="3">
      <c r="A3" s="4">
        <v>29530.0</v>
      </c>
      <c r="B3" s="11">
        <v>46377.0</v>
      </c>
      <c r="C3" s="11">
        <v>46387.0</v>
      </c>
      <c r="D3" s="7">
        <v>11.0</v>
      </c>
      <c r="E3" s="11">
        <v>46230.0</v>
      </c>
    </row>
    <row r="4">
      <c r="A4" s="4">
        <v>1271571.0</v>
      </c>
      <c r="B4" s="11">
        <v>46279.0</v>
      </c>
      <c r="C4" s="11">
        <v>46313.0</v>
      </c>
      <c r="D4" s="7">
        <v>24.0</v>
      </c>
      <c r="E4" s="11">
        <v>46227.0</v>
      </c>
    </row>
    <row r="5">
      <c r="A5" s="4">
        <v>2369624.0</v>
      </c>
      <c r="B5" s="11">
        <v>46296.0</v>
      </c>
      <c r="C5" s="11">
        <v>46310.0</v>
      </c>
      <c r="D5" s="7">
        <v>15.0</v>
      </c>
      <c r="E5" s="11">
        <v>46230.0</v>
      </c>
    </row>
    <row r="6">
      <c r="A6" s="4">
        <v>2369624.0</v>
      </c>
      <c r="B6" s="11">
        <v>46266.0</v>
      </c>
      <c r="C6" s="11">
        <v>46272.0</v>
      </c>
      <c r="D6" s="7">
        <v>7.0</v>
      </c>
      <c r="E6" s="11">
        <v>46230.0</v>
      </c>
    </row>
    <row r="7">
      <c r="A7" s="4">
        <v>2369641.0</v>
      </c>
      <c r="B7" s="11">
        <v>46282.0</v>
      </c>
      <c r="C7" s="11">
        <v>46295.0</v>
      </c>
      <c r="D7" s="7">
        <v>14.0</v>
      </c>
      <c r="E7" s="11">
        <v>46230.0</v>
      </c>
    </row>
    <row r="8">
      <c r="A8" s="4">
        <v>2369641.0</v>
      </c>
      <c r="B8" s="11">
        <v>46349.0</v>
      </c>
      <c r="C8" s="11">
        <v>46356.0</v>
      </c>
      <c r="D8" s="7">
        <v>8.0</v>
      </c>
      <c r="E8" s="11">
        <v>46230.0</v>
      </c>
    </row>
    <row r="9">
      <c r="A9" s="4">
        <v>2415373.0</v>
      </c>
      <c r="B9" s="11">
        <v>46300.0</v>
      </c>
      <c r="C9" s="11">
        <v>46307.0</v>
      </c>
      <c r="D9" s="7">
        <v>8.0</v>
      </c>
      <c r="E9" s="11">
        <v>46234.0</v>
      </c>
    </row>
    <row r="10">
      <c r="A10" s="4">
        <v>2415373.0</v>
      </c>
      <c r="B10" s="11">
        <v>46308.0</v>
      </c>
      <c r="C10" s="11">
        <v>46314.0</v>
      </c>
      <c r="D10" s="7">
        <v>7.0</v>
      </c>
      <c r="E10" s="11">
        <v>46235.0</v>
      </c>
    </row>
    <row r="11">
      <c r="A11" s="4">
        <v>2440915.0</v>
      </c>
      <c r="B11" s="11">
        <v>46303.0</v>
      </c>
      <c r="C11" s="11">
        <v>46310.0</v>
      </c>
      <c r="D11" s="7">
        <v>8.0</v>
      </c>
      <c r="E11" s="11">
        <v>46230.0</v>
      </c>
    </row>
    <row r="12">
      <c r="A12" s="4">
        <v>2604360.0</v>
      </c>
      <c r="B12" s="11">
        <v>46281.0</v>
      </c>
      <c r="C12" s="11">
        <v>46295.0</v>
      </c>
      <c r="D12" s="7">
        <v>15.0</v>
      </c>
      <c r="E12" s="11">
        <v>46233.0</v>
      </c>
    </row>
    <row r="13">
      <c r="A13" s="4">
        <v>2604360.0</v>
      </c>
      <c r="B13" s="11">
        <v>46381.0</v>
      </c>
      <c r="C13" s="11">
        <v>46387.0</v>
      </c>
      <c r="D13" s="7">
        <v>7.0</v>
      </c>
      <c r="E13" s="11">
        <v>46233.0</v>
      </c>
    </row>
    <row r="14">
      <c r="A14" s="4">
        <v>2713993.0</v>
      </c>
      <c r="B14" s="11">
        <v>46300.0</v>
      </c>
      <c r="C14" s="11">
        <v>46315.0</v>
      </c>
      <c r="D14" s="7">
        <v>16.0</v>
      </c>
      <c r="E14" s="11">
        <v>46230.0</v>
      </c>
    </row>
    <row r="15">
      <c r="A15" s="4">
        <v>2713993.0</v>
      </c>
      <c r="B15" s="11">
        <v>46316.0</v>
      </c>
      <c r="C15" s="11">
        <v>46330.0</v>
      </c>
      <c r="D15" s="7">
        <v>15.0</v>
      </c>
      <c r="E15" s="11">
        <v>46230.0</v>
      </c>
    </row>
    <row r="16">
      <c r="A16" s="4">
        <v>2823133.0</v>
      </c>
      <c r="B16" s="11">
        <v>46370.0</v>
      </c>
      <c r="C16" s="11">
        <v>46380.0</v>
      </c>
      <c r="D16" s="7">
        <v>11.0</v>
      </c>
      <c r="E16" s="11">
        <v>46230.0</v>
      </c>
    </row>
    <row r="17">
      <c r="A17" s="4">
        <v>2843319.0</v>
      </c>
      <c r="B17" s="11">
        <v>46303.0</v>
      </c>
      <c r="C17" s="11">
        <v>46318.0</v>
      </c>
      <c r="D17" s="7">
        <v>16.0</v>
      </c>
      <c r="E17" s="11">
        <v>46230.0</v>
      </c>
    </row>
    <row r="18">
      <c r="A18" s="4">
        <v>3134911.0</v>
      </c>
      <c r="B18" s="11">
        <v>46296.0</v>
      </c>
      <c r="C18" s="11">
        <v>46318.0</v>
      </c>
      <c r="D18" s="7">
        <v>23.0</v>
      </c>
      <c r="E18" s="11">
        <v>46230.0</v>
      </c>
    </row>
    <row r="19">
      <c r="A19" s="4">
        <v>3217561.0</v>
      </c>
      <c r="B19" s="11">
        <v>46281.0</v>
      </c>
      <c r="C19" s="11">
        <v>46295.0</v>
      </c>
      <c r="D19" s="7">
        <v>15.0</v>
      </c>
      <c r="E19" s="11">
        <v>46230.0</v>
      </c>
    </row>
    <row r="20">
      <c r="A20" s="4">
        <v>3217561.0</v>
      </c>
      <c r="B20" s="11">
        <v>46335.0</v>
      </c>
      <c r="C20" s="11">
        <v>46345.0</v>
      </c>
      <c r="D20" s="7">
        <v>11.0</v>
      </c>
      <c r="E20" s="11">
        <v>46230.0</v>
      </c>
    </row>
    <row r="21">
      <c r="A21" s="4">
        <v>3750335.0</v>
      </c>
      <c r="B21" s="11">
        <v>46273.0</v>
      </c>
      <c r="C21" s="11">
        <v>46279.0</v>
      </c>
      <c r="D21" s="7">
        <v>7.0</v>
      </c>
      <c r="E21" s="11">
        <v>46231.0</v>
      </c>
    </row>
    <row r="22">
      <c r="A22" s="4">
        <v>3750335.0</v>
      </c>
      <c r="B22" s="11">
        <v>46313.0</v>
      </c>
      <c r="C22" s="11">
        <v>46320.0</v>
      </c>
      <c r="D22" s="7">
        <v>8.0</v>
      </c>
      <c r="E22" s="11">
        <v>46231.0</v>
      </c>
    </row>
    <row r="23">
      <c r="A23" s="4">
        <v>3779550.0</v>
      </c>
      <c r="B23" s="11">
        <v>46328.0</v>
      </c>
      <c r="C23" s="11">
        <v>46342.0</v>
      </c>
      <c r="D23" s="7">
        <v>15.0</v>
      </c>
      <c r="E23" s="11">
        <v>46237.0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58</v>
      </c>
      <c r="B1" s="4" t="s">
        <v>186</v>
      </c>
      <c r="C1" s="4" t="s">
        <v>222</v>
      </c>
      <c r="D1" s="5" t="s">
        <v>60</v>
      </c>
      <c r="E1" s="4" t="s">
        <v>276</v>
      </c>
      <c r="F1" s="4" t="s">
        <v>277</v>
      </c>
      <c r="G1" s="4" t="s">
        <v>67</v>
      </c>
      <c r="H1" s="4" t="s">
        <v>278</v>
      </c>
      <c r="I1" s="4" t="s">
        <v>279</v>
      </c>
      <c r="J1" s="4" t="s">
        <v>280</v>
      </c>
      <c r="K1" s="4" t="s">
        <v>281</v>
      </c>
      <c r="L1" s="4" t="s">
        <v>282</v>
      </c>
      <c r="M1" s="4" t="s">
        <v>283</v>
      </c>
      <c r="N1" s="4" t="s">
        <v>284</v>
      </c>
      <c r="O1" s="4" t="s">
        <v>285</v>
      </c>
    </row>
    <row r="2">
      <c r="D2" s="5"/>
      <c r="F2" s="6"/>
      <c r="H2" s="6"/>
    </row>
    <row r="3">
      <c r="D3" s="5"/>
      <c r="F3" s="6"/>
      <c r="H3" s="6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8.14"/>
    <col customWidth="1" min="3" max="3" width="19.14"/>
  </cols>
  <sheetData>
    <row r="1">
      <c r="A1" s="5" t="s">
        <v>286</v>
      </c>
      <c r="B1" s="4" t="s">
        <v>287</v>
      </c>
      <c r="C1" s="4" t="s">
        <v>288</v>
      </c>
      <c r="D1" s="4" t="s">
        <v>289</v>
      </c>
    </row>
    <row r="2">
      <c r="A2" s="5" t="s">
        <v>194</v>
      </c>
      <c r="B2" s="4" t="s">
        <v>290</v>
      </c>
      <c r="C2" s="15">
        <v>46318.35980792824</v>
      </c>
      <c r="D2" s="4" t="s">
        <v>291</v>
      </c>
    </row>
    <row r="3">
      <c r="A3" s="5" t="s">
        <v>192</v>
      </c>
      <c r="B3" s="4" t="s">
        <v>292</v>
      </c>
      <c r="C3" s="15">
        <v>46318.35990074074</v>
      </c>
      <c r="D3" s="4" t="s">
        <v>291</v>
      </c>
    </row>
    <row r="4">
      <c r="A4" s="5" t="s">
        <v>197</v>
      </c>
      <c r="B4" s="4" t="s">
        <v>293</v>
      </c>
      <c r="C4" s="15">
        <v>46318.35997222222</v>
      </c>
      <c r="D4" s="4" t="s">
        <v>291</v>
      </c>
    </row>
    <row r="5">
      <c r="A5" s="5" t="s">
        <v>199</v>
      </c>
      <c r="B5" s="4" t="s">
        <v>294</v>
      </c>
      <c r="C5" s="15">
        <v>46318.36003630787</v>
      </c>
      <c r="D5" s="4" t="s">
        <v>291</v>
      </c>
    </row>
    <row r="6">
      <c r="A6" s="5" t="s">
        <v>188</v>
      </c>
      <c r="B6" s="4" t="s">
        <v>295</v>
      </c>
      <c r="C6" s="15">
        <v>46318.36008894676</v>
      </c>
      <c r="D6" s="4" t="s">
        <v>291</v>
      </c>
    </row>
    <row r="7">
      <c r="A7" s="5" t="s">
        <v>189</v>
      </c>
      <c r="B7" s="4" t="s">
        <v>296</v>
      </c>
      <c r="C7" s="15">
        <v>46318.3601556713</v>
      </c>
      <c r="D7" s="4" t="s">
        <v>291</v>
      </c>
    </row>
    <row r="8">
      <c r="A8" s="5" t="s">
        <v>208</v>
      </c>
      <c r="B8" s="4" t="s">
        <v>297</v>
      </c>
      <c r="C8" s="15">
        <v>46318.360212060186</v>
      </c>
      <c r="D8" s="4" t="s">
        <v>291</v>
      </c>
    </row>
    <row r="9">
      <c r="A9" s="5" t="s">
        <v>195</v>
      </c>
      <c r="B9" s="4" t="s">
        <v>298</v>
      </c>
      <c r="C9" s="15">
        <v>46318.36027662037</v>
      </c>
      <c r="D9" s="4" t="s">
        <v>291</v>
      </c>
    </row>
    <row r="10">
      <c r="A10" s="5" t="s">
        <v>200</v>
      </c>
      <c r="B10" s="4" t="s">
        <v>299</v>
      </c>
      <c r="C10" s="15">
        <v>46318.36037040509</v>
      </c>
      <c r="D10" s="4" t="s">
        <v>291</v>
      </c>
    </row>
    <row r="11">
      <c r="A11" s="5" t="s">
        <v>83</v>
      </c>
      <c r="B11" s="4" t="s">
        <v>300</v>
      </c>
      <c r="C11" s="15">
        <v>46318.36045157407</v>
      </c>
      <c r="D11" s="4" t="s">
        <v>291</v>
      </c>
    </row>
    <row r="12">
      <c r="A12" s="5" t="s">
        <v>202</v>
      </c>
      <c r="B12" s="4" t="s">
        <v>301</v>
      </c>
      <c r="C12" s="6">
        <v>46309.47098699074</v>
      </c>
      <c r="D12" s="4" t="s">
        <v>291</v>
      </c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16.43"/>
    <col customWidth="1" min="6" max="6" width="22.71"/>
  </cols>
  <sheetData>
    <row r="1">
      <c r="A1" s="5" t="s">
        <v>59</v>
      </c>
      <c r="B1" s="4" t="s">
        <v>302</v>
      </c>
      <c r="C1" s="4" t="s">
        <v>303</v>
      </c>
      <c r="D1" s="4" t="s">
        <v>5</v>
      </c>
      <c r="E1" s="4" t="s">
        <v>304</v>
      </c>
      <c r="F1" s="4" t="s">
        <v>67</v>
      </c>
      <c r="G1" s="4" t="s">
        <v>305</v>
      </c>
      <c r="H1" s="4" t="s">
        <v>306</v>
      </c>
    </row>
    <row r="2">
      <c r="A2" s="5" t="s">
        <v>194</v>
      </c>
      <c r="B2" s="16" t="s">
        <v>307</v>
      </c>
      <c r="C2" s="4" t="s">
        <v>308</v>
      </c>
      <c r="D2" s="4" t="s">
        <v>114</v>
      </c>
      <c r="E2" s="6">
        <v>46318.35983390047</v>
      </c>
      <c r="F2" s="4" t="s">
        <v>309</v>
      </c>
      <c r="G2" s="7">
        <v>22.0</v>
      </c>
      <c r="H2" s="4" t="s">
        <v>310</v>
      </c>
    </row>
    <row r="3">
      <c r="A3" s="5" t="s">
        <v>192</v>
      </c>
      <c r="B3" s="16" t="s">
        <v>311</v>
      </c>
      <c r="C3" s="4" t="s">
        <v>312</v>
      </c>
      <c r="D3" s="4" t="s">
        <v>114</v>
      </c>
      <c r="E3" s="6">
        <v>46318.35992127315</v>
      </c>
      <c r="F3" s="4" t="s">
        <v>309</v>
      </c>
      <c r="G3" s="7">
        <v>22.0</v>
      </c>
      <c r="H3" s="4" t="s">
        <v>313</v>
      </c>
    </row>
    <row r="4">
      <c r="A4" s="5" t="s">
        <v>197</v>
      </c>
      <c r="B4" s="16" t="s">
        <v>314</v>
      </c>
      <c r="C4" s="4" t="s">
        <v>315</v>
      </c>
      <c r="D4" s="4" t="s">
        <v>114</v>
      </c>
      <c r="E4" s="6">
        <v>46318.35999009259</v>
      </c>
      <c r="F4" s="4" t="s">
        <v>309</v>
      </c>
      <c r="G4" s="7">
        <v>22.0</v>
      </c>
      <c r="H4" s="4" t="s">
        <v>316</v>
      </c>
    </row>
    <row r="5">
      <c r="A5" s="5" t="s">
        <v>199</v>
      </c>
      <c r="B5" s="16" t="s">
        <v>317</v>
      </c>
      <c r="C5" s="4" t="s">
        <v>318</v>
      </c>
      <c r="D5" s="4" t="s">
        <v>114</v>
      </c>
      <c r="E5" s="6">
        <v>46318.36004626157</v>
      </c>
      <c r="F5" s="4" t="s">
        <v>309</v>
      </c>
      <c r="G5" s="7">
        <v>21.0</v>
      </c>
      <c r="H5" s="4" t="s">
        <v>319</v>
      </c>
    </row>
    <row r="6">
      <c r="A6" s="5" t="s">
        <v>188</v>
      </c>
      <c r="B6" s="16" t="s">
        <v>320</v>
      </c>
      <c r="C6" s="4" t="s">
        <v>321</v>
      </c>
      <c r="D6" s="4" t="s">
        <v>114</v>
      </c>
      <c r="E6" s="6">
        <v>46318.360105300926</v>
      </c>
      <c r="F6" s="4" t="s">
        <v>309</v>
      </c>
      <c r="G6" s="7">
        <v>21.0</v>
      </c>
      <c r="H6" s="4" t="s">
        <v>322</v>
      </c>
    </row>
    <row r="7">
      <c r="A7" s="5" t="s">
        <v>189</v>
      </c>
      <c r="B7" s="16" t="s">
        <v>323</v>
      </c>
      <c r="C7" s="4" t="s">
        <v>324</v>
      </c>
      <c r="D7" s="4" t="s">
        <v>114</v>
      </c>
      <c r="E7" s="6">
        <v>46318.360172430555</v>
      </c>
      <c r="F7" s="4" t="s">
        <v>325</v>
      </c>
      <c r="G7" s="7">
        <v>21.0</v>
      </c>
      <c r="H7" s="4" t="s">
        <v>326</v>
      </c>
    </row>
    <row r="8">
      <c r="A8" s="5" t="s">
        <v>208</v>
      </c>
      <c r="B8" s="16" t="s">
        <v>327</v>
      </c>
      <c r="C8" s="4" t="s">
        <v>328</v>
      </c>
      <c r="D8" s="4" t="s">
        <v>114</v>
      </c>
      <c r="E8" s="6">
        <v>46318.36022121528</v>
      </c>
      <c r="F8" s="4" t="s">
        <v>309</v>
      </c>
      <c r="G8" s="7">
        <v>21.0</v>
      </c>
      <c r="H8" s="4" t="s">
        <v>329</v>
      </c>
    </row>
    <row r="9">
      <c r="A9" s="5" t="s">
        <v>195</v>
      </c>
      <c r="B9" s="16" t="s">
        <v>330</v>
      </c>
      <c r="C9" s="4" t="s">
        <v>331</v>
      </c>
      <c r="D9" s="4" t="s">
        <v>114</v>
      </c>
      <c r="E9" s="6">
        <v>46318.36028994213</v>
      </c>
      <c r="F9" s="4" t="s">
        <v>309</v>
      </c>
      <c r="G9" s="7">
        <v>21.0</v>
      </c>
      <c r="H9" s="4" t="s">
        <v>332</v>
      </c>
    </row>
    <row r="10">
      <c r="A10" s="5" t="s">
        <v>200</v>
      </c>
      <c r="B10" s="16" t="s">
        <v>333</v>
      </c>
      <c r="C10" s="4" t="s">
        <v>334</v>
      </c>
      <c r="D10" s="4" t="s">
        <v>114</v>
      </c>
      <c r="E10" s="6">
        <v>46318.360391180555</v>
      </c>
      <c r="F10" s="4" t="s">
        <v>309</v>
      </c>
      <c r="G10" s="7">
        <v>21.0</v>
      </c>
      <c r="H10" s="4" t="s">
        <v>335</v>
      </c>
    </row>
    <row r="11">
      <c r="A11" s="5" t="s">
        <v>83</v>
      </c>
      <c r="B11" s="16" t="s">
        <v>336</v>
      </c>
      <c r="C11" s="4" t="s">
        <v>334</v>
      </c>
      <c r="D11" s="4" t="s">
        <v>114</v>
      </c>
      <c r="E11" s="6">
        <v>46318.36047351852</v>
      </c>
      <c r="F11" s="4" t="s">
        <v>337</v>
      </c>
      <c r="G11" s="7">
        <v>21.0</v>
      </c>
      <c r="H11" s="4" t="s">
        <v>338</v>
      </c>
    </row>
    <row r="12">
      <c r="A12" s="5" t="s">
        <v>202</v>
      </c>
      <c r="B12" s="17" t="s">
        <v>339</v>
      </c>
      <c r="C12" s="4" t="s">
        <v>334</v>
      </c>
      <c r="D12" s="4" t="s">
        <v>108</v>
      </c>
      <c r="E12" s="6">
        <v>46309.47099216435</v>
      </c>
      <c r="F12" s="4" t="s">
        <v>340</v>
      </c>
      <c r="G12" s="7">
        <v>21.0</v>
      </c>
      <c r="H12" s="4" t="s">
        <v>341</v>
      </c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location="gid=1274318071" ref="B2"/>
    <hyperlink r:id="rId2" location="gid=811083904" ref="B3"/>
    <hyperlink r:id="rId3" location="gid=268835517" ref="B4"/>
    <hyperlink r:id="rId4" location="gid=1265676691" ref="B5"/>
    <hyperlink r:id="rId5" location="gid=663790086" ref="B6"/>
    <hyperlink r:id="rId6" location="gid=1220769573" ref="B7"/>
    <hyperlink r:id="rId7" location="gid=563239649" ref="B8"/>
    <hyperlink r:id="rId8" location="gid=820704924" ref="B9"/>
    <hyperlink r:id="rId9" location="gid=681297197" ref="B10"/>
    <hyperlink r:id="rId10" location="gid=681297197" ref="B11"/>
    <hyperlink r:id="rId11" location="gid=681297197" ref="B12"/>
  </hyperlinks>
  <drawing r:id="rId1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31.14"/>
    <col customWidth="1" min="3" max="3" width="19.14"/>
  </cols>
  <sheetData>
    <row r="1">
      <c r="A1" s="4" t="s">
        <v>342</v>
      </c>
      <c r="B1" s="4" t="s">
        <v>287</v>
      </c>
      <c r="C1" s="4" t="s">
        <v>288</v>
      </c>
    </row>
    <row r="2">
      <c r="A2" s="4" t="s">
        <v>343</v>
      </c>
      <c r="B2" s="4" t="s">
        <v>344</v>
      </c>
      <c r="C2" s="15">
        <v>46307.60779006944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9.14"/>
    <col customWidth="1" min="3" max="3" width="40.0"/>
    <col customWidth="1" min="4" max="4" width="34.0"/>
    <col customWidth="1" min="5" max="5" width="15.0"/>
    <col customWidth="1" min="6" max="6" width="22.0"/>
    <col customWidth="1" min="7" max="7" width="11.0"/>
    <col customWidth="1" min="8" max="8" width="16.0"/>
    <col customWidth="1" min="9" max="9" width="10.14"/>
    <col customWidth="1" min="10" max="10" width="60.0"/>
    <col customWidth="1" min="11" max="26" width="8.71"/>
  </cols>
  <sheetData>
    <row r="1" ht="31.5" customHeight="1">
      <c r="A1" s="18" t="s">
        <v>186</v>
      </c>
      <c r="B1" s="18" t="s">
        <v>345</v>
      </c>
      <c r="C1" s="18" t="s">
        <v>346</v>
      </c>
      <c r="D1" s="18" t="s">
        <v>347</v>
      </c>
      <c r="E1" s="18" t="s">
        <v>3</v>
      </c>
      <c r="F1" s="18" t="s">
        <v>348</v>
      </c>
      <c r="G1" s="18" t="s">
        <v>349</v>
      </c>
      <c r="H1" s="18" t="s">
        <v>350</v>
      </c>
      <c r="I1" s="18" t="s">
        <v>5</v>
      </c>
      <c r="J1" s="18" t="s">
        <v>351</v>
      </c>
      <c r="K1" s="4" t="s">
        <v>352</v>
      </c>
      <c r="L1" s="4" t="s">
        <v>353</v>
      </c>
      <c r="M1" s="4" t="s">
        <v>354</v>
      </c>
      <c r="N1" s="4" t="s">
        <v>41</v>
      </c>
    </row>
    <row r="2">
      <c r="A2" s="19" t="s">
        <v>207</v>
      </c>
      <c r="B2" s="20" t="s">
        <v>355</v>
      </c>
      <c r="C2" s="20" t="s">
        <v>250</v>
      </c>
      <c r="D2" s="4" t="s">
        <v>356</v>
      </c>
      <c r="E2" s="20" t="s">
        <v>357</v>
      </c>
      <c r="F2" s="20" t="s">
        <v>358</v>
      </c>
      <c r="G2" s="20" t="s">
        <v>359</v>
      </c>
      <c r="H2" s="20" t="s">
        <v>360</v>
      </c>
      <c r="I2" s="20" t="s">
        <v>114</v>
      </c>
      <c r="J2" s="20" t="s">
        <v>361</v>
      </c>
      <c r="K2" s="4" t="s">
        <v>362</v>
      </c>
      <c r="L2" s="4" t="s">
        <v>363</v>
      </c>
      <c r="M2" s="17" t="s">
        <v>364</v>
      </c>
    </row>
    <row r="3">
      <c r="A3" s="19" t="s">
        <v>203</v>
      </c>
      <c r="B3" s="21" t="s">
        <v>365</v>
      </c>
      <c r="C3" s="21" t="s">
        <v>242</v>
      </c>
      <c r="D3" s="21" t="s">
        <v>366</v>
      </c>
      <c r="E3" s="20" t="s">
        <v>357</v>
      </c>
      <c r="F3" s="20" t="s">
        <v>358</v>
      </c>
      <c r="G3" s="20" t="s">
        <v>359</v>
      </c>
      <c r="H3" s="20" t="s">
        <v>360</v>
      </c>
      <c r="I3" s="20" t="s">
        <v>114</v>
      </c>
      <c r="J3" s="20" t="s">
        <v>361</v>
      </c>
      <c r="K3" s="4" t="s">
        <v>362</v>
      </c>
      <c r="L3" s="4" t="s">
        <v>363</v>
      </c>
      <c r="M3" s="17" t="s">
        <v>367</v>
      </c>
    </row>
    <row r="4">
      <c r="A4" s="19" t="s">
        <v>196</v>
      </c>
      <c r="B4" s="20" t="s">
        <v>368</v>
      </c>
      <c r="C4" s="20" t="s">
        <v>236</v>
      </c>
      <c r="D4" s="4" t="s">
        <v>369</v>
      </c>
      <c r="E4" s="20" t="s">
        <v>357</v>
      </c>
      <c r="F4" s="20" t="s">
        <v>370</v>
      </c>
      <c r="G4" s="20" t="s">
        <v>359</v>
      </c>
      <c r="H4" s="20" t="s">
        <v>360</v>
      </c>
      <c r="I4" s="20" t="s">
        <v>114</v>
      </c>
      <c r="J4" s="20" t="s">
        <v>361</v>
      </c>
      <c r="K4" s="4" t="s">
        <v>362</v>
      </c>
      <c r="L4" s="4" t="s">
        <v>363</v>
      </c>
      <c r="M4" s="17" t="s">
        <v>371</v>
      </c>
    </row>
    <row r="5">
      <c r="A5" s="19" t="s">
        <v>209</v>
      </c>
      <c r="B5" s="20" t="s">
        <v>372</v>
      </c>
      <c r="C5" s="20" t="s">
        <v>254</v>
      </c>
      <c r="D5" s="4" t="s">
        <v>373</v>
      </c>
      <c r="E5" s="20" t="s">
        <v>357</v>
      </c>
      <c r="F5" s="20" t="s">
        <v>374</v>
      </c>
      <c r="G5" s="20" t="s">
        <v>375</v>
      </c>
      <c r="H5" s="20" t="s">
        <v>359</v>
      </c>
      <c r="I5" s="20" t="s">
        <v>114</v>
      </c>
      <c r="J5" s="20"/>
      <c r="K5" s="4" t="s">
        <v>376</v>
      </c>
      <c r="L5" s="4" t="s">
        <v>363</v>
      </c>
    </row>
    <row r="6">
      <c r="A6" s="19" t="s">
        <v>213</v>
      </c>
      <c r="B6" s="20" t="s">
        <v>377</v>
      </c>
      <c r="C6" s="20" t="s">
        <v>264</v>
      </c>
      <c r="D6" s="4" t="s">
        <v>378</v>
      </c>
      <c r="E6" s="20" t="s">
        <v>357</v>
      </c>
      <c r="F6" s="20" t="s">
        <v>374</v>
      </c>
      <c r="G6" s="20" t="s">
        <v>375</v>
      </c>
      <c r="H6" s="20" t="s">
        <v>359</v>
      </c>
      <c r="I6" s="20" t="s">
        <v>114</v>
      </c>
      <c r="J6" s="20"/>
      <c r="K6" s="4" t="s">
        <v>376</v>
      </c>
      <c r="L6" s="4" t="s">
        <v>363</v>
      </c>
    </row>
    <row r="7">
      <c r="A7" s="19" t="s">
        <v>187</v>
      </c>
      <c r="B7" s="20" t="s">
        <v>379</v>
      </c>
      <c r="C7" s="20" t="s">
        <v>380</v>
      </c>
      <c r="D7" s="4" t="s">
        <v>381</v>
      </c>
      <c r="E7" s="20" t="s">
        <v>357</v>
      </c>
      <c r="F7" s="20" t="s">
        <v>374</v>
      </c>
      <c r="G7" s="20" t="s">
        <v>375</v>
      </c>
      <c r="H7" s="20" t="s">
        <v>359</v>
      </c>
      <c r="I7" s="20" t="s">
        <v>114</v>
      </c>
      <c r="J7" s="20"/>
      <c r="K7" s="4" t="s">
        <v>376</v>
      </c>
      <c r="L7" s="4" t="s">
        <v>363</v>
      </c>
      <c r="M7" s="17" t="s">
        <v>382</v>
      </c>
    </row>
    <row r="8">
      <c r="A8" s="19" t="s">
        <v>85</v>
      </c>
      <c r="B8" s="20" t="s">
        <v>86</v>
      </c>
      <c r="C8" s="20" t="s">
        <v>260</v>
      </c>
      <c r="D8" s="4" t="s">
        <v>383</v>
      </c>
      <c r="E8" s="20" t="s">
        <v>357</v>
      </c>
      <c r="F8" s="20" t="s">
        <v>374</v>
      </c>
      <c r="G8" s="20" t="s">
        <v>375</v>
      </c>
      <c r="H8" s="20" t="s">
        <v>359</v>
      </c>
      <c r="I8" s="20" t="s">
        <v>114</v>
      </c>
      <c r="J8" s="20"/>
      <c r="K8" s="4" t="s">
        <v>376</v>
      </c>
      <c r="L8" s="4" t="s">
        <v>363</v>
      </c>
      <c r="M8" s="4" t="s">
        <v>384</v>
      </c>
    </row>
    <row r="9">
      <c r="A9" s="19" t="s">
        <v>191</v>
      </c>
      <c r="B9" s="20" t="s">
        <v>385</v>
      </c>
      <c r="C9" s="20" t="s">
        <v>232</v>
      </c>
      <c r="D9" s="21" t="s">
        <v>386</v>
      </c>
      <c r="E9" s="20" t="s">
        <v>357</v>
      </c>
      <c r="F9" s="20"/>
      <c r="G9" s="20" t="s">
        <v>387</v>
      </c>
      <c r="H9" s="20" t="s">
        <v>181</v>
      </c>
      <c r="I9" s="21" t="s">
        <v>108</v>
      </c>
      <c r="J9" s="20" t="s">
        <v>388</v>
      </c>
      <c r="K9" s="4" t="s">
        <v>389</v>
      </c>
      <c r="L9" s="4" t="s">
        <v>363</v>
      </c>
      <c r="M9" s="17" t="s">
        <v>390</v>
      </c>
    </row>
    <row r="10">
      <c r="A10" s="19" t="s">
        <v>193</v>
      </c>
      <c r="B10" s="21" t="s">
        <v>391</v>
      </c>
      <c r="C10" s="21" t="s">
        <v>234</v>
      </c>
      <c r="D10" s="21" t="s">
        <v>392</v>
      </c>
      <c r="E10" s="20" t="s">
        <v>357</v>
      </c>
      <c r="F10" s="20" t="s">
        <v>374</v>
      </c>
      <c r="G10" s="20" t="s">
        <v>387</v>
      </c>
      <c r="H10" s="20" t="s">
        <v>359</v>
      </c>
      <c r="I10" s="20" t="s">
        <v>114</v>
      </c>
      <c r="J10" s="20"/>
      <c r="K10" s="4" t="s">
        <v>389</v>
      </c>
      <c r="L10" s="4" t="s">
        <v>363</v>
      </c>
      <c r="M10" s="17" t="s">
        <v>393</v>
      </c>
    </row>
    <row r="11">
      <c r="A11" s="19" t="s">
        <v>201</v>
      </c>
      <c r="B11" s="20" t="s">
        <v>394</v>
      </c>
      <c r="C11" s="20" t="s">
        <v>240</v>
      </c>
      <c r="D11" s="4" t="s">
        <v>395</v>
      </c>
      <c r="E11" s="20" t="s">
        <v>357</v>
      </c>
      <c r="F11" s="20" t="s">
        <v>396</v>
      </c>
      <c r="G11" s="20" t="s">
        <v>375</v>
      </c>
      <c r="H11" s="20" t="s">
        <v>359</v>
      </c>
      <c r="I11" s="20" t="s">
        <v>114</v>
      </c>
      <c r="J11" s="20"/>
      <c r="K11" s="4" t="s">
        <v>376</v>
      </c>
      <c r="L11" s="4" t="s">
        <v>363</v>
      </c>
      <c r="M11" s="17" t="s">
        <v>397</v>
      </c>
    </row>
    <row r="12">
      <c r="A12" s="19" t="s">
        <v>198</v>
      </c>
      <c r="B12" s="20" t="s">
        <v>398</v>
      </c>
      <c r="C12" s="20" t="s">
        <v>238</v>
      </c>
      <c r="D12" s="4" t="s">
        <v>399</v>
      </c>
      <c r="E12" s="20" t="s">
        <v>357</v>
      </c>
      <c r="F12" s="20" t="s">
        <v>396</v>
      </c>
      <c r="G12" s="20" t="s">
        <v>375</v>
      </c>
      <c r="H12" s="20" t="s">
        <v>359</v>
      </c>
      <c r="I12" s="20" t="s">
        <v>114</v>
      </c>
      <c r="J12" s="20"/>
      <c r="K12" s="4" t="s">
        <v>376</v>
      </c>
      <c r="L12" s="4" t="s">
        <v>363</v>
      </c>
      <c r="M12" s="17" t="s">
        <v>400</v>
      </c>
    </row>
    <row r="13">
      <c r="A13" s="19" t="s">
        <v>210</v>
      </c>
      <c r="B13" s="20" t="s">
        <v>401</v>
      </c>
      <c r="C13" s="20" t="s">
        <v>256</v>
      </c>
      <c r="D13" s="4" t="s">
        <v>402</v>
      </c>
      <c r="E13" s="20" t="s">
        <v>357</v>
      </c>
      <c r="F13" s="20" t="s">
        <v>396</v>
      </c>
      <c r="G13" s="20" t="s">
        <v>375</v>
      </c>
      <c r="H13" s="20" t="s">
        <v>359</v>
      </c>
      <c r="I13" s="20" t="s">
        <v>114</v>
      </c>
      <c r="J13" s="20"/>
      <c r="K13" s="4" t="s">
        <v>376</v>
      </c>
      <c r="L13" s="4" t="s">
        <v>363</v>
      </c>
    </row>
    <row r="14">
      <c r="A14" s="19" t="s">
        <v>212</v>
      </c>
      <c r="B14" s="20" t="s">
        <v>403</v>
      </c>
      <c r="C14" s="20" t="s">
        <v>262</v>
      </c>
      <c r="D14" s="4" t="s">
        <v>404</v>
      </c>
      <c r="E14" s="20" t="s">
        <v>357</v>
      </c>
      <c r="F14" s="20" t="s">
        <v>396</v>
      </c>
      <c r="G14" s="20" t="s">
        <v>375</v>
      </c>
      <c r="H14" s="20" t="s">
        <v>359</v>
      </c>
      <c r="I14" s="20" t="s">
        <v>114</v>
      </c>
      <c r="J14" s="20"/>
      <c r="K14" s="4" t="s">
        <v>376</v>
      </c>
      <c r="L14" s="4" t="s">
        <v>363</v>
      </c>
      <c r="M14" s="17" t="s">
        <v>405</v>
      </c>
    </row>
    <row r="15">
      <c r="A15" s="19" t="s">
        <v>216</v>
      </c>
      <c r="B15" s="20" t="s">
        <v>406</v>
      </c>
      <c r="C15" s="20" t="s">
        <v>270</v>
      </c>
      <c r="D15" s="21" t="s">
        <v>407</v>
      </c>
      <c r="E15" s="20" t="s">
        <v>357</v>
      </c>
      <c r="F15" s="20" t="s">
        <v>396</v>
      </c>
      <c r="G15" s="20" t="s">
        <v>375</v>
      </c>
      <c r="H15" s="20" t="s">
        <v>359</v>
      </c>
      <c r="I15" s="20" t="s">
        <v>114</v>
      </c>
      <c r="J15" s="20"/>
      <c r="K15" s="4" t="s">
        <v>376</v>
      </c>
      <c r="L15" s="4" t="s">
        <v>363</v>
      </c>
      <c r="M15" s="17" t="s">
        <v>408</v>
      </c>
    </row>
    <row r="16">
      <c r="A16" s="19" t="s">
        <v>206</v>
      </c>
      <c r="B16" s="20" t="s">
        <v>409</v>
      </c>
      <c r="C16" s="20" t="s">
        <v>248</v>
      </c>
      <c r="D16" s="4" t="s">
        <v>410</v>
      </c>
      <c r="E16" s="20" t="s">
        <v>357</v>
      </c>
      <c r="F16" s="20" t="s">
        <v>396</v>
      </c>
      <c r="G16" s="20" t="s">
        <v>375</v>
      </c>
      <c r="H16" s="20" t="s">
        <v>359</v>
      </c>
      <c r="I16" s="20" t="s">
        <v>114</v>
      </c>
      <c r="J16" s="20"/>
      <c r="K16" s="4" t="s">
        <v>376</v>
      </c>
      <c r="L16" s="4" t="s">
        <v>363</v>
      </c>
      <c r="M16" s="17" t="s">
        <v>411</v>
      </c>
    </row>
    <row r="17">
      <c r="A17" s="19" t="s">
        <v>87</v>
      </c>
      <c r="B17" s="20" t="s">
        <v>88</v>
      </c>
      <c r="C17" s="20" t="s">
        <v>252</v>
      </c>
      <c r="D17" s="4" t="s">
        <v>412</v>
      </c>
      <c r="E17" s="20" t="s">
        <v>357</v>
      </c>
      <c r="F17" s="20" t="s">
        <v>396</v>
      </c>
      <c r="G17" s="20" t="s">
        <v>375</v>
      </c>
      <c r="H17" s="20" t="s">
        <v>359</v>
      </c>
      <c r="I17" s="21" t="s">
        <v>114</v>
      </c>
      <c r="J17" s="20"/>
      <c r="K17" s="4" t="s">
        <v>376</v>
      </c>
      <c r="L17" s="4" t="s">
        <v>363</v>
      </c>
      <c r="M17" s="17" t="s">
        <v>413</v>
      </c>
    </row>
    <row r="18">
      <c r="A18" s="19" t="s">
        <v>211</v>
      </c>
      <c r="B18" s="20" t="s">
        <v>414</v>
      </c>
      <c r="C18" s="20" t="s">
        <v>258</v>
      </c>
      <c r="D18" s="4" t="s">
        <v>415</v>
      </c>
      <c r="E18" s="20" t="s">
        <v>357</v>
      </c>
      <c r="F18" s="20" t="s">
        <v>396</v>
      </c>
      <c r="G18" s="20" t="s">
        <v>375</v>
      </c>
      <c r="H18" s="20" t="s">
        <v>359</v>
      </c>
      <c r="I18" s="20" t="s">
        <v>114</v>
      </c>
      <c r="J18" s="20"/>
      <c r="K18" s="4" t="s">
        <v>376</v>
      </c>
      <c r="L18" s="4" t="s">
        <v>363</v>
      </c>
      <c r="M18" s="17" t="s">
        <v>416</v>
      </c>
    </row>
    <row r="19">
      <c r="A19" s="19" t="s">
        <v>204</v>
      </c>
      <c r="B19" s="20" t="s">
        <v>417</v>
      </c>
      <c r="C19" s="20" t="s">
        <v>244</v>
      </c>
      <c r="D19" s="4" t="s">
        <v>418</v>
      </c>
      <c r="E19" s="20" t="s">
        <v>357</v>
      </c>
      <c r="F19" s="20" t="s">
        <v>396</v>
      </c>
      <c r="G19" s="20" t="s">
        <v>387</v>
      </c>
      <c r="H19" s="20" t="s">
        <v>359</v>
      </c>
      <c r="I19" s="20" t="s">
        <v>114</v>
      </c>
      <c r="J19" s="20"/>
      <c r="K19" s="4" t="s">
        <v>389</v>
      </c>
      <c r="L19" s="4" t="s">
        <v>363</v>
      </c>
      <c r="M19" s="17" t="s">
        <v>419</v>
      </c>
    </row>
    <row r="20">
      <c r="A20" s="19" t="s">
        <v>205</v>
      </c>
      <c r="B20" s="20" t="s">
        <v>420</v>
      </c>
      <c r="C20" s="20" t="s">
        <v>246</v>
      </c>
      <c r="D20" s="4" t="s">
        <v>421</v>
      </c>
      <c r="E20" s="20" t="s">
        <v>357</v>
      </c>
      <c r="F20" s="20" t="s">
        <v>396</v>
      </c>
      <c r="G20" s="20" t="s">
        <v>387</v>
      </c>
      <c r="H20" s="20" t="s">
        <v>359</v>
      </c>
      <c r="I20" s="20" t="s">
        <v>114</v>
      </c>
      <c r="J20" s="20"/>
      <c r="K20" s="4" t="s">
        <v>389</v>
      </c>
      <c r="L20" s="4" t="s">
        <v>363</v>
      </c>
      <c r="M20" s="17" t="s">
        <v>422</v>
      </c>
    </row>
    <row r="21" ht="15.75" customHeight="1">
      <c r="A21" s="19" t="s">
        <v>214</v>
      </c>
      <c r="B21" s="20" t="s">
        <v>423</v>
      </c>
      <c r="C21" s="20" t="s">
        <v>424</v>
      </c>
      <c r="D21" s="21" t="s">
        <v>425</v>
      </c>
      <c r="E21" s="20" t="s">
        <v>357</v>
      </c>
      <c r="F21" s="20"/>
      <c r="G21" s="20" t="s">
        <v>375</v>
      </c>
      <c r="H21" s="20" t="s">
        <v>426</v>
      </c>
      <c r="I21" s="21" t="s">
        <v>108</v>
      </c>
      <c r="J21" s="20" t="s">
        <v>388</v>
      </c>
      <c r="K21" s="4" t="s">
        <v>376</v>
      </c>
      <c r="L21" s="4" t="s">
        <v>363</v>
      </c>
      <c r="M21" s="17" t="s">
        <v>427</v>
      </c>
    </row>
    <row r="22" ht="15.75" customHeight="1">
      <c r="A22" s="19" t="s">
        <v>215</v>
      </c>
      <c r="B22" s="20" t="s">
        <v>428</v>
      </c>
      <c r="C22" s="20" t="s">
        <v>268</v>
      </c>
      <c r="D22" s="21" t="s">
        <v>429</v>
      </c>
      <c r="E22" s="20" t="s">
        <v>357</v>
      </c>
      <c r="F22" s="20" t="s">
        <v>396</v>
      </c>
      <c r="G22" s="20" t="s">
        <v>375</v>
      </c>
      <c r="H22" s="20" t="s">
        <v>359</v>
      </c>
      <c r="I22" s="20" t="s">
        <v>114</v>
      </c>
      <c r="J22" s="20"/>
      <c r="K22" s="4" t="s">
        <v>376</v>
      </c>
      <c r="L22" s="4" t="s">
        <v>363</v>
      </c>
      <c r="M22" s="17" t="s">
        <v>430</v>
      </c>
    </row>
    <row r="23" ht="15.75" customHeight="1">
      <c r="A23" s="22" t="s">
        <v>431</v>
      </c>
      <c r="B23" s="4" t="s">
        <v>432</v>
      </c>
      <c r="C23" s="4" t="s">
        <v>433</v>
      </c>
      <c r="D23" s="4" t="s">
        <v>434</v>
      </c>
      <c r="E23" s="4" t="s">
        <v>435</v>
      </c>
      <c r="I23" s="4" t="s">
        <v>114</v>
      </c>
      <c r="K23" s="4" t="s">
        <v>436</v>
      </c>
      <c r="L23" s="4" t="s">
        <v>437</v>
      </c>
      <c r="M23" s="4" t="s">
        <v>438</v>
      </c>
    </row>
    <row r="24" ht="15.75" customHeight="1">
      <c r="A24" s="22" t="s">
        <v>439</v>
      </c>
      <c r="B24" s="4" t="s">
        <v>440</v>
      </c>
      <c r="C24" s="4" t="s">
        <v>441</v>
      </c>
      <c r="D24" s="4" t="s">
        <v>442</v>
      </c>
      <c r="E24" s="4" t="s">
        <v>435</v>
      </c>
      <c r="I24" s="4" t="s">
        <v>114</v>
      </c>
      <c r="K24" s="4" t="s">
        <v>443</v>
      </c>
      <c r="L24" s="4" t="s">
        <v>444</v>
      </c>
      <c r="M24" s="17" t="s">
        <v>445</v>
      </c>
    </row>
    <row r="25" ht="15.75" customHeight="1">
      <c r="A25" s="23" t="s">
        <v>446</v>
      </c>
      <c r="B25" s="4" t="s">
        <v>447</v>
      </c>
      <c r="C25" s="4" t="s">
        <v>448</v>
      </c>
      <c r="D25" s="4" t="s">
        <v>449</v>
      </c>
      <c r="E25" s="4" t="s">
        <v>435</v>
      </c>
      <c r="I25" s="4" t="s">
        <v>114</v>
      </c>
      <c r="J25" s="4" t="s">
        <v>450</v>
      </c>
      <c r="K25" s="4" t="s">
        <v>451</v>
      </c>
      <c r="L25" s="4" t="s">
        <v>363</v>
      </c>
      <c r="M25" s="17" t="s">
        <v>452</v>
      </c>
    </row>
    <row r="26" ht="15.75" customHeight="1">
      <c r="A26" s="23" t="s">
        <v>453</v>
      </c>
      <c r="B26" s="4" t="s">
        <v>454</v>
      </c>
      <c r="C26" s="4" t="s">
        <v>455</v>
      </c>
      <c r="D26" s="4" t="s">
        <v>456</v>
      </c>
      <c r="E26" s="4" t="s">
        <v>435</v>
      </c>
      <c r="I26" s="4" t="s">
        <v>114</v>
      </c>
      <c r="J26" s="4" t="s">
        <v>457</v>
      </c>
      <c r="K26" s="4" t="s">
        <v>458</v>
      </c>
      <c r="L26" s="4" t="s">
        <v>437</v>
      </c>
      <c r="M26" s="4" t="s">
        <v>459</v>
      </c>
      <c r="N26" s="4" t="s">
        <v>51</v>
      </c>
    </row>
    <row r="27" ht="15.75" customHeight="1">
      <c r="A27" s="23" t="s">
        <v>460</v>
      </c>
      <c r="B27" s="4" t="s">
        <v>93</v>
      </c>
      <c r="C27" s="4" t="s">
        <v>461</v>
      </c>
      <c r="D27" s="4" t="s">
        <v>462</v>
      </c>
      <c r="E27" s="4" t="s">
        <v>435</v>
      </c>
      <c r="I27" s="4" t="s">
        <v>114</v>
      </c>
      <c r="J27" s="4" t="s">
        <v>457</v>
      </c>
      <c r="K27" s="4" t="s">
        <v>463</v>
      </c>
      <c r="L27" s="4" t="s">
        <v>437</v>
      </c>
      <c r="N27" s="4" t="s">
        <v>51</v>
      </c>
    </row>
    <row r="28" ht="15.75" customHeight="1">
      <c r="A28" s="24"/>
      <c r="E28" s="25"/>
      <c r="I28" s="25"/>
    </row>
    <row r="29" ht="15.75" customHeight="1">
      <c r="A29" s="24"/>
      <c r="E29" s="25"/>
      <c r="I29" s="25"/>
    </row>
    <row r="30" ht="15.75" customHeight="1">
      <c r="A30" s="24"/>
      <c r="E30" s="25"/>
      <c r="I30" s="25"/>
    </row>
    <row r="31" ht="15.75" customHeight="1">
      <c r="A31" s="24"/>
      <c r="E31" s="25"/>
      <c r="I31" s="25"/>
    </row>
    <row r="32" ht="15.75" customHeight="1">
      <c r="A32" s="24"/>
      <c r="E32" s="25"/>
      <c r="I32" s="25"/>
    </row>
    <row r="33" ht="15.75" customHeight="1">
      <c r="A33" s="24"/>
      <c r="E33" s="25"/>
      <c r="I33" s="25"/>
    </row>
    <row r="34" ht="15.75" customHeight="1">
      <c r="A34" s="24"/>
      <c r="E34" s="25"/>
      <c r="I34" s="25"/>
    </row>
    <row r="35" ht="15.75" customHeight="1">
      <c r="A35" s="24"/>
      <c r="E35" s="25"/>
      <c r="I35" s="25"/>
    </row>
    <row r="36" ht="15.75" customHeight="1">
      <c r="A36" s="24"/>
      <c r="E36" s="25"/>
      <c r="I36" s="25"/>
    </row>
    <row r="37" ht="15.75" customHeight="1">
      <c r="A37" s="24"/>
      <c r="E37" s="25"/>
      <c r="I37" s="25"/>
    </row>
    <row r="38" ht="15.75" customHeight="1">
      <c r="A38" s="24"/>
      <c r="E38" s="25"/>
      <c r="I38" s="25"/>
    </row>
    <row r="39" ht="15.75" customHeight="1">
      <c r="A39" s="24"/>
      <c r="E39" s="25"/>
      <c r="I39" s="25"/>
    </row>
    <row r="40" ht="15.75" customHeight="1">
      <c r="A40" s="24"/>
      <c r="E40" s="25"/>
      <c r="I40" s="25"/>
    </row>
    <row r="41" ht="15.75" customHeight="1">
      <c r="A41" s="24"/>
      <c r="E41" s="25"/>
      <c r="I41" s="25"/>
    </row>
    <row r="42" ht="15.75" customHeight="1">
      <c r="A42" s="24"/>
      <c r="E42" s="25"/>
      <c r="I42" s="25"/>
    </row>
    <row r="43" ht="15.75" customHeight="1">
      <c r="A43" s="24"/>
      <c r="E43" s="25"/>
      <c r="I43" s="25"/>
    </row>
    <row r="44" ht="15.75" customHeight="1">
      <c r="A44" s="24"/>
      <c r="E44" s="25"/>
      <c r="I44" s="25"/>
    </row>
    <row r="45" ht="15.75" customHeight="1">
      <c r="A45" s="24"/>
      <c r="E45" s="25"/>
      <c r="I45" s="25"/>
    </row>
    <row r="46" ht="15.75" customHeight="1">
      <c r="A46" s="24"/>
      <c r="E46" s="25"/>
      <c r="I46" s="25"/>
    </row>
    <row r="47" ht="15.75" customHeight="1">
      <c r="A47" s="24"/>
      <c r="E47" s="25"/>
      <c r="I47" s="25"/>
    </row>
    <row r="48" ht="15.75" customHeight="1">
      <c r="A48" s="24"/>
      <c r="E48" s="25"/>
      <c r="I48" s="25"/>
    </row>
    <row r="49" ht="15.75" customHeight="1">
      <c r="A49" s="24"/>
      <c r="E49" s="25"/>
      <c r="I49" s="25"/>
    </row>
    <row r="50" ht="15.75" customHeight="1">
      <c r="A50" s="24"/>
      <c r="E50" s="25"/>
      <c r="I50" s="25"/>
    </row>
    <row r="51" ht="15.75" customHeight="1">
      <c r="A51" s="24"/>
      <c r="E51" s="25"/>
      <c r="I51" s="25"/>
    </row>
    <row r="52" ht="15.75" customHeight="1">
      <c r="A52" s="24"/>
      <c r="E52" s="25"/>
      <c r="I52" s="25"/>
    </row>
    <row r="53" ht="15.75" customHeight="1">
      <c r="A53" s="24"/>
      <c r="E53" s="25"/>
      <c r="I53" s="25"/>
    </row>
    <row r="54" ht="15.75" customHeight="1">
      <c r="A54" s="24"/>
      <c r="E54" s="25"/>
      <c r="I54" s="25"/>
    </row>
    <row r="55" ht="15.75" customHeight="1">
      <c r="A55" s="24"/>
      <c r="E55" s="25"/>
      <c r="I55" s="25"/>
    </row>
    <row r="56" ht="15.75" customHeight="1">
      <c r="A56" s="24"/>
      <c r="E56" s="25"/>
      <c r="I56" s="25"/>
    </row>
    <row r="57" ht="15.75" customHeight="1">
      <c r="A57" s="24"/>
      <c r="E57" s="25"/>
      <c r="I57" s="25"/>
    </row>
    <row r="58" ht="15.75" customHeight="1">
      <c r="A58" s="24"/>
      <c r="E58" s="25"/>
      <c r="I58" s="25"/>
    </row>
    <row r="59" ht="15.75" customHeight="1">
      <c r="A59" s="24"/>
      <c r="E59" s="25"/>
      <c r="I59" s="25"/>
    </row>
    <row r="60" ht="15.75" customHeight="1">
      <c r="A60" s="24"/>
      <c r="E60" s="25"/>
      <c r="I60" s="25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>
      <c r="A69" s="24"/>
    </row>
    <row r="70" ht="15.75" customHeight="1">
      <c r="A70" s="24"/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</sheetData>
  <autoFilter ref="$A$1:$J$60"/>
  <conditionalFormatting sqref="D2:D60">
    <cfRule type="expression" dxfId="0" priority="1">
      <formula>AND($A2&lt;&gt;"",$D2="")</formula>
    </cfRule>
  </conditionalFormatting>
  <dataValidations>
    <dataValidation type="list" allowBlank="1" sqref="E2:E60">
      <formula1>"Instructor,Administrador"</formula1>
    </dataValidation>
    <dataValidation type="list" allowBlank="1" sqref="I2:I60">
      <formula1>"SI,NO"</formula1>
    </dataValidation>
  </dataValidations>
  <hyperlinks>
    <hyperlink r:id="rId1" ref="M2"/>
    <hyperlink r:id="rId2" ref="M3"/>
    <hyperlink r:id="rId3" ref="M4"/>
    <hyperlink r:id="rId4" ref="M7"/>
    <hyperlink r:id="rId5" ref="M9"/>
    <hyperlink r:id="rId6" ref="M10"/>
    <hyperlink r:id="rId7" ref="M11"/>
    <hyperlink r:id="rId8" ref="M12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4"/>
    <hyperlink r:id="rId19" ref="M25"/>
  </hyperlinks>
  <printOptions/>
  <pageMargins bottom="1.0" footer="0.0" header="0.0" left="0.75" right="0.75" top="1.0"/>
  <pageSetup paperSize="9" orientation="portrait"/>
  <drawing r:id="rId2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15.0"/>
    <col customWidth="1" min="4" max="4" width="60.0"/>
    <col customWidth="1" min="5" max="26" width="8.71"/>
  </cols>
  <sheetData>
    <row r="1" ht="31.5" customHeight="1">
      <c r="A1" s="18" t="s">
        <v>464</v>
      </c>
      <c r="B1" s="18" t="s">
        <v>357</v>
      </c>
      <c r="C1" s="18" t="s">
        <v>435</v>
      </c>
      <c r="D1" s="18" t="s">
        <v>465</v>
      </c>
    </row>
    <row r="2">
      <c r="A2" s="26" t="s">
        <v>466</v>
      </c>
      <c r="B2" s="27" t="s">
        <v>114</v>
      </c>
      <c r="C2" s="26" t="s">
        <v>114</v>
      </c>
      <c r="D2" s="26" t="s">
        <v>467</v>
      </c>
    </row>
    <row r="3">
      <c r="A3" s="26" t="s">
        <v>43</v>
      </c>
      <c r="B3" s="26" t="s">
        <v>108</v>
      </c>
      <c r="C3" s="26" t="s">
        <v>114</v>
      </c>
      <c r="D3" s="26" t="s">
        <v>468</v>
      </c>
    </row>
    <row r="4">
      <c r="A4" s="26" t="s">
        <v>44</v>
      </c>
      <c r="B4" s="27" t="s">
        <v>108</v>
      </c>
      <c r="C4" s="26" t="s">
        <v>114</v>
      </c>
      <c r="D4" s="26" t="s">
        <v>469</v>
      </c>
    </row>
    <row r="5">
      <c r="A5" s="26" t="s">
        <v>45</v>
      </c>
      <c r="B5" s="27" t="s">
        <v>108</v>
      </c>
      <c r="C5" s="26" t="s">
        <v>114</v>
      </c>
      <c r="D5" s="26" t="s">
        <v>470</v>
      </c>
    </row>
    <row r="6">
      <c r="A6" s="26" t="s">
        <v>46</v>
      </c>
      <c r="B6" s="27" t="s">
        <v>108</v>
      </c>
      <c r="C6" s="26" t="s">
        <v>114</v>
      </c>
      <c r="D6" s="26" t="s">
        <v>471</v>
      </c>
    </row>
    <row r="7">
      <c r="A7" s="26" t="s">
        <v>48</v>
      </c>
      <c r="B7" s="26" t="s">
        <v>108</v>
      </c>
      <c r="C7" s="26" t="s">
        <v>114</v>
      </c>
      <c r="D7" s="26" t="s">
        <v>472</v>
      </c>
    </row>
    <row r="8">
      <c r="A8" s="4" t="s">
        <v>50</v>
      </c>
      <c r="B8" s="4" t="s">
        <v>108</v>
      </c>
      <c r="C8" s="4" t="s">
        <v>114</v>
      </c>
      <c r="D8" s="4" t="s">
        <v>473</v>
      </c>
    </row>
    <row r="9">
      <c r="A9" s="4" t="s">
        <v>25</v>
      </c>
      <c r="B9" s="4" t="s">
        <v>108</v>
      </c>
      <c r="C9" s="4" t="s">
        <v>114</v>
      </c>
      <c r="D9" s="4" t="s">
        <v>474</v>
      </c>
    </row>
    <row r="10">
      <c r="A10" s="4" t="s">
        <v>35</v>
      </c>
      <c r="B10" s="4" t="s">
        <v>108</v>
      </c>
      <c r="C10" s="4" t="s">
        <v>114</v>
      </c>
      <c r="D10" s="4" t="s">
        <v>475</v>
      </c>
    </row>
    <row r="11">
      <c r="A11" s="4" t="s">
        <v>49</v>
      </c>
      <c r="B11" s="4" t="s">
        <v>108</v>
      </c>
      <c r="C11" s="4" t="s">
        <v>114</v>
      </c>
      <c r="D11" s="4" t="s">
        <v>476</v>
      </c>
    </row>
    <row r="12">
      <c r="B12" s="25"/>
      <c r="C12" s="25"/>
    </row>
    <row r="13">
      <c r="B13" s="25"/>
      <c r="C13" s="25"/>
    </row>
    <row r="14">
      <c r="B14" s="25"/>
      <c r="C14" s="25"/>
    </row>
    <row r="15">
      <c r="B15" s="25"/>
      <c r="C15" s="25"/>
    </row>
    <row r="16">
      <c r="B16" s="25"/>
      <c r="C16" s="25"/>
    </row>
    <row r="17">
      <c r="B17" s="25"/>
      <c r="C17" s="25"/>
    </row>
    <row r="18">
      <c r="B18" s="25"/>
      <c r="C18" s="25"/>
    </row>
    <row r="19">
      <c r="B19" s="25"/>
      <c r="C19" s="25"/>
    </row>
    <row r="20">
      <c r="B20" s="25"/>
      <c r="C20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C20">
      <formula1>"SI,NO"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46.14"/>
  </cols>
  <sheetData>
    <row r="1">
      <c r="A1" s="4" t="s">
        <v>186</v>
      </c>
      <c r="B1" s="4" t="s">
        <v>222</v>
      </c>
      <c r="C1" s="4" t="s">
        <v>273</v>
      </c>
      <c r="D1" s="4" t="s">
        <v>274</v>
      </c>
      <c r="E1" s="4" t="s">
        <v>99</v>
      </c>
      <c r="F1" s="4" t="s">
        <v>67</v>
      </c>
    </row>
    <row r="2">
      <c r="A2" s="28">
        <v>71348.0</v>
      </c>
      <c r="B2" s="4" t="s">
        <v>385</v>
      </c>
      <c r="C2" s="11">
        <v>46082.0</v>
      </c>
      <c r="D2" s="11">
        <v>46112.0</v>
      </c>
      <c r="E2" s="4" t="s">
        <v>181</v>
      </c>
      <c r="F2" s="4" t="s">
        <v>477</v>
      </c>
    </row>
    <row r="3">
      <c r="A3" s="28">
        <v>3796947.0</v>
      </c>
      <c r="B3" s="4" t="s">
        <v>423</v>
      </c>
      <c r="C3" s="11">
        <v>46082.0</v>
      </c>
      <c r="D3" s="11">
        <v>46112.0</v>
      </c>
      <c r="E3" s="4" t="s">
        <v>478</v>
      </c>
      <c r="F3" s="4" t="s">
        <v>477</v>
      </c>
    </row>
    <row r="4">
      <c r="A4" s="28">
        <v>2713993.0</v>
      </c>
      <c r="B4" s="4" t="s">
        <v>355</v>
      </c>
      <c r="C4" s="11">
        <v>46092.0</v>
      </c>
      <c r="D4" s="11">
        <v>46094.0</v>
      </c>
      <c r="E4" s="4" t="s">
        <v>479</v>
      </c>
      <c r="F4" s="4" t="s">
        <v>477</v>
      </c>
    </row>
    <row r="5">
      <c r="A5" s="28">
        <v>2604360.0</v>
      </c>
      <c r="B5" s="4" t="s">
        <v>409</v>
      </c>
      <c r="C5" s="11">
        <v>46092.0</v>
      </c>
      <c r="D5" s="11">
        <v>46094.0</v>
      </c>
      <c r="E5" s="4" t="s">
        <v>479</v>
      </c>
      <c r="F5" s="4" t="s">
        <v>477</v>
      </c>
    </row>
    <row r="6">
      <c r="A6" s="28">
        <v>2369624.0</v>
      </c>
      <c r="B6" s="4" t="s">
        <v>480</v>
      </c>
      <c r="C6" s="11">
        <v>46092.0</v>
      </c>
      <c r="D6" s="11">
        <v>46094.0</v>
      </c>
      <c r="E6" s="4" t="s">
        <v>479</v>
      </c>
      <c r="F6" s="4" t="s">
        <v>477</v>
      </c>
    </row>
    <row r="7">
      <c r="A7" s="28">
        <v>2823133.0</v>
      </c>
      <c r="B7" s="4" t="s">
        <v>88</v>
      </c>
      <c r="C7" s="11">
        <v>46094.0</v>
      </c>
      <c r="D7" s="11">
        <v>46094.0</v>
      </c>
      <c r="E7" s="4" t="s">
        <v>481</v>
      </c>
      <c r="F7" s="4" t="s">
        <v>477</v>
      </c>
    </row>
    <row r="8">
      <c r="A8" s="28">
        <v>1271571.0</v>
      </c>
      <c r="B8" s="4" t="s">
        <v>368</v>
      </c>
      <c r="C8" s="11">
        <v>46094.0</v>
      </c>
      <c r="D8" s="11">
        <v>46094.0</v>
      </c>
      <c r="E8" s="4" t="s">
        <v>481</v>
      </c>
      <c r="F8" s="4" t="s">
        <v>477</v>
      </c>
    </row>
    <row r="9">
      <c r="A9" s="28">
        <v>3217561.0</v>
      </c>
      <c r="B9" s="4" t="s">
        <v>86</v>
      </c>
      <c r="C9" s="11">
        <v>46094.0</v>
      </c>
      <c r="D9" s="11">
        <v>46094.0</v>
      </c>
      <c r="E9" s="4" t="s">
        <v>481</v>
      </c>
      <c r="F9" s="4" t="s">
        <v>477</v>
      </c>
    </row>
    <row r="10">
      <c r="A10" s="28">
        <v>2369641.0</v>
      </c>
      <c r="B10" s="4" t="s">
        <v>394</v>
      </c>
      <c r="C10" s="11">
        <v>46094.0</v>
      </c>
      <c r="D10" s="11">
        <v>46094.0</v>
      </c>
      <c r="E10" s="4" t="s">
        <v>481</v>
      </c>
      <c r="F10" s="4" t="s">
        <v>477</v>
      </c>
    </row>
    <row r="11">
      <c r="A11" s="28">
        <v>967092.0</v>
      </c>
      <c r="B11" s="4" t="s">
        <v>391</v>
      </c>
      <c r="C11" s="11">
        <v>46094.0</v>
      </c>
      <c r="D11" s="11">
        <v>46094.0</v>
      </c>
      <c r="E11" s="4" t="s">
        <v>481</v>
      </c>
      <c r="F11" s="4" t="s">
        <v>477</v>
      </c>
    </row>
    <row r="12">
      <c r="A12" s="28">
        <v>2713993.0</v>
      </c>
      <c r="B12" s="4" t="s">
        <v>355</v>
      </c>
      <c r="C12" s="11">
        <v>46094.0</v>
      </c>
      <c r="D12" s="11">
        <v>46094.0</v>
      </c>
      <c r="E12" s="4" t="s">
        <v>481</v>
      </c>
      <c r="F12" s="4" t="s">
        <v>477</v>
      </c>
    </row>
    <row r="13">
      <c r="A13" s="28">
        <v>3852423.0</v>
      </c>
      <c r="B13" s="4" t="s">
        <v>406</v>
      </c>
      <c r="C13" s="11">
        <v>46094.0</v>
      </c>
      <c r="D13" s="11">
        <v>46094.0</v>
      </c>
      <c r="E13" s="4" t="s">
        <v>481</v>
      </c>
      <c r="F13" s="4" t="s">
        <v>477</v>
      </c>
    </row>
    <row r="14">
      <c r="A14" s="28">
        <v>3841387.0</v>
      </c>
      <c r="B14" s="4" t="s">
        <v>428</v>
      </c>
      <c r="C14" s="11">
        <v>46094.0</v>
      </c>
      <c r="D14" s="11">
        <v>46094.0</v>
      </c>
      <c r="E14" s="4" t="s">
        <v>481</v>
      </c>
      <c r="F14" s="4" t="s">
        <v>477</v>
      </c>
    </row>
    <row r="15">
      <c r="A15" s="28">
        <v>3134911.0</v>
      </c>
      <c r="B15" s="4" t="s">
        <v>401</v>
      </c>
      <c r="C15" s="11">
        <v>46094.0</v>
      </c>
      <c r="D15" s="11">
        <v>46094.0</v>
      </c>
      <c r="E15" s="4" t="s">
        <v>481</v>
      </c>
      <c r="F15" s="4" t="s">
        <v>482</v>
      </c>
    </row>
    <row r="16">
      <c r="A16" s="28">
        <v>29530.0</v>
      </c>
      <c r="B16" s="4" t="s">
        <v>379</v>
      </c>
      <c r="C16" s="11">
        <v>46094.0</v>
      </c>
      <c r="D16" s="11">
        <v>46094.0</v>
      </c>
      <c r="E16" s="4" t="s">
        <v>481</v>
      </c>
      <c r="F16" s="4" t="s">
        <v>477</v>
      </c>
    </row>
    <row r="17">
      <c r="A17" s="28">
        <v>3750335.0</v>
      </c>
      <c r="B17" s="4" t="s">
        <v>403</v>
      </c>
      <c r="C17" s="11">
        <v>46094.0</v>
      </c>
      <c r="D17" s="11">
        <v>46094.0</v>
      </c>
      <c r="E17" s="4" t="s">
        <v>481</v>
      </c>
      <c r="F17" s="4" t="s">
        <v>477</v>
      </c>
    </row>
    <row r="18">
      <c r="A18" s="28">
        <v>3779550.0</v>
      </c>
      <c r="B18" s="4" t="s">
        <v>377</v>
      </c>
      <c r="C18" s="11">
        <v>46094.0</v>
      </c>
      <c r="D18" s="11">
        <v>46094.0</v>
      </c>
      <c r="E18" s="4" t="s">
        <v>481</v>
      </c>
      <c r="F18" s="4" t="s">
        <v>477</v>
      </c>
    </row>
    <row r="19">
      <c r="A19" s="28">
        <v>2440915.0</v>
      </c>
      <c r="B19" s="4" t="s">
        <v>420</v>
      </c>
      <c r="C19" s="11">
        <v>46094.0</v>
      </c>
      <c r="D19" s="11">
        <v>46094.0</v>
      </c>
      <c r="E19" s="4" t="s">
        <v>481</v>
      </c>
      <c r="F19" s="4" t="s">
        <v>477</v>
      </c>
    </row>
    <row r="20">
      <c r="A20" s="28">
        <v>2843319.0</v>
      </c>
      <c r="B20" s="4" t="s">
        <v>372</v>
      </c>
      <c r="C20" s="11">
        <v>46094.0</v>
      </c>
      <c r="D20" s="11">
        <v>46094.0</v>
      </c>
      <c r="E20" s="4" t="s">
        <v>481</v>
      </c>
      <c r="F20" s="4" t="s">
        <v>477</v>
      </c>
    </row>
    <row r="21">
      <c r="A21" s="28">
        <v>3189967.0</v>
      </c>
      <c r="B21" s="4" t="s">
        <v>414</v>
      </c>
      <c r="C21" s="11">
        <v>46094.0</v>
      </c>
      <c r="D21" s="11">
        <v>46094.0</v>
      </c>
      <c r="E21" s="4" t="s">
        <v>481</v>
      </c>
      <c r="F21" s="4" t="s">
        <v>477</v>
      </c>
    </row>
    <row r="22">
      <c r="A22" s="28">
        <v>2963161.0</v>
      </c>
      <c r="B22" s="4" t="s">
        <v>483</v>
      </c>
      <c r="C22" s="11">
        <v>46094.0</v>
      </c>
      <c r="D22" s="11">
        <v>46094.0</v>
      </c>
      <c r="E22" s="4" t="s">
        <v>481</v>
      </c>
      <c r="F22" s="4" t="s">
        <v>477</v>
      </c>
    </row>
    <row r="23">
      <c r="A23" s="28">
        <v>2604360.0</v>
      </c>
      <c r="B23" s="4" t="s">
        <v>409</v>
      </c>
      <c r="C23" s="11">
        <v>46094.0</v>
      </c>
      <c r="D23" s="11">
        <v>46094.0</v>
      </c>
      <c r="E23" s="4" t="s">
        <v>481</v>
      </c>
      <c r="F23" s="4" t="s">
        <v>477</v>
      </c>
    </row>
    <row r="24">
      <c r="A24" s="28">
        <v>2415373.0</v>
      </c>
      <c r="B24" s="4" t="s">
        <v>417</v>
      </c>
      <c r="C24" s="11">
        <v>46094.0</v>
      </c>
      <c r="D24" s="11">
        <v>46094.0</v>
      </c>
      <c r="E24" s="4" t="s">
        <v>481</v>
      </c>
      <c r="F24" s="4" t="s">
        <v>477</v>
      </c>
    </row>
    <row r="25">
      <c r="A25" s="28">
        <v>2369624.0</v>
      </c>
      <c r="B25" s="4" t="s">
        <v>480</v>
      </c>
      <c r="C25" s="11">
        <v>46094.0</v>
      </c>
      <c r="D25" s="11">
        <v>46094.0</v>
      </c>
      <c r="E25" s="4" t="s">
        <v>481</v>
      </c>
      <c r="F25" s="4" t="s">
        <v>477</v>
      </c>
    </row>
    <row r="26">
      <c r="A26" s="28">
        <v>2396710.0</v>
      </c>
      <c r="B26" s="4" t="s">
        <v>365</v>
      </c>
      <c r="C26" s="11">
        <v>46094.0</v>
      </c>
      <c r="D26" s="11">
        <v>46094.0</v>
      </c>
      <c r="E26" s="4" t="s">
        <v>481</v>
      </c>
      <c r="F26" s="4" t="s">
        <v>477</v>
      </c>
    </row>
    <row r="27">
      <c r="A27" s="28">
        <v>2823133.0</v>
      </c>
      <c r="B27" s="4" t="s">
        <v>88</v>
      </c>
      <c r="C27" s="11">
        <v>46118.0</v>
      </c>
      <c r="D27" s="11">
        <v>46120.0</v>
      </c>
      <c r="E27" s="4" t="s">
        <v>484</v>
      </c>
      <c r="F27" s="4" t="s">
        <v>477</v>
      </c>
    </row>
    <row r="28">
      <c r="A28" s="28">
        <v>3852423.0</v>
      </c>
      <c r="B28" s="4" t="s">
        <v>406</v>
      </c>
      <c r="C28" s="11">
        <v>46118.0</v>
      </c>
      <c r="D28" s="11">
        <v>46120.0</v>
      </c>
      <c r="E28" s="4" t="s">
        <v>484</v>
      </c>
      <c r="F28" s="4" t="s">
        <v>477</v>
      </c>
    </row>
    <row r="29">
      <c r="A29" s="28">
        <v>3841387.0</v>
      </c>
      <c r="B29" s="4" t="s">
        <v>428</v>
      </c>
      <c r="C29" s="11">
        <v>46118.0</v>
      </c>
      <c r="D29" s="11">
        <v>46120.0</v>
      </c>
      <c r="E29" s="4" t="s">
        <v>484</v>
      </c>
      <c r="F29" s="4" t="s">
        <v>477</v>
      </c>
    </row>
    <row r="30">
      <c r="A30" s="28">
        <v>3134911.0</v>
      </c>
      <c r="B30" s="4" t="s">
        <v>401</v>
      </c>
      <c r="C30" s="11">
        <v>46118.0</v>
      </c>
      <c r="D30" s="11">
        <v>46120.0</v>
      </c>
      <c r="E30" s="4" t="s">
        <v>484</v>
      </c>
      <c r="F30" s="4" t="s">
        <v>477</v>
      </c>
    </row>
    <row r="31">
      <c r="A31" s="28">
        <v>2823133.0</v>
      </c>
      <c r="B31" s="4" t="s">
        <v>88</v>
      </c>
      <c r="C31" s="11">
        <v>46121.0</v>
      </c>
      <c r="D31" s="11">
        <v>46122.0</v>
      </c>
      <c r="E31" s="4" t="s">
        <v>485</v>
      </c>
      <c r="F31" s="4" t="s">
        <v>477</v>
      </c>
    </row>
    <row r="32">
      <c r="A32" s="28">
        <v>1271571.0</v>
      </c>
      <c r="B32" s="4" t="s">
        <v>368</v>
      </c>
      <c r="C32" s="11">
        <v>46121.0</v>
      </c>
      <c r="D32" s="11">
        <v>46122.0</v>
      </c>
      <c r="E32" s="4" t="s">
        <v>485</v>
      </c>
      <c r="F32" s="4" t="s">
        <v>477</v>
      </c>
    </row>
    <row r="33">
      <c r="A33" s="28">
        <v>3217561.0</v>
      </c>
      <c r="B33" s="4" t="s">
        <v>86</v>
      </c>
      <c r="C33" s="11">
        <v>46121.0</v>
      </c>
      <c r="D33" s="11">
        <v>46122.0</v>
      </c>
      <c r="E33" s="4" t="s">
        <v>485</v>
      </c>
      <c r="F33" s="4" t="s">
        <v>482</v>
      </c>
    </row>
    <row r="34">
      <c r="A34" s="28">
        <v>2369641.0</v>
      </c>
      <c r="B34" s="4" t="s">
        <v>394</v>
      </c>
      <c r="C34" s="11">
        <v>46121.0</v>
      </c>
      <c r="D34" s="11">
        <v>46122.0</v>
      </c>
      <c r="E34" s="4" t="s">
        <v>485</v>
      </c>
      <c r="F34" s="4" t="s">
        <v>477</v>
      </c>
    </row>
    <row r="35">
      <c r="A35" s="28">
        <v>967092.0</v>
      </c>
      <c r="B35" s="4" t="s">
        <v>391</v>
      </c>
      <c r="C35" s="11">
        <v>46121.0</v>
      </c>
      <c r="D35" s="11">
        <v>46122.0</v>
      </c>
      <c r="E35" s="4" t="s">
        <v>485</v>
      </c>
      <c r="F35" s="4" t="s">
        <v>477</v>
      </c>
    </row>
    <row r="36">
      <c r="A36" s="28">
        <v>2713993.0</v>
      </c>
      <c r="B36" s="4" t="s">
        <v>355</v>
      </c>
      <c r="C36" s="11">
        <v>46121.0</v>
      </c>
      <c r="D36" s="11">
        <v>46122.0</v>
      </c>
      <c r="E36" s="4" t="s">
        <v>485</v>
      </c>
      <c r="F36" s="4" t="s">
        <v>477</v>
      </c>
    </row>
    <row r="37">
      <c r="A37" s="28">
        <v>3852423.0</v>
      </c>
      <c r="B37" s="4" t="s">
        <v>406</v>
      </c>
      <c r="C37" s="11">
        <v>46121.0</v>
      </c>
      <c r="D37" s="11">
        <v>46122.0</v>
      </c>
      <c r="E37" s="4" t="s">
        <v>485</v>
      </c>
      <c r="F37" s="4" t="s">
        <v>477</v>
      </c>
    </row>
    <row r="38">
      <c r="A38" s="28">
        <v>3841387.0</v>
      </c>
      <c r="B38" s="4" t="s">
        <v>428</v>
      </c>
      <c r="C38" s="11">
        <v>46121.0</v>
      </c>
      <c r="D38" s="11">
        <v>46122.0</v>
      </c>
      <c r="E38" s="4" t="s">
        <v>485</v>
      </c>
      <c r="F38" s="4" t="s">
        <v>477</v>
      </c>
    </row>
    <row r="39">
      <c r="A39" s="28">
        <v>3134911.0</v>
      </c>
      <c r="B39" s="4" t="s">
        <v>401</v>
      </c>
      <c r="C39" s="11">
        <v>46121.0</v>
      </c>
      <c r="D39" s="11">
        <v>46122.0</v>
      </c>
      <c r="E39" s="4" t="s">
        <v>485</v>
      </c>
      <c r="F39" s="4" t="s">
        <v>477</v>
      </c>
    </row>
    <row r="40">
      <c r="A40" s="28">
        <v>29530.0</v>
      </c>
      <c r="B40" s="4" t="s">
        <v>379</v>
      </c>
      <c r="C40" s="11">
        <v>46121.0</v>
      </c>
      <c r="D40" s="11">
        <v>46122.0</v>
      </c>
      <c r="E40" s="4" t="s">
        <v>485</v>
      </c>
      <c r="F40" s="4" t="s">
        <v>477</v>
      </c>
    </row>
    <row r="41">
      <c r="A41" s="28">
        <v>3750335.0</v>
      </c>
      <c r="B41" s="4" t="s">
        <v>403</v>
      </c>
      <c r="C41" s="11">
        <v>46121.0</v>
      </c>
      <c r="D41" s="11">
        <v>46122.0</v>
      </c>
      <c r="E41" s="4" t="s">
        <v>485</v>
      </c>
      <c r="F41" s="4" t="s">
        <v>477</v>
      </c>
    </row>
    <row r="42">
      <c r="A42" s="28">
        <v>3779550.0</v>
      </c>
      <c r="B42" s="4" t="s">
        <v>377</v>
      </c>
      <c r="C42" s="11">
        <v>46121.0</v>
      </c>
      <c r="D42" s="11">
        <v>46122.0</v>
      </c>
      <c r="E42" s="4" t="s">
        <v>485</v>
      </c>
      <c r="F42" s="4" t="s">
        <v>482</v>
      </c>
    </row>
    <row r="43">
      <c r="A43" s="28">
        <v>2440915.0</v>
      </c>
      <c r="B43" s="4" t="s">
        <v>420</v>
      </c>
      <c r="C43" s="11">
        <v>46121.0</v>
      </c>
      <c r="D43" s="11">
        <v>46122.0</v>
      </c>
      <c r="E43" s="4" t="s">
        <v>485</v>
      </c>
      <c r="F43" s="4" t="s">
        <v>477</v>
      </c>
    </row>
    <row r="44">
      <c r="A44" s="28">
        <v>2843319.0</v>
      </c>
      <c r="B44" s="4" t="s">
        <v>372</v>
      </c>
      <c r="C44" s="11">
        <v>46121.0</v>
      </c>
      <c r="D44" s="11">
        <v>46122.0</v>
      </c>
      <c r="E44" s="4" t="s">
        <v>485</v>
      </c>
      <c r="F44" s="4" t="s">
        <v>477</v>
      </c>
    </row>
    <row r="45">
      <c r="A45" s="28">
        <v>3189967.0</v>
      </c>
      <c r="B45" s="4" t="s">
        <v>414</v>
      </c>
      <c r="C45" s="11">
        <v>46121.0</v>
      </c>
      <c r="D45" s="11">
        <v>46122.0</v>
      </c>
      <c r="E45" s="4" t="s">
        <v>485</v>
      </c>
      <c r="F45" s="4" t="s">
        <v>477</v>
      </c>
    </row>
    <row r="46">
      <c r="A46" s="28">
        <v>2604360.0</v>
      </c>
      <c r="B46" s="4" t="s">
        <v>409</v>
      </c>
      <c r="C46" s="11">
        <v>46121.0</v>
      </c>
      <c r="D46" s="11">
        <v>46122.0</v>
      </c>
      <c r="E46" s="4" t="s">
        <v>485</v>
      </c>
      <c r="F46" s="4" t="s">
        <v>477</v>
      </c>
    </row>
    <row r="47">
      <c r="A47" s="28">
        <v>2415373.0</v>
      </c>
      <c r="B47" s="4" t="s">
        <v>417</v>
      </c>
      <c r="C47" s="11">
        <v>46121.0</v>
      </c>
      <c r="D47" s="11">
        <v>46122.0</v>
      </c>
      <c r="E47" s="4" t="s">
        <v>485</v>
      </c>
      <c r="F47" s="4" t="s">
        <v>477</v>
      </c>
    </row>
    <row r="48">
      <c r="A48" s="28">
        <v>2369624.0</v>
      </c>
      <c r="B48" s="4" t="s">
        <v>480</v>
      </c>
      <c r="C48" s="11">
        <v>46121.0</v>
      </c>
      <c r="D48" s="11">
        <v>46122.0</v>
      </c>
      <c r="E48" s="4" t="s">
        <v>485</v>
      </c>
      <c r="F48" s="4" t="s">
        <v>482</v>
      </c>
    </row>
    <row r="49">
      <c r="A49" s="28">
        <v>2396710.0</v>
      </c>
      <c r="B49" s="4" t="s">
        <v>365</v>
      </c>
      <c r="C49" s="11">
        <v>46121.0</v>
      </c>
      <c r="D49" s="11">
        <v>46122.0</v>
      </c>
      <c r="E49" s="4" t="s">
        <v>485</v>
      </c>
      <c r="F49" s="4" t="s">
        <v>477</v>
      </c>
    </row>
    <row r="50">
      <c r="A50" s="28">
        <v>1271571.0</v>
      </c>
      <c r="B50" s="4" t="s">
        <v>368</v>
      </c>
      <c r="C50" s="11">
        <v>46128.0</v>
      </c>
      <c r="D50" s="11">
        <v>46128.0</v>
      </c>
      <c r="E50" s="4" t="s">
        <v>486</v>
      </c>
      <c r="F50" s="4" t="s">
        <v>477</v>
      </c>
    </row>
    <row r="51">
      <c r="A51" s="28">
        <v>2604360.0</v>
      </c>
      <c r="B51" s="4" t="s">
        <v>409</v>
      </c>
      <c r="C51" s="11">
        <v>46128.0</v>
      </c>
      <c r="D51" s="11">
        <v>46128.0</v>
      </c>
      <c r="E51" s="4" t="s">
        <v>486</v>
      </c>
      <c r="F51" s="4" t="s">
        <v>477</v>
      </c>
    </row>
    <row r="52">
      <c r="A52" s="28">
        <v>71348.0</v>
      </c>
      <c r="B52" s="4" t="s">
        <v>385</v>
      </c>
      <c r="C52" s="11">
        <v>46143.0</v>
      </c>
      <c r="D52" s="11">
        <v>46173.0</v>
      </c>
      <c r="E52" s="4" t="s">
        <v>181</v>
      </c>
      <c r="F52" s="4" t="s">
        <v>477</v>
      </c>
    </row>
    <row r="53">
      <c r="A53" s="28">
        <v>3796947.0</v>
      </c>
      <c r="B53" s="4" t="s">
        <v>423</v>
      </c>
      <c r="C53" s="11">
        <v>46143.0</v>
      </c>
      <c r="D53" s="11">
        <v>46173.0</v>
      </c>
      <c r="E53" s="4" t="s">
        <v>478</v>
      </c>
      <c r="F53" s="4" t="s">
        <v>477</v>
      </c>
    </row>
    <row r="54">
      <c r="A54" s="28">
        <v>2369641.0</v>
      </c>
      <c r="B54" s="4" t="s">
        <v>394</v>
      </c>
      <c r="C54" s="11">
        <v>46146.0</v>
      </c>
      <c r="D54" s="11">
        <v>46146.0</v>
      </c>
      <c r="E54" s="4" t="s">
        <v>487</v>
      </c>
      <c r="F54" s="4" t="s">
        <v>477</v>
      </c>
    </row>
    <row r="55">
      <c r="A55" s="28">
        <v>3134911.0</v>
      </c>
      <c r="B55" s="4" t="s">
        <v>401</v>
      </c>
      <c r="C55" s="11">
        <v>46146.0</v>
      </c>
      <c r="D55" s="11">
        <v>46146.0</v>
      </c>
      <c r="E55" s="4" t="s">
        <v>487</v>
      </c>
      <c r="F55" s="4" t="s">
        <v>477</v>
      </c>
    </row>
    <row r="56">
      <c r="A56" s="28">
        <v>3750335.0</v>
      </c>
      <c r="B56" s="4" t="s">
        <v>403</v>
      </c>
      <c r="C56" s="11">
        <v>46146.0</v>
      </c>
      <c r="D56" s="11">
        <v>46146.0</v>
      </c>
      <c r="E56" s="4" t="s">
        <v>487</v>
      </c>
      <c r="F56" s="4" t="s">
        <v>477</v>
      </c>
    </row>
    <row r="57">
      <c r="A57" s="28">
        <v>2369624.0</v>
      </c>
      <c r="B57" s="4" t="s">
        <v>398</v>
      </c>
      <c r="C57" s="11">
        <v>46146.0</v>
      </c>
      <c r="D57" s="11">
        <v>46146.0</v>
      </c>
      <c r="E57" s="4" t="s">
        <v>487</v>
      </c>
      <c r="F57" s="4" t="s">
        <v>477</v>
      </c>
    </row>
    <row r="58">
      <c r="A58" s="28">
        <v>2713993.0</v>
      </c>
      <c r="B58" s="4" t="s">
        <v>355</v>
      </c>
      <c r="C58" s="11">
        <v>46147.0</v>
      </c>
      <c r="D58" s="11">
        <v>46147.0</v>
      </c>
      <c r="E58" s="4" t="s">
        <v>488</v>
      </c>
      <c r="F58" s="4" t="s">
        <v>477</v>
      </c>
    </row>
    <row r="59">
      <c r="A59" s="28">
        <v>2823133.0</v>
      </c>
      <c r="B59" s="4" t="s">
        <v>88</v>
      </c>
      <c r="C59" s="11">
        <v>46150.0</v>
      </c>
      <c r="D59" s="11">
        <v>46150.0</v>
      </c>
      <c r="E59" s="4" t="s">
        <v>481</v>
      </c>
      <c r="F59" s="4" t="s">
        <v>477</v>
      </c>
    </row>
    <row r="60">
      <c r="A60" s="28">
        <v>1271571.0</v>
      </c>
      <c r="B60" s="4" t="s">
        <v>368</v>
      </c>
      <c r="C60" s="11">
        <v>46150.0</v>
      </c>
      <c r="D60" s="11">
        <v>46150.0</v>
      </c>
      <c r="E60" s="4" t="s">
        <v>481</v>
      </c>
      <c r="F60" s="4" t="s">
        <v>477</v>
      </c>
    </row>
    <row r="61">
      <c r="A61" s="28">
        <v>3217561.0</v>
      </c>
      <c r="B61" s="4" t="s">
        <v>86</v>
      </c>
      <c r="C61" s="11">
        <v>46150.0</v>
      </c>
      <c r="D61" s="11">
        <v>46150.0</v>
      </c>
      <c r="E61" s="4" t="s">
        <v>481</v>
      </c>
      <c r="F61" s="4" t="s">
        <v>477</v>
      </c>
    </row>
    <row r="62">
      <c r="A62" s="28">
        <v>2369641.0</v>
      </c>
      <c r="B62" s="4" t="s">
        <v>394</v>
      </c>
      <c r="C62" s="11">
        <v>46150.0</v>
      </c>
      <c r="D62" s="11">
        <v>46150.0</v>
      </c>
      <c r="E62" s="4" t="s">
        <v>481</v>
      </c>
      <c r="F62" s="4" t="s">
        <v>477</v>
      </c>
    </row>
    <row r="63">
      <c r="A63" s="28">
        <v>967092.0</v>
      </c>
      <c r="B63" s="4" t="s">
        <v>391</v>
      </c>
      <c r="C63" s="11">
        <v>46150.0</v>
      </c>
      <c r="D63" s="11">
        <v>46150.0</v>
      </c>
      <c r="E63" s="4" t="s">
        <v>481</v>
      </c>
      <c r="F63" s="4" t="s">
        <v>477</v>
      </c>
    </row>
    <row r="64">
      <c r="A64" s="28">
        <v>2713993.0</v>
      </c>
      <c r="B64" s="4" t="s">
        <v>355</v>
      </c>
      <c r="C64" s="11">
        <v>46150.0</v>
      </c>
      <c r="D64" s="11">
        <v>46150.0</v>
      </c>
      <c r="E64" s="4" t="s">
        <v>481</v>
      </c>
      <c r="F64" s="4" t="s">
        <v>477</v>
      </c>
    </row>
    <row r="65">
      <c r="A65" s="28">
        <v>3852423.0</v>
      </c>
      <c r="B65" s="4" t="s">
        <v>406</v>
      </c>
      <c r="C65" s="11">
        <v>46150.0</v>
      </c>
      <c r="D65" s="11">
        <v>46150.0</v>
      </c>
      <c r="E65" s="4" t="s">
        <v>481</v>
      </c>
      <c r="F65" s="4" t="s">
        <v>477</v>
      </c>
    </row>
    <row r="66">
      <c r="A66" s="28">
        <v>3841387.0</v>
      </c>
      <c r="B66" s="4" t="s">
        <v>428</v>
      </c>
      <c r="C66" s="11">
        <v>46150.0</v>
      </c>
      <c r="D66" s="11">
        <v>46150.0</v>
      </c>
      <c r="E66" s="4" t="s">
        <v>481</v>
      </c>
      <c r="F66" s="4" t="s">
        <v>477</v>
      </c>
    </row>
    <row r="67">
      <c r="A67" s="28">
        <v>3134911.0</v>
      </c>
      <c r="B67" s="4" t="s">
        <v>401</v>
      </c>
      <c r="C67" s="11">
        <v>46150.0</v>
      </c>
      <c r="D67" s="11">
        <v>46150.0</v>
      </c>
      <c r="E67" s="4" t="s">
        <v>481</v>
      </c>
      <c r="F67" s="4" t="s">
        <v>477</v>
      </c>
    </row>
    <row r="68">
      <c r="A68" s="28">
        <v>29530.0</v>
      </c>
      <c r="B68" s="4" t="s">
        <v>379</v>
      </c>
      <c r="C68" s="11">
        <v>46150.0</v>
      </c>
      <c r="D68" s="11">
        <v>46150.0</v>
      </c>
      <c r="E68" s="4" t="s">
        <v>481</v>
      </c>
      <c r="F68" s="4" t="s">
        <v>477</v>
      </c>
    </row>
    <row r="69">
      <c r="A69" s="28">
        <v>3750335.0</v>
      </c>
      <c r="B69" s="4" t="s">
        <v>403</v>
      </c>
      <c r="C69" s="11">
        <v>46150.0</v>
      </c>
      <c r="D69" s="11">
        <v>46150.0</v>
      </c>
      <c r="E69" s="4" t="s">
        <v>481</v>
      </c>
      <c r="F69" s="4" t="s">
        <v>477</v>
      </c>
    </row>
    <row r="70">
      <c r="A70" s="28">
        <v>3779550.0</v>
      </c>
      <c r="B70" s="4" t="s">
        <v>377</v>
      </c>
      <c r="C70" s="11">
        <v>46150.0</v>
      </c>
      <c r="D70" s="11">
        <v>46150.0</v>
      </c>
      <c r="E70" s="4" t="s">
        <v>481</v>
      </c>
      <c r="F70" s="4" t="s">
        <v>477</v>
      </c>
    </row>
    <row r="71">
      <c r="A71" s="28">
        <v>2440915.0</v>
      </c>
      <c r="B71" s="4" t="s">
        <v>420</v>
      </c>
      <c r="C71" s="11">
        <v>46150.0</v>
      </c>
      <c r="D71" s="11">
        <v>46150.0</v>
      </c>
      <c r="E71" s="4" t="s">
        <v>481</v>
      </c>
      <c r="F71" s="4" t="s">
        <v>477</v>
      </c>
    </row>
    <row r="72">
      <c r="A72" s="28">
        <v>2843319.0</v>
      </c>
      <c r="B72" s="4" t="s">
        <v>372</v>
      </c>
      <c r="C72" s="11">
        <v>46150.0</v>
      </c>
      <c r="D72" s="11">
        <v>46150.0</v>
      </c>
      <c r="E72" s="4" t="s">
        <v>481</v>
      </c>
      <c r="F72" s="4" t="s">
        <v>477</v>
      </c>
    </row>
    <row r="73">
      <c r="A73" s="28">
        <v>3189967.0</v>
      </c>
      <c r="B73" s="4" t="s">
        <v>414</v>
      </c>
      <c r="C73" s="11">
        <v>46150.0</v>
      </c>
      <c r="D73" s="11">
        <v>46150.0</v>
      </c>
      <c r="E73" s="4" t="s">
        <v>481</v>
      </c>
      <c r="F73" s="4" t="s">
        <v>477</v>
      </c>
    </row>
    <row r="74">
      <c r="A74" s="28">
        <v>2604360.0</v>
      </c>
      <c r="B74" s="4" t="s">
        <v>409</v>
      </c>
      <c r="C74" s="11">
        <v>46150.0</v>
      </c>
      <c r="D74" s="11">
        <v>46150.0</v>
      </c>
      <c r="E74" s="4" t="s">
        <v>481</v>
      </c>
      <c r="F74" s="4" t="s">
        <v>477</v>
      </c>
    </row>
    <row r="75">
      <c r="A75" s="28">
        <v>2415373.0</v>
      </c>
      <c r="B75" s="4" t="s">
        <v>417</v>
      </c>
      <c r="C75" s="11">
        <v>46150.0</v>
      </c>
      <c r="D75" s="11">
        <v>46150.0</v>
      </c>
      <c r="E75" s="4" t="s">
        <v>481</v>
      </c>
      <c r="F75" s="4" t="s">
        <v>482</v>
      </c>
    </row>
    <row r="76">
      <c r="A76" s="28">
        <v>2369624.0</v>
      </c>
      <c r="B76" s="4" t="s">
        <v>398</v>
      </c>
      <c r="C76" s="11">
        <v>46150.0</v>
      </c>
      <c r="D76" s="11">
        <v>46150.0</v>
      </c>
      <c r="E76" s="4" t="s">
        <v>481</v>
      </c>
      <c r="F76" s="4" t="s">
        <v>477</v>
      </c>
    </row>
    <row r="77">
      <c r="A77" s="28">
        <v>2396710.0</v>
      </c>
      <c r="B77" s="4" t="s">
        <v>365</v>
      </c>
      <c r="C77" s="11">
        <v>46150.0</v>
      </c>
      <c r="D77" s="11">
        <v>46150.0</v>
      </c>
      <c r="E77" s="4" t="s">
        <v>481</v>
      </c>
      <c r="F77" s="4" t="s">
        <v>477</v>
      </c>
    </row>
    <row r="78">
      <c r="A78" s="28">
        <v>2823133.0</v>
      </c>
      <c r="B78" s="4" t="s">
        <v>88</v>
      </c>
      <c r="C78" s="11">
        <v>46164.0</v>
      </c>
      <c r="D78" s="11">
        <v>46164.0</v>
      </c>
      <c r="E78" s="4" t="s">
        <v>487</v>
      </c>
      <c r="F78" s="4" t="s">
        <v>477</v>
      </c>
    </row>
    <row r="79">
      <c r="A79" s="28">
        <v>3841387.0</v>
      </c>
      <c r="B79" s="4" t="s">
        <v>428</v>
      </c>
      <c r="C79" s="11">
        <v>46164.0</v>
      </c>
      <c r="D79" s="11">
        <v>46164.0</v>
      </c>
      <c r="E79" s="4" t="s">
        <v>487</v>
      </c>
      <c r="F79" s="4" t="s">
        <v>477</v>
      </c>
    </row>
    <row r="80">
      <c r="A80" s="28">
        <v>2440915.0</v>
      </c>
      <c r="B80" s="4" t="s">
        <v>420</v>
      </c>
      <c r="C80" s="11">
        <v>46164.0</v>
      </c>
      <c r="D80" s="11">
        <v>46164.0</v>
      </c>
      <c r="E80" s="4" t="s">
        <v>487</v>
      </c>
      <c r="F80" s="4" t="s">
        <v>477</v>
      </c>
    </row>
    <row r="81">
      <c r="A81" s="28">
        <v>3189967.0</v>
      </c>
      <c r="B81" s="4" t="s">
        <v>414</v>
      </c>
      <c r="C81" s="11">
        <v>46164.0</v>
      </c>
      <c r="D81" s="11">
        <v>46164.0</v>
      </c>
      <c r="E81" s="4" t="s">
        <v>487</v>
      </c>
      <c r="F81" s="4" t="s">
        <v>477</v>
      </c>
    </row>
    <row r="82">
      <c r="A82" s="28">
        <v>2415373.0</v>
      </c>
      <c r="B82" s="4" t="s">
        <v>417</v>
      </c>
      <c r="C82" s="11">
        <v>46164.0</v>
      </c>
      <c r="D82" s="11">
        <v>46164.0</v>
      </c>
      <c r="E82" s="4" t="s">
        <v>487</v>
      </c>
      <c r="F82" s="4" t="s">
        <v>482</v>
      </c>
    </row>
    <row r="83">
      <c r="A83" s="28">
        <v>2823133.0</v>
      </c>
      <c r="B83" s="4" t="s">
        <v>88</v>
      </c>
      <c r="C83" s="11">
        <v>46171.0</v>
      </c>
      <c r="D83" s="11">
        <v>46171.0</v>
      </c>
      <c r="E83" s="4" t="s">
        <v>487</v>
      </c>
      <c r="F83" s="4" t="s">
        <v>477</v>
      </c>
    </row>
    <row r="84">
      <c r="A84" s="28">
        <v>3841387.0</v>
      </c>
      <c r="B84" s="4" t="s">
        <v>428</v>
      </c>
      <c r="C84" s="11">
        <v>46171.0</v>
      </c>
      <c r="D84" s="11">
        <v>46171.0</v>
      </c>
      <c r="E84" s="4" t="s">
        <v>487</v>
      </c>
      <c r="F84" s="4" t="s">
        <v>477</v>
      </c>
    </row>
    <row r="85">
      <c r="A85" s="28">
        <v>2440915.0</v>
      </c>
      <c r="B85" s="4" t="s">
        <v>420</v>
      </c>
      <c r="C85" s="11">
        <v>46171.0</v>
      </c>
      <c r="D85" s="11">
        <v>46171.0</v>
      </c>
      <c r="E85" s="4" t="s">
        <v>487</v>
      </c>
      <c r="F85" s="4" t="s">
        <v>477</v>
      </c>
    </row>
    <row r="86">
      <c r="A86" s="28">
        <v>3189967.0</v>
      </c>
      <c r="B86" s="4" t="s">
        <v>414</v>
      </c>
      <c r="C86" s="11">
        <v>46171.0</v>
      </c>
      <c r="D86" s="11">
        <v>46171.0</v>
      </c>
      <c r="E86" s="4" t="s">
        <v>487</v>
      </c>
      <c r="F86" s="4" t="s">
        <v>477</v>
      </c>
    </row>
    <row r="87">
      <c r="A87" s="28">
        <v>2415373.0</v>
      </c>
      <c r="B87" s="4" t="s">
        <v>417</v>
      </c>
      <c r="C87" s="11">
        <v>46171.0</v>
      </c>
      <c r="D87" s="11">
        <v>46171.0</v>
      </c>
      <c r="E87" s="4" t="s">
        <v>487</v>
      </c>
      <c r="F87" s="4" t="s">
        <v>482</v>
      </c>
    </row>
    <row r="88">
      <c r="A88" s="28">
        <v>1271571.0</v>
      </c>
      <c r="B88" s="4" t="s">
        <v>368</v>
      </c>
      <c r="C88" s="11">
        <v>46174.0</v>
      </c>
      <c r="D88" s="11">
        <v>46178.0</v>
      </c>
      <c r="E88" s="4" t="s">
        <v>481</v>
      </c>
      <c r="F88" s="4" t="s">
        <v>477</v>
      </c>
    </row>
    <row r="89">
      <c r="A89" s="28">
        <v>2713993.0</v>
      </c>
      <c r="B89" s="4" t="s">
        <v>355</v>
      </c>
      <c r="C89" s="11">
        <v>46174.0</v>
      </c>
      <c r="D89" s="11">
        <v>46174.0</v>
      </c>
      <c r="E89" s="4" t="s">
        <v>489</v>
      </c>
      <c r="F89" s="4" t="s">
        <v>477</v>
      </c>
    </row>
    <row r="90">
      <c r="A90" s="28">
        <v>2396710.0</v>
      </c>
      <c r="B90" s="4" t="s">
        <v>365</v>
      </c>
      <c r="C90" s="11">
        <v>46174.0</v>
      </c>
      <c r="D90" s="11">
        <v>46181.0</v>
      </c>
      <c r="E90" s="4" t="s">
        <v>488</v>
      </c>
      <c r="F90" s="4" t="s">
        <v>482</v>
      </c>
    </row>
    <row r="91">
      <c r="A91" s="28">
        <v>2823133.0</v>
      </c>
      <c r="B91" s="4" t="s">
        <v>88</v>
      </c>
      <c r="C91" s="11">
        <v>46185.0</v>
      </c>
      <c r="D91" s="11">
        <v>46185.0</v>
      </c>
      <c r="E91" s="4" t="s">
        <v>481</v>
      </c>
      <c r="F91" s="4" t="s">
        <v>477</v>
      </c>
    </row>
    <row r="92">
      <c r="A92" s="28">
        <v>1271571.0</v>
      </c>
      <c r="B92" s="4" t="s">
        <v>368</v>
      </c>
      <c r="C92" s="11">
        <v>46185.0</v>
      </c>
      <c r="D92" s="11">
        <v>46185.0</v>
      </c>
      <c r="E92" s="4" t="s">
        <v>481</v>
      </c>
      <c r="F92" s="4" t="s">
        <v>477</v>
      </c>
    </row>
    <row r="93">
      <c r="A93" s="28">
        <v>3217561.0</v>
      </c>
      <c r="B93" s="4" t="s">
        <v>86</v>
      </c>
      <c r="C93" s="11">
        <v>46185.0</v>
      </c>
      <c r="D93" s="11">
        <v>46185.0</v>
      </c>
      <c r="E93" s="4" t="s">
        <v>481</v>
      </c>
      <c r="F93" s="4" t="s">
        <v>477</v>
      </c>
    </row>
    <row r="94">
      <c r="A94" s="28">
        <v>2369641.0</v>
      </c>
      <c r="B94" s="4" t="s">
        <v>394</v>
      </c>
      <c r="C94" s="11">
        <v>46185.0</v>
      </c>
      <c r="D94" s="11">
        <v>46185.0</v>
      </c>
      <c r="E94" s="4" t="s">
        <v>481</v>
      </c>
      <c r="F94" s="4" t="s">
        <v>477</v>
      </c>
    </row>
    <row r="95">
      <c r="A95" s="28">
        <v>967092.0</v>
      </c>
      <c r="B95" s="4" t="s">
        <v>391</v>
      </c>
      <c r="C95" s="11">
        <v>46185.0</v>
      </c>
      <c r="D95" s="11">
        <v>46185.0</v>
      </c>
      <c r="E95" s="4" t="s">
        <v>481</v>
      </c>
      <c r="F95" s="4" t="s">
        <v>477</v>
      </c>
    </row>
    <row r="96">
      <c r="A96" s="28">
        <v>2713993.0</v>
      </c>
      <c r="B96" s="4" t="s">
        <v>355</v>
      </c>
      <c r="C96" s="11">
        <v>46185.0</v>
      </c>
      <c r="D96" s="11">
        <v>46185.0</v>
      </c>
      <c r="E96" s="4" t="s">
        <v>481</v>
      </c>
      <c r="F96" s="4" t="s">
        <v>477</v>
      </c>
    </row>
    <row r="97">
      <c r="A97" s="28">
        <v>3852423.0</v>
      </c>
      <c r="B97" s="4" t="s">
        <v>406</v>
      </c>
      <c r="C97" s="11">
        <v>46185.0</v>
      </c>
      <c r="D97" s="11">
        <v>46185.0</v>
      </c>
      <c r="E97" s="4" t="s">
        <v>481</v>
      </c>
      <c r="F97" s="4" t="s">
        <v>477</v>
      </c>
    </row>
    <row r="98">
      <c r="A98" s="28">
        <v>3841387.0</v>
      </c>
      <c r="B98" s="4" t="s">
        <v>428</v>
      </c>
      <c r="C98" s="11">
        <v>46185.0</v>
      </c>
      <c r="D98" s="11">
        <v>46185.0</v>
      </c>
      <c r="E98" s="4" t="s">
        <v>481</v>
      </c>
      <c r="F98" s="4" t="s">
        <v>477</v>
      </c>
    </row>
    <row r="99">
      <c r="A99" s="28">
        <v>3134911.0</v>
      </c>
      <c r="B99" s="4" t="s">
        <v>401</v>
      </c>
      <c r="C99" s="11">
        <v>46185.0</v>
      </c>
      <c r="D99" s="11">
        <v>46185.0</v>
      </c>
      <c r="E99" s="4" t="s">
        <v>481</v>
      </c>
      <c r="F99" s="4" t="s">
        <v>477</v>
      </c>
    </row>
    <row r="100">
      <c r="A100" s="28">
        <v>29530.0</v>
      </c>
      <c r="B100" s="4" t="s">
        <v>379</v>
      </c>
      <c r="C100" s="11">
        <v>46185.0</v>
      </c>
      <c r="D100" s="11">
        <v>46185.0</v>
      </c>
      <c r="E100" s="4" t="s">
        <v>481</v>
      </c>
      <c r="F100" s="4" t="s">
        <v>477</v>
      </c>
    </row>
    <row r="101">
      <c r="A101" s="28">
        <v>3750335.0</v>
      </c>
      <c r="B101" s="4" t="s">
        <v>403</v>
      </c>
      <c r="C101" s="11">
        <v>46185.0</v>
      </c>
      <c r="D101" s="11">
        <v>46185.0</v>
      </c>
      <c r="E101" s="4" t="s">
        <v>481</v>
      </c>
      <c r="F101" s="4" t="s">
        <v>477</v>
      </c>
    </row>
    <row r="102">
      <c r="A102" s="28">
        <v>3779550.0</v>
      </c>
      <c r="B102" s="4" t="s">
        <v>377</v>
      </c>
      <c r="C102" s="11">
        <v>46185.0</v>
      </c>
      <c r="D102" s="11">
        <v>46185.0</v>
      </c>
      <c r="E102" s="4" t="s">
        <v>481</v>
      </c>
      <c r="F102" s="4" t="s">
        <v>482</v>
      </c>
    </row>
    <row r="103">
      <c r="A103" s="28">
        <v>2440915.0</v>
      </c>
      <c r="B103" s="4" t="s">
        <v>420</v>
      </c>
      <c r="C103" s="11">
        <v>46185.0</v>
      </c>
      <c r="D103" s="11">
        <v>46185.0</v>
      </c>
      <c r="E103" s="4" t="s">
        <v>481</v>
      </c>
      <c r="F103" s="4" t="s">
        <v>477</v>
      </c>
    </row>
    <row r="104">
      <c r="A104" s="28">
        <v>2843319.0</v>
      </c>
      <c r="B104" s="4" t="s">
        <v>372</v>
      </c>
      <c r="C104" s="11">
        <v>46185.0</v>
      </c>
      <c r="D104" s="11">
        <v>46185.0</v>
      </c>
      <c r="E104" s="4" t="s">
        <v>481</v>
      </c>
      <c r="F104" s="4" t="s">
        <v>477</v>
      </c>
    </row>
    <row r="105">
      <c r="A105" s="28">
        <v>3189967.0</v>
      </c>
      <c r="B105" s="4" t="s">
        <v>414</v>
      </c>
      <c r="C105" s="11">
        <v>46185.0</v>
      </c>
      <c r="D105" s="11">
        <v>46185.0</v>
      </c>
      <c r="E105" s="4" t="s">
        <v>481</v>
      </c>
      <c r="F105" s="4" t="s">
        <v>477</v>
      </c>
    </row>
    <row r="106">
      <c r="A106" s="28">
        <v>2604360.0</v>
      </c>
      <c r="B106" s="4" t="s">
        <v>409</v>
      </c>
      <c r="C106" s="11">
        <v>46185.0</v>
      </c>
      <c r="D106" s="11">
        <v>46185.0</v>
      </c>
      <c r="E106" s="4" t="s">
        <v>481</v>
      </c>
      <c r="F106" s="4" t="s">
        <v>477</v>
      </c>
    </row>
    <row r="107">
      <c r="A107" s="28">
        <v>2415373.0</v>
      </c>
      <c r="B107" s="4" t="s">
        <v>417</v>
      </c>
      <c r="C107" s="11">
        <v>46185.0</v>
      </c>
      <c r="D107" s="11">
        <v>46185.0</v>
      </c>
      <c r="E107" s="4" t="s">
        <v>481</v>
      </c>
      <c r="F107" s="4" t="s">
        <v>477</v>
      </c>
    </row>
    <row r="108">
      <c r="A108" s="28">
        <v>2369624.0</v>
      </c>
      <c r="B108" s="4" t="s">
        <v>398</v>
      </c>
      <c r="C108" s="11">
        <v>46185.0</v>
      </c>
      <c r="D108" s="11">
        <v>46185.0</v>
      </c>
      <c r="E108" s="4" t="s">
        <v>481</v>
      </c>
      <c r="F108" s="4" t="s">
        <v>477</v>
      </c>
    </row>
    <row r="109">
      <c r="A109" s="28">
        <v>2396710.0</v>
      </c>
      <c r="B109" s="4" t="s">
        <v>365</v>
      </c>
      <c r="C109" s="11">
        <v>46185.0</v>
      </c>
      <c r="D109" s="11">
        <v>46185.0</v>
      </c>
      <c r="E109" s="4" t="s">
        <v>481</v>
      </c>
      <c r="F109" s="4" t="s">
        <v>477</v>
      </c>
    </row>
    <row r="110">
      <c r="A110" s="28">
        <v>3217561.0</v>
      </c>
      <c r="B110" s="4" t="s">
        <v>86</v>
      </c>
      <c r="C110" s="11">
        <v>46203.0</v>
      </c>
      <c r="D110" s="11">
        <v>46204.0</v>
      </c>
      <c r="E110" s="4" t="s">
        <v>490</v>
      </c>
      <c r="F110" s="4" t="s">
        <v>477</v>
      </c>
    </row>
    <row r="111">
      <c r="A111" s="28">
        <v>2713993.0</v>
      </c>
      <c r="B111" s="4" t="s">
        <v>355</v>
      </c>
      <c r="C111" s="11">
        <v>46203.0</v>
      </c>
      <c r="D111" s="11">
        <v>46204.0</v>
      </c>
      <c r="E111" s="4" t="s">
        <v>490</v>
      </c>
      <c r="F111" s="4" t="s">
        <v>477</v>
      </c>
    </row>
    <row r="112">
      <c r="A112" s="28">
        <v>2843319.0</v>
      </c>
      <c r="B112" s="4" t="s">
        <v>372</v>
      </c>
      <c r="C112" s="11">
        <v>46203.0</v>
      </c>
      <c r="D112" s="11">
        <v>46204.0</v>
      </c>
      <c r="E112" s="4" t="s">
        <v>490</v>
      </c>
      <c r="F112" s="4" t="s">
        <v>477</v>
      </c>
    </row>
    <row r="113">
      <c r="A113" s="28">
        <v>3189967.0</v>
      </c>
      <c r="B113" s="4" t="s">
        <v>414</v>
      </c>
      <c r="C113" s="11">
        <v>46203.0</v>
      </c>
      <c r="D113" s="11">
        <v>46204.0</v>
      </c>
      <c r="E113" s="4" t="s">
        <v>490</v>
      </c>
      <c r="F113" s="4" t="s">
        <v>477</v>
      </c>
    </row>
    <row r="114">
      <c r="A114" s="28">
        <v>2604360.0</v>
      </c>
      <c r="B114" s="4" t="s">
        <v>409</v>
      </c>
      <c r="C114" s="11">
        <v>46203.0</v>
      </c>
      <c r="D114" s="11">
        <v>46204.0</v>
      </c>
      <c r="E114" s="4" t="s">
        <v>490</v>
      </c>
      <c r="F114" s="4" t="s">
        <v>477</v>
      </c>
    </row>
    <row r="115">
      <c r="A115" s="28">
        <v>2369624.0</v>
      </c>
      <c r="B115" s="4" t="s">
        <v>398</v>
      </c>
      <c r="C115" s="11">
        <v>46203.0</v>
      </c>
      <c r="D115" s="11">
        <v>46204.0</v>
      </c>
      <c r="E115" s="4" t="s">
        <v>490</v>
      </c>
      <c r="F115" s="4" t="s">
        <v>477</v>
      </c>
    </row>
    <row r="116">
      <c r="A116" s="28">
        <v>3217561.0</v>
      </c>
      <c r="B116" s="4" t="s">
        <v>86</v>
      </c>
      <c r="C116" s="11">
        <v>46204.0</v>
      </c>
      <c r="D116" s="11">
        <v>46204.0</v>
      </c>
      <c r="E116" s="4" t="s">
        <v>490</v>
      </c>
      <c r="F116" s="4" t="s">
        <v>477</v>
      </c>
    </row>
    <row r="117">
      <c r="A117" s="28">
        <v>2713993.0</v>
      </c>
      <c r="B117" s="4" t="s">
        <v>355</v>
      </c>
      <c r="C117" s="11">
        <v>46204.0</v>
      </c>
      <c r="D117" s="11">
        <v>46204.0</v>
      </c>
      <c r="E117" s="4" t="s">
        <v>490</v>
      </c>
      <c r="F117" s="4" t="s">
        <v>477</v>
      </c>
    </row>
    <row r="118">
      <c r="A118" s="28">
        <v>2843319.0</v>
      </c>
      <c r="B118" s="4" t="s">
        <v>372</v>
      </c>
      <c r="C118" s="11">
        <v>46204.0</v>
      </c>
      <c r="D118" s="11">
        <v>46204.0</v>
      </c>
      <c r="E118" s="4" t="s">
        <v>490</v>
      </c>
      <c r="F118" s="4" t="s">
        <v>477</v>
      </c>
    </row>
    <row r="119">
      <c r="A119" s="28">
        <v>71348.0</v>
      </c>
      <c r="B119" s="4" t="s">
        <v>385</v>
      </c>
      <c r="C119" s="11">
        <v>46204.0</v>
      </c>
      <c r="D119" s="11">
        <v>46234.0</v>
      </c>
      <c r="E119" s="4" t="s">
        <v>181</v>
      </c>
      <c r="F119" s="4" t="s">
        <v>477</v>
      </c>
    </row>
    <row r="120">
      <c r="A120" s="28">
        <v>3189967.0</v>
      </c>
      <c r="B120" s="4" t="s">
        <v>414</v>
      </c>
      <c r="C120" s="11">
        <v>46204.0</v>
      </c>
      <c r="D120" s="11">
        <v>46204.0</v>
      </c>
      <c r="E120" s="4" t="s">
        <v>490</v>
      </c>
      <c r="F120" s="4" t="s">
        <v>477</v>
      </c>
    </row>
    <row r="121">
      <c r="A121" s="28">
        <v>2604360.0</v>
      </c>
      <c r="B121" s="4" t="s">
        <v>409</v>
      </c>
      <c r="C121" s="11">
        <v>46204.0</v>
      </c>
      <c r="D121" s="11">
        <v>46204.0</v>
      </c>
      <c r="E121" s="4" t="s">
        <v>490</v>
      </c>
      <c r="F121" s="4" t="s">
        <v>477</v>
      </c>
    </row>
    <row r="122">
      <c r="A122" s="28">
        <v>2369624.0</v>
      </c>
      <c r="B122" s="4" t="s">
        <v>398</v>
      </c>
      <c r="C122" s="11">
        <v>46204.0</v>
      </c>
      <c r="D122" s="11">
        <v>46204.0</v>
      </c>
      <c r="E122" s="4" t="s">
        <v>490</v>
      </c>
      <c r="F122" s="4" t="s">
        <v>477</v>
      </c>
    </row>
    <row r="123">
      <c r="A123" s="28">
        <v>3796947.0</v>
      </c>
      <c r="B123" s="4" t="s">
        <v>423</v>
      </c>
      <c r="C123" s="11">
        <v>46204.0</v>
      </c>
      <c r="D123" s="11">
        <v>46234.0</v>
      </c>
      <c r="E123" s="4" t="s">
        <v>478</v>
      </c>
      <c r="F123" s="4" t="s">
        <v>477</v>
      </c>
    </row>
    <row r="124">
      <c r="A124" s="28">
        <v>3217561.0</v>
      </c>
      <c r="B124" s="4" t="s">
        <v>86</v>
      </c>
      <c r="C124" s="11">
        <v>46206.0</v>
      </c>
      <c r="D124" s="11">
        <v>46206.0</v>
      </c>
      <c r="E124" s="4" t="s">
        <v>491</v>
      </c>
      <c r="F124" s="4" t="s">
        <v>477</v>
      </c>
    </row>
    <row r="125">
      <c r="A125" s="28">
        <v>2823133.0</v>
      </c>
      <c r="B125" s="4" t="s">
        <v>88</v>
      </c>
      <c r="C125" s="11">
        <v>46213.0</v>
      </c>
      <c r="D125" s="11">
        <v>46213.0</v>
      </c>
      <c r="E125" s="4" t="s">
        <v>481</v>
      </c>
      <c r="F125" s="4" t="s">
        <v>482</v>
      </c>
    </row>
    <row r="126">
      <c r="A126" s="28">
        <v>1271571.0</v>
      </c>
      <c r="B126" s="4" t="s">
        <v>368</v>
      </c>
      <c r="C126" s="11">
        <v>46213.0</v>
      </c>
      <c r="D126" s="11">
        <v>46213.0</v>
      </c>
      <c r="E126" s="4" t="s">
        <v>481</v>
      </c>
      <c r="F126" s="4" t="s">
        <v>477</v>
      </c>
    </row>
    <row r="127">
      <c r="A127" s="28">
        <v>3217561.0</v>
      </c>
      <c r="B127" s="4" t="s">
        <v>86</v>
      </c>
      <c r="C127" s="11">
        <v>46213.0</v>
      </c>
      <c r="D127" s="11">
        <v>46213.0</v>
      </c>
      <c r="E127" s="4" t="s">
        <v>481</v>
      </c>
      <c r="F127" s="4" t="s">
        <v>477</v>
      </c>
    </row>
    <row r="128">
      <c r="A128" s="28">
        <v>2369641.0</v>
      </c>
      <c r="B128" s="4" t="s">
        <v>394</v>
      </c>
      <c r="C128" s="11">
        <v>46213.0</v>
      </c>
      <c r="D128" s="11">
        <v>46213.0</v>
      </c>
      <c r="E128" s="4" t="s">
        <v>481</v>
      </c>
      <c r="F128" s="4" t="s">
        <v>477</v>
      </c>
    </row>
    <row r="129">
      <c r="A129" s="28">
        <v>967092.0</v>
      </c>
      <c r="B129" s="4" t="s">
        <v>391</v>
      </c>
      <c r="C129" s="11">
        <v>46213.0</v>
      </c>
      <c r="D129" s="11">
        <v>46213.0</v>
      </c>
      <c r="E129" s="4" t="s">
        <v>481</v>
      </c>
      <c r="F129" s="4" t="s">
        <v>477</v>
      </c>
    </row>
    <row r="130">
      <c r="A130" s="28">
        <v>2713993.0</v>
      </c>
      <c r="B130" s="4" t="s">
        <v>355</v>
      </c>
      <c r="C130" s="11">
        <v>46213.0</v>
      </c>
      <c r="D130" s="11">
        <v>46213.0</v>
      </c>
      <c r="E130" s="4" t="s">
        <v>481</v>
      </c>
      <c r="F130" s="4" t="s">
        <v>477</v>
      </c>
    </row>
    <row r="131">
      <c r="A131" s="28">
        <v>3852423.0</v>
      </c>
      <c r="B131" s="4" t="s">
        <v>406</v>
      </c>
      <c r="C131" s="11">
        <v>46213.0</v>
      </c>
      <c r="D131" s="11">
        <v>46213.0</v>
      </c>
      <c r="E131" s="4" t="s">
        <v>481</v>
      </c>
      <c r="F131" s="4" t="s">
        <v>477</v>
      </c>
    </row>
    <row r="132">
      <c r="A132" s="28">
        <v>3841387.0</v>
      </c>
      <c r="B132" s="4" t="s">
        <v>428</v>
      </c>
      <c r="C132" s="11">
        <v>46213.0</v>
      </c>
      <c r="D132" s="11">
        <v>46213.0</v>
      </c>
      <c r="E132" s="4" t="s">
        <v>481</v>
      </c>
      <c r="F132" s="4" t="s">
        <v>477</v>
      </c>
    </row>
    <row r="133">
      <c r="A133" s="28">
        <v>3134911.0</v>
      </c>
      <c r="B133" s="4" t="s">
        <v>401</v>
      </c>
      <c r="C133" s="11">
        <v>46213.0</v>
      </c>
      <c r="D133" s="11">
        <v>46213.0</v>
      </c>
      <c r="E133" s="4" t="s">
        <v>481</v>
      </c>
      <c r="F133" s="4" t="s">
        <v>477</v>
      </c>
    </row>
    <row r="134">
      <c r="A134" s="28">
        <v>29530.0</v>
      </c>
      <c r="B134" s="4" t="s">
        <v>379</v>
      </c>
      <c r="C134" s="11">
        <v>46213.0</v>
      </c>
      <c r="D134" s="11">
        <v>46213.0</v>
      </c>
      <c r="E134" s="4" t="s">
        <v>481</v>
      </c>
      <c r="F134" s="4" t="s">
        <v>477</v>
      </c>
    </row>
    <row r="135">
      <c r="A135" s="28">
        <v>3750335.0</v>
      </c>
      <c r="B135" s="4" t="s">
        <v>403</v>
      </c>
      <c r="C135" s="11">
        <v>46213.0</v>
      </c>
      <c r="D135" s="11">
        <v>46213.0</v>
      </c>
      <c r="E135" s="4" t="s">
        <v>481</v>
      </c>
      <c r="F135" s="4" t="s">
        <v>477</v>
      </c>
    </row>
    <row r="136">
      <c r="A136" s="28">
        <v>3779550.0</v>
      </c>
      <c r="B136" s="4" t="s">
        <v>377</v>
      </c>
      <c r="C136" s="11">
        <v>46213.0</v>
      </c>
      <c r="D136" s="11">
        <v>46213.0</v>
      </c>
      <c r="E136" s="4" t="s">
        <v>481</v>
      </c>
      <c r="F136" s="4" t="s">
        <v>477</v>
      </c>
    </row>
    <row r="137">
      <c r="A137" s="28">
        <v>2440915.0</v>
      </c>
      <c r="B137" s="4" t="s">
        <v>420</v>
      </c>
      <c r="C137" s="11">
        <v>46213.0</v>
      </c>
      <c r="D137" s="11">
        <v>46213.0</v>
      </c>
      <c r="E137" s="4" t="s">
        <v>481</v>
      </c>
      <c r="F137" s="4" t="s">
        <v>477</v>
      </c>
    </row>
    <row r="138">
      <c r="A138" s="28">
        <v>2843319.0</v>
      </c>
      <c r="B138" s="4" t="s">
        <v>372</v>
      </c>
      <c r="C138" s="11">
        <v>46213.0</v>
      </c>
      <c r="D138" s="11">
        <v>46213.0</v>
      </c>
      <c r="E138" s="4" t="s">
        <v>481</v>
      </c>
      <c r="F138" s="4" t="s">
        <v>477</v>
      </c>
    </row>
    <row r="139">
      <c r="A139" s="28">
        <v>3189967.0</v>
      </c>
      <c r="B139" s="4" t="s">
        <v>414</v>
      </c>
      <c r="C139" s="11">
        <v>46213.0</v>
      </c>
      <c r="D139" s="11">
        <v>46213.0</v>
      </c>
      <c r="E139" s="4" t="s">
        <v>481</v>
      </c>
      <c r="F139" s="4" t="s">
        <v>477</v>
      </c>
    </row>
    <row r="140">
      <c r="A140" s="28">
        <v>2604360.0</v>
      </c>
      <c r="B140" s="4" t="s">
        <v>409</v>
      </c>
      <c r="C140" s="11">
        <v>46213.0</v>
      </c>
      <c r="D140" s="11">
        <v>46213.0</v>
      </c>
      <c r="E140" s="4" t="s">
        <v>481</v>
      </c>
      <c r="F140" s="4" t="s">
        <v>477</v>
      </c>
    </row>
    <row r="141">
      <c r="A141" s="28">
        <v>2415373.0</v>
      </c>
      <c r="B141" s="4" t="s">
        <v>417</v>
      </c>
      <c r="C141" s="11">
        <v>46213.0</v>
      </c>
      <c r="D141" s="11">
        <v>46213.0</v>
      </c>
      <c r="E141" s="4" t="s">
        <v>481</v>
      </c>
      <c r="F141" s="4" t="s">
        <v>477</v>
      </c>
    </row>
    <row r="142">
      <c r="A142" s="28">
        <v>2369624.0</v>
      </c>
      <c r="B142" s="4" t="s">
        <v>398</v>
      </c>
      <c r="C142" s="11">
        <v>46213.0</v>
      </c>
      <c r="D142" s="11">
        <v>46213.0</v>
      </c>
      <c r="E142" s="4" t="s">
        <v>481</v>
      </c>
      <c r="F142" s="4" t="s">
        <v>477</v>
      </c>
    </row>
    <row r="143">
      <c r="A143" s="28">
        <v>2396710.0</v>
      </c>
      <c r="B143" s="4" t="s">
        <v>365</v>
      </c>
      <c r="C143" s="11">
        <v>46213.0</v>
      </c>
      <c r="D143" s="11">
        <v>46213.0</v>
      </c>
      <c r="E143" s="4" t="s">
        <v>481</v>
      </c>
      <c r="F143" s="4" t="s">
        <v>477</v>
      </c>
    </row>
    <row r="144">
      <c r="A144" s="28">
        <v>2713993.0</v>
      </c>
      <c r="B144" s="4" t="s">
        <v>355</v>
      </c>
      <c r="C144" s="11">
        <v>46223.0</v>
      </c>
      <c r="D144" s="11">
        <v>46223.0</v>
      </c>
      <c r="E144" s="4" t="s">
        <v>488</v>
      </c>
      <c r="F144" s="4" t="s">
        <v>477</v>
      </c>
    </row>
    <row r="145">
      <c r="A145" s="28">
        <v>3217561.0</v>
      </c>
      <c r="B145" s="4" t="s">
        <v>86</v>
      </c>
      <c r="C145" s="11">
        <v>46233.0</v>
      </c>
      <c r="D145" s="11">
        <v>46234.0</v>
      </c>
      <c r="E145" s="4" t="s">
        <v>490</v>
      </c>
      <c r="F145" s="4" t="s">
        <v>477</v>
      </c>
    </row>
    <row r="146">
      <c r="A146" s="28">
        <v>2713993.0</v>
      </c>
      <c r="B146" s="4" t="s">
        <v>355</v>
      </c>
      <c r="C146" s="11">
        <v>46233.0</v>
      </c>
      <c r="D146" s="11">
        <v>46234.0</v>
      </c>
      <c r="E146" s="4" t="s">
        <v>490</v>
      </c>
      <c r="F146" s="4" t="s">
        <v>477</v>
      </c>
    </row>
    <row r="147">
      <c r="A147" s="28">
        <v>2843319.0</v>
      </c>
      <c r="B147" s="4" t="s">
        <v>372</v>
      </c>
      <c r="C147" s="11">
        <v>46233.0</v>
      </c>
      <c r="D147" s="11">
        <v>46234.0</v>
      </c>
      <c r="E147" s="4" t="s">
        <v>490</v>
      </c>
      <c r="F147" s="4" t="s">
        <v>482</v>
      </c>
    </row>
    <row r="148">
      <c r="A148" s="28">
        <v>3189967.0</v>
      </c>
      <c r="B148" s="4" t="s">
        <v>414</v>
      </c>
      <c r="C148" s="11">
        <v>46233.0</v>
      </c>
      <c r="D148" s="11">
        <v>46234.0</v>
      </c>
      <c r="E148" s="4" t="s">
        <v>490</v>
      </c>
      <c r="F148" s="4" t="s">
        <v>477</v>
      </c>
    </row>
    <row r="149">
      <c r="A149" s="28">
        <v>2604360.0</v>
      </c>
      <c r="B149" s="4" t="s">
        <v>409</v>
      </c>
      <c r="C149" s="11">
        <v>46233.0</v>
      </c>
      <c r="D149" s="11">
        <v>46234.0</v>
      </c>
      <c r="E149" s="4" t="s">
        <v>490</v>
      </c>
      <c r="F149" s="4" t="s">
        <v>477</v>
      </c>
    </row>
    <row r="150">
      <c r="A150" s="28">
        <v>2369624.0</v>
      </c>
      <c r="B150" s="4" t="s">
        <v>398</v>
      </c>
      <c r="C150" s="11">
        <v>46233.0</v>
      </c>
      <c r="D150" s="11">
        <v>46234.0</v>
      </c>
      <c r="E150" s="4" t="s">
        <v>490</v>
      </c>
      <c r="F150" s="4" t="s">
        <v>477</v>
      </c>
    </row>
    <row r="151">
      <c r="A151" s="28">
        <v>71348.0</v>
      </c>
      <c r="B151" s="4" t="s">
        <v>385</v>
      </c>
      <c r="C151" s="11">
        <v>46235.0</v>
      </c>
      <c r="D151" s="11">
        <v>46265.0</v>
      </c>
      <c r="E151" s="4" t="s">
        <v>181</v>
      </c>
      <c r="F151" s="4" t="s">
        <v>477</v>
      </c>
    </row>
    <row r="152">
      <c r="A152" s="28">
        <v>3796947.0</v>
      </c>
      <c r="B152" s="4" t="s">
        <v>423</v>
      </c>
      <c r="C152" s="11">
        <v>46235.0</v>
      </c>
      <c r="D152" s="11">
        <v>46265.0</v>
      </c>
      <c r="E152" s="4" t="s">
        <v>478</v>
      </c>
      <c r="F152" s="4" t="s">
        <v>477</v>
      </c>
    </row>
    <row r="153">
      <c r="A153" s="28">
        <v>2396710.0</v>
      </c>
      <c r="B153" s="4" t="s">
        <v>365</v>
      </c>
      <c r="C153" s="11">
        <v>46241.0</v>
      </c>
      <c r="D153" s="11">
        <v>46241.0</v>
      </c>
      <c r="E153" s="4" t="s">
        <v>492</v>
      </c>
      <c r="F153" s="4" t="s">
        <v>477</v>
      </c>
    </row>
    <row r="154">
      <c r="A154" s="28">
        <v>2369641.0</v>
      </c>
      <c r="B154" s="4" t="s">
        <v>394</v>
      </c>
      <c r="C154" s="11">
        <v>46247.0</v>
      </c>
      <c r="D154" s="11">
        <v>46247.0</v>
      </c>
      <c r="E154" s="4" t="s">
        <v>493</v>
      </c>
      <c r="F154" s="4" t="s">
        <v>477</v>
      </c>
    </row>
    <row r="155">
      <c r="A155" s="28">
        <v>3134911.0</v>
      </c>
      <c r="B155" s="4" t="s">
        <v>401</v>
      </c>
      <c r="C155" s="11">
        <v>46247.0</v>
      </c>
      <c r="D155" s="11">
        <v>46247.0</v>
      </c>
      <c r="E155" s="4" t="s">
        <v>493</v>
      </c>
      <c r="F155" s="4" t="s">
        <v>477</v>
      </c>
    </row>
    <row r="156">
      <c r="A156" s="28">
        <v>2823133.0</v>
      </c>
      <c r="B156" s="4" t="s">
        <v>88</v>
      </c>
      <c r="C156" s="11">
        <v>46248.0</v>
      </c>
      <c r="D156" s="11">
        <v>46248.0</v>
      </c>
      <c r="E156" s="4" t="s">
        <v>481</v>
      </c>
      <c r="F156" s="4" t="s">
        <v>477</v>
      </c>
    </row>
    <row r="157">
      <c r="A157" s="28">
        <v>1271571.0</v>
      </c>
      <c r="B157" s="4" t="s">
        <v>368</v>
      </c>
      <c r="C157" s="11">
        <v>46248.0</v>
      </c>
      <c r="D157" s="11">
        <v>46248.0</v>
      </c>
      <c r="E157" s="4" t="s">
        <v>481</v>
      </c>
      <c r="F157" s="4" t="s">
        <v>477</v>
      </c>
    </row>
    <row r="158">
      <c r="A158" s="28">
        <v>3217561.0</v>
      </c>
      <c r="B158" s="4" t="s">
        <v>86</v>
      </c>
      <c r="C158" s="11">
        <v>46248.0</v>
      </c>
      <c r="D158" s="11">
        <v>46248.0</v>
      </c>
      <c r="E158" s="4" t="s">
        <v>481</v>
      </c>
      <c r="F158" s="4" t="s">
        <v>477</v>
      </c>
    </row>
    <row r="159">
      <c r="A159" s="28">
        <v>2369641.0</v>
      </c>
      <c r="B159" s="4" t="s">
        <v>394</v>
      </c>
      <c r="C159" s="11">
        <v>46248.0</v>
      </c>
      <c r="D159" s="11">
        <v>46248.0</v>
      </c>
      <c r="E159" s="4" t="s">
        <v>481</v>
      </c>
      <c r="F159" s="4" t="s">
        <v>477</v>
      </c>
    </row>
    <row r="160">
      <c r="A160" s="28">
        <v>967092.0</v>
      </c>
      <c r="B160" s="4" t="s">
        <v>391</v>
      </c>
      <c r="C160" s="11">
        <v>46248.0</v>
      </c>
      <c r="D160" s="11">
        <v>46248.0</v>
      </c>
      <c r="E160" s="4" t="s">
        <v>481</v>
      </c>
      <c r="F160" s="4" t="s">
        <v>482</v>
      </c>
    </row>
    <row r="161">
      <c r="A161" s="28">
        <v>2713993.0</v>
      </c>
      <c r="B161" s="4" t="s">
        <v>355</v>
      </c>
      <c r="C161" s="11">
        <v>46248.0</v>
      </c>
      <c r="D161" s="11">
        <v>46248.0</v>
      </c>
      <c r="E161" s="4" t="s">
        <v>481</v>
      </c>
      <c r="F161" s="4" t="s">
        <v>477</v>
      </c>
    </row>
    <row r="162">
      <c r="A162" s="28">
        <v>3852423.0</v>
      </c>
      <c r="B162" s="4" t="s">
        <v>406</v>
      </c>
      <c r="C162" s="11">
        <v>46248.0</v>
      </c>
      <c r="D162" s="11">
        <v>46248.0</v>
      </c>
      <c r="E162" s="4" t="s">
        <v>481</v>
      </c>
      <c r="F162" s="4" t="s">
        <v>482</v>
      </c>
    </row>
    <row r="163">
      <c r="A163" s="28">
        <v>3841387.0</v>
      </c>
      <c r="B163" s="4" t="s">
        <v>428</v>
      </c>
      <c r="C163" s="11">
        <v>46248.0</v>
      </c>
      <c r="D163" s="11">
        <v>46248.0</v>
      </c>
      <c r="E163" s="4" t="s">
        <v>481</v>
      </c>
      <c r="F163" s="4" t="s">
        <v>477</v>
      </c>
    </row>
    <row r="164">
      <c r="A164" s="28">
        <v>3134911.0</v>
      </c>
      <c r="B164" s="4" t="s">
        <v>401</v>
      </c>
      <c r="C164" s="11">
        <v>46248.0</v>
      </c>
      <c r="D164" s="11">
        <v>46248.0</v>
      </c>
      <c r="E164" s="4" t="s">
        <v>481</v>
      </c>
      <c r="F164" s="4" t="s">
        <v>477</v>
      </c>
    </row>
    <row r="165">
      <c r="A165" s="28">
        <v>29530.0</v>
      </c>
      <c r="B165" s="4" t="s">
        <v>379</v>
      </c>
      <c r="C165" s="11">
        <v>46248.0</v>
      </c>
      <c r="D165" s="11">
        <v>46248.0</v>
      </c>
      <c r="E165" s="4" t="s">
        <v>481</v>
      </c>
      <c r="F165" s="4" t="s">
        <v>477</v>
      </c>
    </row>
    <row r="166">
      <c r="A166" s="28">
        <v>3750335.0</v>
      </c>
      <c r="B166" s="4" t="s">
        <v>403</v>
      </c>
      <c r="C166" s="11">
        <v>46248.0</v>
      </c>
      <c r="D166" s="11">
        <v>46248.0</v>
      </c>
      <c r="E166" s="4" t="s">
        <v>481</v>
      </c>
      <c r="F166" s="4" t="s">
        <v>477</v>
      </c>
    </row>
    <row r="167">
      <c r="A167" s="28">
        <v>3779550.0</v>
      </c>
      <c r="B167" s="4" t="s">
        <v>377</v>
      </c>
      <c r="C167" s="11">
        <v>46248.0</v>
      </c>
      <c r="D167" s="11">
        <v>46248.0</v>
      </c>
      <c r="E167" s="4" t="s">
        <v>481</v>
      </c>
      <c r="F167" s="4" t="s">
        <v>477</v>
      </c>
    </row>
    <row r="168">
      <c r="A168" s="28">
        <v>2440915.0</v>
      </c>
      <c r="B168" s="4" t="s">
        <v>420</v>
      </c>
      <c r="C168" s="11">
        <v>46248.0</v>
      </c>
      <c r="D168" s="11">
        <v>46248.0</v>
      </c>
      <c r="E168" s="4" t="s">
        <v>481</v>
      </c>
      <c r="F168" s="4" t="s">
        <v>482</v>
      </c>
    </row>
    <row r="169">
      <c r="A169" s="28">
        <v>2843319.0</v>
      </c>
      <c r="B169" s="4" t="s">
        <v>372</v>
      </c>
      <c r="C169" s="11">
        <v>46248.0</v>
      </c>
      <c r="D169" s="11">
        <v>46248.0</v>
      </c>
      <c r="E169" s="4" t="s">
        <v>481</v>
      </c>
      <c r="F169" s="4" t="s">
        <v>477</v>
      </c>
    </row>
    <row r="170">
      <c r="A170" s="28">
        <v>3189967.0</v>
      </c>
      <c r="B170" s="4" t="s">
        <v>414</v>
      </c>
      <c r="C170" s="11">
        <v>46248.0</v>
      </c>
      <c r="D170" s="11">
        <v>46248.0</v>
      </c>
      <c r="E170" s="4" t="s">
        <v>481</v>
      </c>
      <c r="F170" s="4" t="s">
        <v>477</v>
      </c>
    </row>
    <row r="171">
      <c r="A171" s="28">
        <v>2604360.0</v>
      </c>
      <c r="B171" s="4" t="s">
        <v>409</v>
      </c>
      <c r="C171" s="11">
        <v>46248.0</v>
      </c>
      <c r="D171" s="11">
        <v>46248.0</v>
      </c>
      <c r="E171" s="4" t="s">
        <v>481</v>
      </c>
      <c r="F171" s="4" t="s">
        <v>477</v>
      </c>
    </row>
    <row r="172">
      <c r="A172" s="28">
        <v>2415373.0</v>
      </c>
      <c r="B172" s="4" t="s">
        <v>417</v>
      </c>
      <c r="C172" s="11">
        <v>46248.0</v>
      </c>
      <c r="D172" s="11">
        <v>46248.0</v>
      </c>
      <c r="E172" s="4" t="s">
        <v>481</v>
      </c>
      <c r="F172" s="4" t="s">
        <v>477</v>
      </c>
    </row>
    <row r="173">
      <c r="A173" s="28">
        <v>2369624.0</v>
      </c>
      <c r="B173" s="4" t="s">
        <v>398</v>
      </c>
      <c r="C173" s="11">
        <v>46248.0</v>
      </c>
      <c r="D173" s="11">
        <v>46248.0</v>
      </c>
      <c r="E173" s="4" t="s">
        <v>481</v>
      </c>
      <c r="F173" s="4" t="s">
        <v>477</v>
      </c>
    </row>
    <row r="174">
      <c r="A174" s="28">
        <v>2396710.0</v>
      </c>
      <c r="B174" s="4" t="s">
        <v>365</v>
      </c>
      <c r="C174" s="11">
        <v>46248.0</v>
      </c>
      <c r="D174" s="11">
        <v>46248.0</v>
      </c>
      <c r="E174" s="4" t="s">
        <v>481</v>
      </c>
      <c r="F174" s="4" t="s">
        <v>477</v>
      </c>
    </row>
    <row r="175">
      <c r="A175" s="28">
        <v>1271571.0</v>
      </c>
      <c r="B175" s="4" t="s">
        <v>368</v>
      </c>
      <c r="C175" s="11">
        <v>46255.0</v>
      </c>
      <c r="D175" s="11">
        <v>46255.0</v>
      </c>
      <c r="E175" s="4" t="s">
        <v>494</v>
      </c>
      <c r="F175" s="4" t="s">
        <v>477</v>
      </c>
    </row>
    <row r="176">
      <c r="A176" s="28">
        <v>3217561.0</v>
      </c>
      <c r="B176" s="4" t="s">
        <v>86</v>
      </c>
      <c r="C176" s="11">
        <v>46255.0</v>
      </c>
      <c r="D176" s="11">
        <v>46255.0</v>
      </c>
      <c r="E176" s="4" t="s">
        <v>495</v>
      </c>
      <c r="F176" s="4" t="s">
        <v>477</v>
      </c>
    </row>
    <row r="177">
      <c r="A177" s="28">
        <v>29530.0</v>
      </c>
      <c r="B177" s="4" t="s">
        <v>379</v>
      </c>
      <c r="C177" s="11">
        <v>46255.0</v>
      </c>
      <c r="D177" s="11">
        <v>46255.0</v>
      </c>
      <c r="E177" s="4" t="s">
        <v>495</v>
      </c>
      <c r="F177" s="4" t="s">
        <v>477</v>
      </c>
    </row>
    <row r="178">
      <c r="A178" s="28">
        <v>3750335.0</v>
      </c>
      <c r="B178" s="4" t="s">
        <v>403</v>
      </c>
      <c r="C178" s="11">
        <v>46255.0</v>
      </c>
      <c r="D178" s="11">
        <v>46255.0</v>
      </c>
      <c r="E178" s="4" t="s">
        <v>493</v>
      </c>
      <c r="F178" s="4" t="s">
        <v>477</v>
      </c>
    </row>
    <row r="179">
      <c r="A179" s="28">
        <v>3779550.0</v>
      </c>
      <c r="B179" s="4" t="s">
        <v>377</v>
      </c>
      <c r="C179" s="11">
        <v>46255.0</v>
      </c>
      <c r="D179" s="11">
        <v>46255.0</v>
      </c>
      <c r="E179" s="4" t="s">
        <v>495</v>
      </c>
      <c r="F179" s="4" t="s">
        <v>477</v>
      </c>
    </row>
    <row r="180">
      <c r="A180" s="28">
        <v>2843319.0</v>
      </c>
      <c r="B180" s="4" t="s">
        <v>372</v>
      </c>
      <c r="C180" s="11">
        <v>46255.0</v>
      </c>
      <c r="D180" s="11">
        <v>46255.0</v>
      </c>
      <c r="E180" s="4" t="s">
        <v>495</v>
      </c>
      <c r="F180" s="4" t="s">
        <v>477</v>
      </c>
    </row>
    <row r="181">
      <c r="A181" s="28">
        <v>2369624.0</v>
      </c>
      <c r="B181" s="4" t="s">
        <v>398</v>
      </c>
      <c r="C181" s="11">
        <v>46255.0</v>
      </c>
      <c r="D181" s="11">
        <v>46255.0</v>
      </c>
      <c r="E181" s="4" t="s">
        <v>493</v>
      </c>
      <c r="F181" s="4" t="s">
        <v>477</v>
      </c>
    </row>
    <row r="182">
      <c r="A182" s="28">
        <v>3217561.0</v>
      </c>
      <c r="B182" s="4" t="s">
        <v>86</v>
      </c>
      <c r="C182" s="11">
        <v>46258.0</v>
      </c>
      <c r="D182" s="11">
        <v>46259.0</v>
      </c>
      <c r="E182" s="4" t="s">
        <v>490</v>
      </c>
      <c r="F182" s="4" t="s">
        <v>477</v>
      </c>
    </row>
    <row r="183">
      <c r="A183" s="28">
        <v>2713993.0</v>
      </c>
      <c r="B183" s="4" t="s">
        <v>355</v>
      </c>
      <c r="C183" s="11">
        <v>46258.0</v>
      </c>
      <c r="D183" s="11">
        <v>46259.0</v>
      </c>
      <c r="E183" s="4" t="s">
        <v>490</v>
      </c>
      <c r="F183" s="4" t="s">
        <v>477</v>
      </c>
    </row>
    <row r="184">
      <c r="A184" s="28">
        <v>2843319.0</v>
      </c>
      <c r="B184" s="4" t="s">
        <v>372</v>
      </c>
      <c r="C184" s="11">
        <v>46258.0</v>
      </c>
      <c r="D184" s="11">
        <v>46259.0</v>
      </c>
      <c r="E184" s="4" t="s">
        <v>490</v>
      </c>
      <c r="F184" s="4" t="s">
        <v>477</v>
      </c>
    </row>
    <row r="185">
      <c r="A185" s="28">
        <v>3189967.0</v>
      </c>
      <c r="B185" s="4" t="s">
        <v>414</v>
      </c>
      <c r="C185" s="11">
        <v>46258.0</v>
      </c>
      <c r="D185" s="11">
        <v>46259.0</v>
      </c>
      <c r="E185" s="4" t="s">
        <v>490</v>
      </c>
      <c r="F185" s="4" t="s">
        <v>482</v>
      </c>
    </row>
    <row r="186">
      <c r="A186" s="28">
        <v>2604360.0</v>
      </c>
      <c r="B186" s="4" t="s">
        <v>409</v>
      </c>
      <c r="C186" s="11">
        <v>46258.0</v>
      </c>
      <c r="D186" s="11">
        <v>46259.0</v>
      </c>
      <c r="E186" s="4" t="s">
        <v>490</v>
      </c>
      <c r="F186" s="4" t="s">
        <v>477</v>
      </c>
    </row>
    <row r="187">
      <c r="A187" s="28">
        <v>2369624.0</v>
      </c>
      <c r="B187" s="4" t="s">
        <v>398</v>
      </c>
      <c r="C187" s="11">
        <v>46258.0</v>
      </c>
      <c r="D187" s="11">
        <v>46259.0</v>
      </c>
      <c r="E187" s="4" t="s">
        <v>490</v>
      </c>
      <c r="F187" s="4" t="s">
        <v>477</v>
      </c>
    </row>
    <row r="188">
      <c r="A188" s="28">
        <v>3217561.0</v>
      </c>
      <c r="B188" s="4" t="s">
        <v>86</v>
      </c>
      <c r="C188" s="11">
        <v>46269.0</v>
      </c>
      <c r="D188" s="11">
        <v>46269.0</v>
      </c>
      <c r="E188" s="4" t="s">
        <v>496</v>
      </c>
      <c r="F188" s="4" t="s">
        <v>477</v>
      </c>
    </row>
    <row r="189">
      <c r="A189" s="28">
        <v>29530.0</v>
      </c>
      <c r="B189" s="4" t="s">
        <v>379</v>
      </c>
      <c r="C189" s="11">
        <v>46269.0</v>
      </c>
      <c r="D189" s="11">
        <v>46269.0</v>
      </c>
      <c r="E189" s="4" t="s">
        <v>496</v>
      </c>
      <c r="F189" s="4" t="s">
        <v>477</v>
      </c>
    </row>
    <row r="190">
      <c r="A190" s="28">
        <v>3779550.0</v>
      </c>
      <c r="B190" s="4" t="s">
        <v>377</v>
      </c>
      <c r="C190" s="11">
        <v>46269.0</v>
      </c>
      <c r="D190" s="11">
        <v>46269.0</v>
      </c>
      <c r="E190" s="4" t="s">
        <v>496</v>
      </c>
      <c r="F190" s="4" t="s">
        <v>477</v>
      </c>
    </row>
    <row r="191">
      <c r="A191" s="28">
        <v>2843319.0</v>
      </c>
      <c r="B191" s="4" t="s">
        <v>372</v>
      </c>
      <c r="C191" s="11">
        <v>46269.0</v>
      </c>
      <c r="D191" s="11">
        <v>46269.0</v>
      </c>
      <c r="E191" s="4" t="s">
        <v>496</v>
      </c>
      <c r="F191" s="4" t="s">
        <v>477</v>
      </c>
    </row>
    <row r="192">
      <c r="A192" s="28">
        <v>1271571.0</v>
      </c>
      <c r="B192" s="4" t="s">
        <v>368</v>
      </c>
      <c r="C192" s="11">
        <v>46271.0</v>
      </c>
      <c r="D192" s="11">
        <v>46271.0</v>
      </c>
      <c r="E192" s="4" t="s">
        <v>497</v>
      </c>
      <c r="F192" s="4" t="s">
        <v>482</v>
      </c>
    </row>
    <row r="193">
      <c r="A193" s="28">
        <v>2369641.0</v>
      </c>
      <c r="B193" s="4" t="s">
        <v>394</v>
      </c>
      <c r="C193" s="11">
        <v>46274.0</v>
      </c>
      <c r="D193" s="11">
        <v>46276.0</v>
      </c>
      <c r="E193" s="4" t="s">
        <v>498</v>
      </c>
      <c r="F193" s="4" t="s">
        <v>477</v>
      </c>
    </row>
    <row r="194">
      <c r="A194" s="28">
        <v>3217561.0</v>
      </c>
      <c r="B194" s="4" t="s">
        <v>86</v>
      </c>
      <c r="C194" s="11">
        <v>46275.0</v>
      </c>
      <c r="D194" s="11">
        <v>46275.0</v>
      </c>
      <c r="E194" s="4" t="s">
        <v>499</v>
      </c>
      <c r="F194" s="4" t="s">
        <v>477</v>
      </c>
    </row>
    <row r="195">
      <c r="A195" s="28">
        <v>29530.0</v>
      </c>
      <c r="B195" s="4" t="s">
        <v>379</v>
      </c>
      <c r="C195" s="11">
        <v>46275.0</v>
      </c>
      <c r="D195" s="11">
        <v>46275.0</v>
      </c>
      <c r="E195" s="4" t="s">
        <v>499</v>
      </c>
      <c r="F195" s="4" t="s">
        <v>477</v>
      </c>
    </row>
    <row r="196">
      <c r="A196" s="28">
        <v>3779550.0</v>
      </c>
      <c r="B196" s="4" t="s">
        <v>377</v>
      </c>
      <c r="C196" s="11">
        <v>46275.0</v>
      </c>
      <c r="D196" s="11">
        <v>46275.0</v>
      </c>
      <c r="E196" s="4" t="s">
        <v>499</v>
      </c>
      <c r="F196" s="4" t="s">
        <v>477</v>
      </c>
    </row>
    <row r="197">
      <c r="A197" s="28">
        <v>2843319.0</v>
      </c>
      <c r="B197" s="4" t="s">
        <v>372</v>
      </c>
      <c r="C197" s="11">
        <v>46275.0</v>
      </c>
      <c r="D197" s="11">
        <v>46275.0</v>
      </c>
      <c r="E197" s="4" t="s">
        <v>499</v>
      </c>
      <c r="F197" s="4" t="s">
        <v>477</v>
      </c>
    </row>
    <row r="198">
      <c r="A198" s="28">
        <v>2823133.0</v>
      </c>
      <c r="B198" s="4" t="s">
        <v>88</v>
      </c>
      <c r="C198" s="11">
        <v>46276.0</v>
      </c>
      <c r="D198" s="11">
        <v>46276.0</v>
      </c>
      <c r="E198" s="4" t="s">
        <v>481</v>
      </c>
      <c r="F198" s="4" t="s">
        <v>477</v>
      </c>
    </row>
    <row r="199">
      <c r="A199" s="28">
        <v>1271571.0</v>
      </c>
      <c r="B199" s="4" t="s">
        <v>368</v>
      </c>
      <c r="C199" s="11">
        <v>46276.0</v>
      </c>
      <c r="D199" s="11">
        <v>46276.0</v>
      </c>
      <c r="E199" s="4" t="s">
        <v>481</v>
      </c>
      <c r="F199" s="4" t="s">
        <v>477</v>
      </c>
    </row>
    <row r="200">
      <c r="A200" s="28">
        <v>3217561.0</v>
      </c>
      <c r="B200" s="4" t="s">
        <v>86</v>
      </c>
      <c r="C200" s="11">
        <v>46276.0</v>
      </c>
      <c r="D200" s="11">
        <v>46276.0</v>
      </c>
      <c r="E200" s="4" t="s">
        <v>481</v>
      </c>
      <c r="F200" s="4" t="s">
        <v>477</v>
      </c>
    </row>
    <row r="201">
      <c r="A201" s="28">
        <v>2369641.0</v>
      </c>
      <c r="B201" s="4" t="s">
        <v>394</v>
      </c>
      <c r="C201" s="11">
        <v>46276.0</v>
      </c>
      <c r="D201" s="11">
        <v>46276.0</v>
      </c>
      <c r="E201" s="4" t="s">
        <v>481</v>
      </c>
      <c r="F201" s="4" t="s">
        <v>477</v>
      </c>
    </row>
    <row r="202">
      <c r="A202" s="28">
        <v>967092.0</v>
      </c>
      <c r="B202" s="4" t="s">
        <v>391</v>
      </c>
      <c r="C202" s="11">
        <v>46276.0</v>
      </c>
      <c r="D202" s="11">
        <v>46276.0</v>
      </c>
      <c r="E202" s="4" t="s">
        <v>481</v>
      </c>
      <c r="F202" s="4" t="s">
        <v>477</v>
      </c>
    </row>
    <row r="203">
      <c r="A203" s="28">
        <v>2713993.0</v>
      </c>
      <c r="B203" s="4" t="s">
        <v>355</v>
      </c>
      <c r="C203" s="11">
        <v>46276.0</v>
      </c>
      <c r="D203" s="11">
        <v>46276.0</v>
      </c>
      <c r="E203" s="4" t="s">
        <v>481</v>
      </c>
      <c r="F203" s="4" t="s">
        <v>477</v>
      </c>
    </row>
    <row r="204">
      <c r="A204" s="28">
        <v>3852423.0</v>
      </c>
      <c r="B204" s="4" t="s">
        <v>406</v>
      </c>
      <c r="C204" s="11">
        <v>46276.0</v>
      </c>
      <c r="D204" s="11">
        <v>46276.0</v>
      </c>
      <c r="E204" s="4" t="s">
        <v>481</v>
      </c>
      <c r="F204" s="4" t="s">
        <v>477</v>
      </c>
    </row>
    <row r="205">
      <c r="A205" s="28">
        <v>3841387.0</v>
      </c>
      <c r="B205" s="4" t="s">
        <v>428</v>
      </c>
      <c r="C205" s="11">
        <v>46276.0</v>
      </c>
      <c r="D205" s="11">
        <v>46276.0</v>
      </c>
      <c r="E205" s="4" t="s">
        <v>481</v>
      </c>
      <c r="F205" s="4" t="s">
        <v>477</v>
      </c>
    </row>
    <row r="206">
      <c r="A206" s="28">
        <v>3134911.0</v>
      </c>
      <c r="B206" s="4" t="s">
        <v>401</v>
      </c>
      <c r="C206" s="11">
        <v>46276.0</v>
      </c>
      <c r="D206" s="11">
        <v>46276.0</v>
      </c>
      <c r="E206" s="4" t="s">
        <v>481</v>
      </c>
      <c r="F206" s="4" t="s">
        <v>477</v>
      </c>
    </row>
    <row r="207">
      <c r="A207" s="28">
        <v>29530.0</v>
      </c>
      <c r="B207" s="4" t="s">
        <v>379</v>
      </c>
      <c r="C207" s="11">
        <v>46276.0</v>
      </c>
      <c r="D207" s="11">
        <v>46276.0</v>
      </c>
      <c r="E207" s="4" t="s">
        <v>481</v>
      </c>
      <c r="F207" s="4" t="s">
        <v>477</v>
      </c>
    </row>
    <row r="208">
      <c r="A208" s="28">
        <v>3750335.0</v>
      </c>
      <c r="B208" s="4" t="s">
        <v>403</v>
      </c>
      <c r="C208" s="11">
        <v>46276.0</v>
      </c>
      <c r="D208" s="11">
        <v>46276.0</v>
      </c>
      <c r="E208" s="4" t="s">
        <v>481</v>
      </c>
      <c r="F208" s="4" t="s">
        <v>482</v>
      </c>
    </row>
    <row r="209">
      <c r="A209" s="28">
        <v>3779550.0</v>
      </c>
      <c r="B209" s="4" t="s">
        <v>377</v>
      </c>
      <c r="C209" s="11">
        <v>46276.0</v>
      </c>
      <c r="D209" s="11">
        <v>46276.0</v>
      </c>
      <c r="E209" s="4" t="s">
        <v>481</v>
      </c>
      <c r="F209" s="4" t="s">
        <v>477</v>
      </c>
    </row>
    <row r="210">
      <c r="A210" s="28">
        <v>2440915.0</v>
      </c>
      <c r="B210" s="4" t="s">
        <v>420</v>
      </c>
      <c r="C210" s="11">
        <v>46276.0</v>
      </c>
      <c r="D210" s="11">
        <v>46276.0</v>
      </c>
      <c r="E210" s="4" t="s">
        <v>481</v>
      </c>
      <c r="F210" s="4" t="s">
        <v>477</v>
      </c>
    </row>
    <row r="211">
      <c r="A211" s="28">
        <v>2843319.0</v>
      </c>
      <c r="B211" s="4" t="s">
        <v>372</v>
      </c>
      <c r="C211" s="11">
        <v>46276.0</v>
      </c>
      <c r="D211" s="11">
        <v>46276.0</v>
      </c>
      <c r="E211" s="4" t="s">
        <v>481</v>
      </c>
      <c r="F211" s="4" t="s">
        <v>477</v>
      </c>
    </row>
    <row r="212">
      <c r="A212" s="28">
        <v>3189967.0</v>
      </c>
      <c r="B212" s="4" t="s">
        <v>414</v>
      </c>
      <c r="C212" s="11">
        <v>46276.0</v>
      </c>
      <c r="D212" s="11">
        <v>46276.0</v>
      </c>
      <c r="E212" s="4" t="s">
        <v>481</v>
      </c>
      <c r="F212" s="4" t="s">
        <v>482</v>
      </c>
    </row>
    <row r="213">
      <c r="A213" s="28">
        <v>2604360.0</v>
      </c>
      <c r="B213" s="4" t="s">
        <v>409</v>
      </c>
      <c r="C213" s="11">
        <v>46276.0</v>
      </c>
      <c r="D213" s="11">
        <v>46276.0</v>
      </c>
      <c r="E213" s="4" t="s">
        <v>481</v>
      </c>
      <c r="F213" s="4" t="s">
        <v>477</v>
      </c>
    </row>
    <row r="214">
      <c r="A214" s="28">
        <v>2415373.0</v>
      </c>
      <c r="B214" s="4" t="s">
        <v>417</v>
      </c>
      <c r="C214" s="11">
        <v>46276.0</v>
      </c>
      <c r="D214" s="11">
        <v>46276.0</v>
      </c>
      <c r="E214" s="4" t="s">
        <v>481</v>
      </c>
      <c r="F214" s="4" t="s">
        <v>477</v>
      </c>
    </row>
    <row r="215">
      <c r="A215" s="28">
        <v>2369624.0</v>
      </c>
      <c r="B215" s="4" t="s">
        <v>398</v>
      </c>
      <c r="C215" s="11">
        <v>46276.0</v>
      </c>
      <c r="D215" s="11">
        <v>46276.0</v>
      </c>
      <c r="E215" s="4" t="s">
        <v>481</v>
      </c>
      <c r="F215" s="4" t="s">
        <v>477</v>
      </c>
    </row>
    <row r="216">
      <c r="A216" s="28">
        <v>2396710.0</v>
      </c>
      <c r="B216" s="4" t="s">
        <v>365</v>
      </c>
      <c r="C216" s="11">
        <v>46276.0</v>
      </c>
      <c r="D216" s="11">
        <v>46276.0</v>
      </c>
      <c r="E216" s="4" t="s">
        <v>481</v>
      </c>
      <c r="F216" s="4" t="s">
        <v>482</v>
      </c>
    </row>
    <row r="217">
      <c r="A217" s="28">
        <v>2823133.0</v>
      </c>
      <c r="B217" s="4" t="s">
        <v>88</v>
      </c>
      <c r="C217" s="11">
        <v>46282.0</v>
      </c>
      <c r="D217" s="11">
        <v>46283.0</v>
      </c>
      <c r="E217" s="4" t="s">
        <v>500</v>
      </c>
      <c r="F217" s="4" t="s">
        <v>477</v>
      </c>
    </row>
    <row r="218">
      <c r="A218" s="28">
        <v>3841387.0</v>
      </c>
      <c r="B218" s="4" t="s">
        <v>428</v>
      </c>
      <c r="C218" s="11">
        <v>46282.0</v>
      </c>
      <c r="D218" s="11">
        <v>46283.0</v>
      </c>
      <c r="E218" s="4" t="s">
        <v>500</v>
      </c>
      <c r="F218" s="4" t="s">
        <v>477</v>
      </c>
    </row>
    <row r="219">
      <c r="A219" s="28">
        <v>2843319.0</v>
      </c>
      <c r="B219" s="4" t="s">
        <v>372</v>
      </c>
      <c r="C219" s="11">
        <v>46282.0</v>
      </c>
      <c r="D219" s="11">
        <v>46283.0</v>
      </c>
      <c r="E219" s="4" t="s">
        <v>500</v>
      </c>
      <c r="F219" s="4" t="s">
        <v>477</v>
      </c>
    </row>
    <row r="220">
      <c r="A220" s="28">
        <v>2415373.0</v>
      </c>
      <c r="B220" s="4" t="s">
        <v>417</v>
      </c>
      <c r="C220" s="11">
        <v>46282.0</v>
      </c>
      <c r="D220" s="11">
        <v>46283.0</v>
      </c>
      <c r="E220" s="4" t="s">
        <v>500</v>
      </c>
      <c r="F220" s="4" t="s">
        <v>477</v>
      </c>
    </row>
    <row r="221">
      <c r="A221" s="28">
        <v>2396710.0</v>
      </c>
      <c r="B221" s="4" t="s">
        <v>365</v>
      </c>
      <c r="C221" s="11">
        <v>46284.0</v>
      </c>
      <c r="D221" s="11">
        <v>46284.0</v>
      </c>
      <c r="E221" s="4" t="s">
        <v>501</v>
      </c>
      <c r="F221" s="4" t="s">
        <v>482</v>
      </c>
    </row>
    <row r="222">
      <c r="A222" s="28">
        <v>2396710.0</v>
      </c>
      <c r="B222" s="4" t="s">
        <v>365</v>
      </c>
      <c r="C222" s="11">
        <v>46287.0</v>
      </c>
      <c r="D222" s="11">
        <v>46287.0</v>
      </c>
      <c r="E222" s="4" t="s">
        <v>502</v>
      </c>
      <c r="F222" s="4" t="s">
        <v>477</v>
      </c>
    </row>
    <row r="223">
      <c r="A223" s="28">
        <v>29530.0</v>
      </c>
      <c r="B223" s="4" t="s">
        <v>379</v>
      </c>
      <c r="C223" s="11">
        <v>46288.0</v>
      </c>
      <c r="D223" s="11">
        <v>46289.0</v>
      </c>
      <c r="E223" s="4" t="s">
        <v>503</v>
      </c>
      <c r="F223" s="4" t="s">
        <v>477</v>
      </c>
    </row>
    <row r="224">
      <c r="A224" s="28">
        <v>3217561.0</v>
      </c>
      <c r="B224" s="4" t="s">
        <v>86</v>
      </c>
      <c r="C224" s="11">
        <v>46293.0</v>
      </c>
      <c r="D224" s="11">
        <v>46298.0</v>
      </c>
      <c r="E224" s="4" t="s">
        <v>504</v>
      </c>
      <c r="F224" s="4" t="s">
        <v>477</v>
      </c>
    </row>
    <row r="225">
      <c r="A225" s="28">
        <v>2713993.0</v>
      </c>
      <c r="B225" s="4" t="s">
        <v>355</v>
      </c>
      <c r="C225" s="11">
        <v>46293.0</v>
      </c>
      <c r="D225" s="11">
        <v>46298.0</v>
      </c>
      <c r="E225" s="4" t="s">
        <v>504</v>
      </c>
      <c r="F225" s="4" t="s">
        <v>477</v>
      </c>
    </row>
    <row r="226">
      <c r="A226" s="28">
        <v>2843319.0</v>
      </c>
      <c r="B226" s="4" t="s">
        <v>372</v>
      </c>
      <c r="C226" s="11">
        <v>46293.0</v>
      </c>
      <c r="D226" s="11">
        <v>46298.0</v>
      </c>
      <c r="E226" s="4" t="s">
        <v>504</v>
      </c>
      <c r="F226" s="4" t="s">
        <v>477</v>
      </c>
    </row>
    <row r="227">
      <c r="A227" s="28">
        <v>3189967.0</v>
      </c>
      <c r="B227" s="4" t="s">
        <v>414</v>
      </c>
      <c r="C227" s="11">
        <v>46293.0</v>
      </c>
      <c r="D227" s="11">
        <v>46298.0</v>
      </c>
      <c r="E227" s="4" t="s">
        <v>504</v>
      </c>
      <c r="F227" s="4" t="s">
        <v>477</v>
      </c>
    </row>
    <row r="228">
      <c r="A228" s="28">
        <v>2604360.0</v>
      </c>
      <c r="B228" s="4" t="s">
        <v>409</v>
      </c>
      <c r="C228" s="11">
        <v>46293.0</v>
      </c>
      <c r="D228" s="11">
        <v>46298.0</v>
      </c>
      <c r="E228" s="4" t="s">
        <v>504</v>
      </c>
      <c r="F228" s="4" t="s">
        <v>477</v>
      </c>
    </row>
    <row r="229">
      <c r="A229" s="28">
        <v>2369624.0</v>
      </c>
      <c r="B229" s="4" t="s">
        <v>398</v>
      </c>
      <c r="C229" s="11">
        <v>46293.0</v>
      </c>
      <c r="D229" s="11">
        <v>46298.0</v>
      </c>
      <c r="E229" s="4" t="s">
        <v>504</v>
      </c>
      <c r="F229" s="4" t="s">
        <v>477</v>
      </c>
    </row>
    <row r="230">
      <c r="A230" s="28">
        <v>1271571.0</v>
      </c>
      <c r="B230" s="4" t="s">
        <v>368</v>
      </c>
      <c r="C230" s="11">
        <v>46295.0</v>
      </c>
      <c r="D230" s="11">
        <v>46295.0</v>
      </c>
      <c r="E230" s="4" t="s">
        <v>505</v>
      </c>
      <c r="F230" s="4" t="s">
        <v>482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9.14"/>
  </cols>
  <sheetData>
    <row r="1">
      <c r="A1" s="4" t="s">
        <v>186</v>
      </c>
      <c r="B1" s="4" t="s">
        <v>222</v>
      </c>
      <c r="C1" s="4" t="s">
        <v>506</v>
      </c>
      <c r="D1" s="4" t="s">
        <v>507</v>
      </c>
    </row>
    <row r="2">
      <c r="A2" s="4">
        <v>29530.0</v>
      </c>
      <c r="B2" s="4" t="s">
        <v>379</v>
      </c>
      <c r="D2" s="11">
        <v>46217.0</v>
      </c>
    </row>
    <row r="3">
      <c r="A3" s="4">
        <v>71348.0</v>
      </c>
      <c r="B3" s="4" t="s">
        <v>385</v>
      </c>
      <c r="C3" s="4" t="s">
        <v>508</v>
      </c>
      <c r="D3" s="11">
        <v>45915.0</v>
      </c>
    </row>
    <row r="4">
      <c r="A4" s="4">
        <v>967092.0</v>
      </c>
      <c r="B4" s="4" t="s">
        <v>391</v>
      </c>
      <c r="C4" s="11">
        <v>46241.0</v>
      </c>
      <c r="D4" s="11">
        <v>46169.0</v>
      </c>
    </row>
    <row r="5">
      <c r="A5" s="4">
        <v>2369624.0</v>
      </c>
      <c r="B5" s="4" t="s">
        <v>398</v>
      </c>
      <c r="D5" s="11">
        <v>46218.0</v>
      </c>
    </row>
    <row r="6">
      <c r="A6" s="4">
        <v>2369641.0</v>
      </c>
      <c r="B6" s="4" t="s">
        <v>394</v>
      </c>
      <c r="D6" s="11">
        <v>46233.0</v>
      </c>
    </row>
    <row r="7">
      <c r="A7" s="4">
        <v>2415373.0</v>
      </c>
      <c r="B7" s="4" t="s">
        <v>417</v>
      </c>
      <c r="D7" s="11">
        <v>46192.0</v>
      </c>
    </row>
    <row r="8">
      <c r="A8" s="4">
        <v>2440915.0</v>
      </c>
      <c r="B8" s="4" t="s">
        <v>420</v>
      </c>
      <c r="D8" s="11">
        <v>46203.0</v>
      </c>
    </row>
    <row r="9">
      <c r="A9" s="4">
        <v>2604360.0</v>
      </c>
      <c r="B9" s="4" t="s">
        <v>409</v>
      </c>
      <c r="D9" s="11">
        <v>46199.0</v>
      </c>
    </row>
    <row r="10">
      <c r="A10" s="4">
        <v>2823133.0</v>
      </c>
      <c r="B10" s="4" t="s">
        <v>88</v>
      </c>
      <c r="C10" s="11">
        <v>46238.0</v>
      </c>
      <c r="D10" s="11">
        <v>46156.0</v>
      </c>
    </row>
    <row r="11">
      <c r="A11" s="4">
        <v>2843319.0</v>
      </c>
      <c r="B11" s="4" t="s">
        <v>372</v>
      </c>
      <c r="D11" s="11">
        <v>46218.0</v>
      </c>
    </row>
    <row r="12">
      <c r="A12" s="4">
        <v>2963161.0</v>
      </c>
    </row>
    <row r="13">
      <c r="A13" s="4">
        <v>3134911.0</v>
      </c>
      <c r="B13" s="4" t="s">
        <v>401</v>
      </c>
      <c r="D13" s="11">
        <v>46212.0</v>
      </c>
    </row>
    <row r="14">
      <c r="A14" s="4">
        <v>3189967.0</v>
      </c>
      <c r="B14" s="4" t="s">
        <v>414</v>
      </c>
      <c r="D14" s="11">
        <v>46199.0</v>
      </c>
    </row>
    <row r="15">
      <c r="A15" s="4">
        <v>3217561.0</v>
      </c>
      <c r="B15" s="4" t="s">
        <v>86</v>
      </c>
      <c r="D15" s="11">
        <v>46191.0</v>
      </c>
    </row>
    <row r="16">
      <c r="A16" s="4">
        <v>3750335.0</v>
      </c>
      <c r="B16" s="4" t="s">
        <v>403</v>
      </c>
      <c r="C16" s="11">
        <v>46230.0</v>
      </c>
      <c r="D16" s="11">
        <v>46230.0</v>
      </c>
    </row>
    <row r="17">
      <c r="A17" s="4">
        <v>3779550.0</v>
      </c>
      <c r="B17" s="4" t="s">
        <v>377</v>
      </c>
      <c r="D17" s="11">
        <v>46209.0</v>
      </c>
    </row>
    <row r="18">
      <c r="A18" s="4">
        <v>3796947.0</v>
      </c>
      <c r="B18" s="4" t="s">
        <v>423</v>
      </c>
      <c r="C18" s="4" t="s">
        <v>508</v>
      </c>
      <c r="D18" s="11">
        <v>45807.0</v>
      </c>
    </row>
    <row r="19">
      <c r="A19" s="4">
        <v>3841387.0</v>
      </c>
      <c r="B19" s="4" t="s">
        <v>428</v>
      </c>
      <c r="D19" s="11">
        <v>46212.0</v>
      </c>
    </row>
    <row r="20">
      <c r="A20" s="4">
        <v>3852423.0</v>
      </c>
      <c r="B20" s="4" t="s">
        <v>406</v>
      </c>
      <c r="D20" s="11">
        <v>46223.0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3" width="30.0"/>
    <col customWidth="1" min="4" max="4" width="34.0"/>
    <col customWidth="1" min="5" max="5" width="15.0"/>
    <col customWidth="1" min="6" max="6" width="18.0"/>
    <col customWidth="1" min="7" max="7" width="36.71"/>
    <col customWidth="1" min="8" max="8" width="40.0"/>
    <col customWidth="1" min="9" max="26" width="8.71"/>
  </cols>
  <sheetData>
    <row r="1" ht="31.5" customHeight="1">
      <c r="A1" s="18" t="s">
        <v>509</v>
      </c>
      <c r="B1" s="18" t="s">
        <v>186</v>
      </c>
      <c r="C1" s="18" t="s">
        <v>222</v>
      </c>
      <c r="D1" s="18" t="s">
        <v>510</v>
      </c>
      <c r="E1" s="18" t="s">
        <v>3</v>
      </c>
      <c r="F1" s="18" t="s">
        <v>511</v>
      </c>
      <c r="G1" s="18" t="s">
        <v>512</v>
      </c>
      <c r="H1" s="18" t="s">
        <v>513</v>
      </c>
    </row>
    <row r="2">
      <c r="A2" s="29">
        <v>46304.246581666666</v>
      </c>
      <c r="B2" s="30">
        <v>6019028.0</v>
      </c>
      <c r="C2" s="4" t="s">
        <v>432</v>
      </c>
      <c r="D2" s="4" t="s">
        <v>434</v>
      </c>
      <c r="E2" s="4" t="s">
        <v>435</v>
      </c>
      <c r="F2" s="4" t="s">
        <v>514</v>
      </c>
      <c r="G2" s="4" t="s">
        <v>515</v>
      </c>
      <c r="H2" s="4" t="s">
        <v>516</v>
      </c>
    </row>
    <row r="3">
      <c r="A3" s="29">
        <v>46304.246634166666</v>
      </c>
      <c r="B3" s="30">
        <v>6019028.0</v>
      </c>
      <c r="C3" s="4" t="s">
        <v>432</v>
      </c>
      <c r="D3" s="4" t="s">
        <v>434</v>
      </c>
      <c r="E3" s="4" t="s">
        <v>435</v>
      </c>
      <c r="F3" s="4" t="s">
        <v>517</v>
      </c>
      <c r="G3" s="4" t="s">
        <v>309</v>
      </c>
      <c r="H3" s="4" t="s">
        <v>516</v>
      </c>
    </row>
    <row r="4">
      <c r="A4" s="29">
        <v>46304.24843924768</v>
      </c>
      <c r="B4" s="30">
        <v>6014982.0</v>
      </c>
      <c r="C4" s="4" t="s">
        <v>440</v>
      </c>
      <c r="D4" s="4" t="s">
        <v>442</v>
      </c>
      <c r="E4" s="4" t="s">
        <v>435</v>
      </c>
      <c r="F4" s="4" t="s">
        <v>518</v>
      </c>
      <c r="G4" s="4" t="s">
        <v>519</v>
      </c>
    </row>
    <row r="5">
      <c r="A5" s="29">
        <v>46304.248547696756</v>
      </c>
      <c r="B5" s="30">
        <v>6019028.0</v>
      </c>
      <c r="C5" s="4" t="s">
        <v>432</v>
      </c>
      <c r="D5" s="4" t="s">
        <v>434</v>
      </c>
      <c r="E5" s="4" t="s">
        <v>435</v>
      </c>
      <c r="F5" s="4" t="s">
        <v>520</v>
      </c>
      <c r="G5" s="4" t="s">
        <v>309</v>
      </c>
      <c r="H5" s="4" t="s">
        <v>516</v>
      </c>
    </row>
    <row r="6">
      <c r="A6" s="29">
        <v>46304.24933747685</v>
      </c>
      <c r="B6" s="30">
        <v>6014982.0</v>
      </c>
      <c r="C6" s="4" t="s">
        <v>440</v>
      </c>
      <c r="D6" s="4" t="s">
        <v>442</v>
      </c>
      <c r="E6" s="4" t="s">
        <v>435</v>
      </c>
      <c r="F6" s="4" t="s">
        <v>514</v>
      </c>
      <c r="G6" s="4" t="s">
        <v>515</v>
      </c>
      <c r="H6" s="4" t="s">
        <v>516</v>
      </c>
    </row>
    <row r="7">
      <c r="A7" s="29">
        <v>46304.25824934027</v>
      </c>
      <c r="B7" s="30">
        <v>6019028.0</v>
      </c>
      <c r="C7" s="4" t="s">
        <v>432</v>
      </c>
      <c r="D7" s="4" t="s">
        <v>434</v>
      </c>
      <c r="E7" s="4" t="s">
        <v>435</v>
      </c>
      <c r="F7" s="4" t="s">
        <v>517</v>
      </c>
      <c r="G7" s="4" t="s">
        <v>309</v>
      </c>
      <c r="H7" s="4" t="s">
        <v>521</v>
      </c>
    </row>
    <row r="8">
      <c r="A8" s="29">
        <v>46304.26936465278</v>
      </c>
      <c r="B8" s="30">
        <v>6019028.0</v>
      </c>
      <c r="C8" s="4" t="s">
        <v>432</v>
      </c>
      <c r="D8" s="4" t="s">
        <v>434</v>
      </c>
      <c r="E8" s="4" t="s">
        <v>435</v>
      </c>
      <c r="F8" s="4" t="s">
        <v>520</v>
      </c>
      <c r="G8" s="4" t="s">
        <v>309</v>
      </c>
      <c r="H8" s="4" t="s">
        <v>521</v>
      </c>
    </row>
    <row r="9">
      <c r="A9" s="29">
        <v>46304.27085534722</v>
      </c>
      <c r="B9" s="30">
        <v>6019028.0</v>
      </c>
      <c r="C9" s="4" t="s">
        <v>432</v>
      </c>
      <c r="D9" s="4" t="s">
        <v>434</v>
      </c>
      <c r="E9" s="4" t="s">
        <v>435</v>
      </c>
      <c r="F9" s="4" t="s">
        <v>522</v>
      </c>
      <c r="G9" s="4" t="s">
        <v>309</v>
      </c>
      <c r="H9" s="4" t="s">
        <v>521</v>
      </c>
    </row>
    <row r="10">
      <c r="A10" s="29">
        <v>46304.27086642361</v>
      </c>
      <c r="B10" s="30">
        <v>6019028.0</v>
      </c>
      <c r="C10" s="4" t="s">
        <v>432</v>
      </c>
      <c r="D10" s="4" t="s">
        <v>434</v>
      </c>
      <c r="E10" s="4" t="s">
        <v>435</v>
      </c>
      <c r="F10" s="4" t="s">
        <v>517</v>
      </c>
      <c r="G10" s="4" t="s">
        <v>309</v>
      </c>
      <c r="H10" s="4" t="s">
        <v>521</v>
      </c>
    </row>
    <row r="11">
      <c r="A11" s="29">
        <v>46304.27126991898</v>
      </c>
      <c r="B11" s="30">
        <v>6014982.0</v>
      </c>
      <c r="C11" s="4" t="s">
        <v>440</v>
      </c>
      <c r="D11" s="4" t="s">
        <v>442</v>
      </c>
      <c r="E11" s="4" t="s">
        <v>435</v>
      </c>
      <c r="F11" s="4" t="s">
        <v>518</v>
      </c>
      <c r="G11" s="4" t="s">
        <v>519</v>
      </c>
    </row>
    <row r="12">
      <c r="A12" s="29">
        <v>46304.27257087963</v>
      </c>
      <c r="B12" s="30">
        <v>6019028.0</v>
      </c>
      <c r="C12" s="4" t="s">
        <v>432</v>
      </c>
      <c r="D12" s="4" t="s">
        <v>434</v>
      </c>
      <c r="E12" s="4" t="s">
        <v>435</v>
      </c>
      <c r="F12" s="4" t="s">
        <v>520</v>
      </c>
      <c r="G12" s="4" t="s">
        <v>309</v>
      </c>
      <c r="H12" s="4" t="s">
        <v>521</v>
      </c>
    </row>
    <row r="13">
      <c r="A13" s="29">
        <v>46304.27423027778</v>
      </c>
      <c r="B13" s="30">
        <v>6019028.0</v>
      </c>
      <c r="C13" s="4" t="s">
        <v>432</v>
      </c>
      <c r="D13" s="4" t="s">
        <v>434</v>
      </c>
      <c r="E13" s="4" t="s">
        <v>435</v>
      </c>
      <c r="F13" s="4" t="s">
        <v>517</v>
      </c>
      <c r="G13" s="4" t="s">
        <v>309</v>
      </c>
      <c r="H13" s="4" t="s">
        <v>521</v>
      </c>
    </row>
    <row r="14">
      <c r="A14" s="29">
        <v>46304.27451844908</v>
      </c>
      <c r="B14" s="30">
        <v>6019028.0</v>
      </c>
      <c r="C14" s="4" t="s">
        <v>432</v>
      </c>
      <c r="D14" s="4" t="s">
        <v>434</v>
      </c>
      <c r="E14" s="4" t="s">
        <v>435</v>
      </c>
      <c r="F14" s="4" t="s">
        <v>520</v>
      </c>
      <c r="G14" s="4" t="s">
        <v>309</v>
      </c>
      <c r="H14" s="4" t="s">
        <v>521</v>
      </c>
    </row>
    <row r="15">
      <c r="A15" s="29">
        <v>46304.275149375</v>
      </c>
      <c r="B15" s="30">
        <v>6019028.0</v>
      </c>
      <c r="C15" s="4" t="s">
        <v>432</v>
      </c>
      <c r="D15" s="4" t="s">
        <v>434</v>
      </c>
      <c r="E15" s="4" t="s">
        <v>435</v>
      </c>
      <c r="F15" s="4" t="s">
        <v>514</v>
      </c>
      <c r="G15" s="4" t="s">
        <v>523</v>
      </c>
      <c r="H15" s="4" t="s">
        <v>521</v>
      </c>
    </row>
    <row r="16">
      <c r="A16" s="29">
        <v>46304.275471493056</v>
      </c>
      <c r="B16" s="30">
        <v>6019028.0</v>
      </c>
      <c r="C16" s="4" t="s">
        <v>432</v>
      </c>
      <c r="D16" s="4" t="s">
        <v>434</v>
      </c>
      <c r="E16" s="4" t="s">
        <v>435</v>
      </c>
      <c r="F16" s="4" t="s">
        <v>517</v>
      </c>
      <c r="G16" s="4" t="s">
        <v>309</v>
      </c>
      <c r="H16" s="4" t="s">
        <v>521</v>
      </c>
    </row>
    <row r="17">
      <c r="A17" s="29">
        <v>46304.295284872685</v>
      </c>
      <c r="B17" s="30">
        <v>6019028.0</v>
      </c>
      <c r="C17" s="4" t="s">
        <v>432</v>
      </c>
      <c r="D17" s="4" t="s">
        <v>434</v>
      </c>
      <c r="E17" s="4" t="s">
        <v>435</v>
      </c>
      <c r="F17" s="4" t="s">
        <v>517</v>
      </c>
      <c r="G17" s="4" t="s">
        <v>309</v>
      </c>
      <c r="H17" s="4" t="s">
        <v>524</v>
      </c>
    </row>
    <row r="18">
      <c r="A18" s="29">
        <v>46304.30500335648</v>
      </c>
      <c r="B18" s="30">
        <v>6014982.0</v>
      </c>
      <c r="C18" s="4" t="s">
        <v>440</v>
      </c>
      <c r="D18" s="4" t="s">
        <v>442</v>
      </c>
      <c r="E18" s="4" t="s">
        <v>435</v>
      </c>
      <c r="F18" s="4" t="s">
        <v>522</v>
      </c>
      <c r="G18" s="4" t="s">
        <v>309</v>
      </c>
      <c r="H18" s="4" t="s">
        <v>516</v>
      </c>
    </row>
    <row r="19">
      <c r="A19" s="29">
        <v>46304.30501059028</v>
      </c>
      <c r="B19" s="30">
        <v>6014982.0</v>
      </c>
      <c r="C19" s="4" t="s">
        <v>440</v>
      </c>
      <c r="D19" s="4" t="s">
        <v>442</v>
      </c>
      <c r="E19" s="4" t="s">
        <v>435</v>
      </c>
      <c r="F19" s="4" t="s">
        <v>517</v>
      </c>
      <c r="G19" s="4" t="s">
        <v>309</v>
      </c>
      <c r="H19" s="4" t="s">
        <v>516</v>
      </c>
    </row>
    <row r="20">
      <c r="A20" s="29">
        <v>46307.39303927083</v>
      </c>
      <c r="B20" s="30">
        <v>6019028.0</v>
      </c>
      <c r="C20" s="4" t="s">
        <v>432</v>
      </c>
      <c r="D20" s="4" t="s">
        <v>434</v>
      </c>
      <c r="E20" s="4" t="s">
        <v>435</v>
      </c>
      <c r="F20" s="4" t="s">
        <v>520</v>
      </c>
      <c r="G20" s="4" t="s">
        <v>309</v>
      </c>
      <c r="H20" s="4" t="s">
        <v>524</v>
      </c>
    </row>
    <row r="21" ht="15.75" customHeight="1">
      <c r="A21" s="29">
        <v>46307.43235137731</v>
      </c>
      <c r="B21" s="30">
        <v>6019028.0</v>
      </c>
      <c r="C21" s="4" t="s">
        <v>432</v>
      </c>
      <c r="D21" s="4" t="s">
        <v>434</v>
      </c>
      <c r="E21" s="4" t="s">
        <v>435</v>
      </c>
      <c r="F21" s="4" t="s">
        <v>517</v>
      </c>
      <c r="G21" s="4" t="s">
        <v>309</v>
      </c>
      <c r="H21" s="4" t="s">
        <v>524</v>
      </c>
    </row>
    <row r="22" ht="15.75" customHeight="1">
      <c r="A22" s="29">
        <v>46307.55686696759</v>
      </c>
      <c r="B22" s="30">
        <v>6019028.0</v>
      </c>
      <c r="C22" s="4" t="s">
        <v>432</v>
      </c>
      <c r="D22" s="4" t="s">
        <v>434</v>
      </c>
      <c r="E22" s="4" t="s">
        <v>435</v>
      </c>
      <c r="F22" s="4" t="s">
        <v>520</v>
      </c>
      <c r="G22" s="4" t="s">
        <v>309</v>
      </c>
      <c r="H22" s="4" t="s">
        <v>524</v>
      </c>
    </row>
    <row r="23" ht="15.75" customHeight="1">
      <c r="A23" s="29">
        <v>46307.55735337963</v>
      </c>
      <c r="B23" s="30">
        <v>6019028.0</v>
      </c>
      <c r="C23" s="4" t="s">
        <v>432</v>
      </c>
      <c r="D23" s="4" t="s">
        <v>434</v>
      </c>
      <c r="E23" s="4" t="s">
        <v>435</v>
      </c>
      <c r="F23" s="4" t="s">
        <v>517</v>
      </c>
      <c r="G23" s="4" t="s">
        <v>309</v>
      </c>
      <c r="H23" s="4" t="s">
        <v>524</v>
      </c>
    </row>
    <row r="24" ht="15.75" customHeight="1">
      <c r="A24" s="29">
        <v>46307.56727976852</v>
      </c>
      <c r="B24" s="30">
        <v>2823133.0</v>
      </c>
      <c r="C24" s="4" t="s">
        <v>88</v>
      </c>
      <c r="E24" s="4" t="s">
        <v>357</v>
      </c>
      <c r="F24" s="4" t="s">
        <v>518</v>
      </c>
      <c r="G24" s="4" t="s">
        <v>519</v>
      </c>
    </row>
    <row r="25" ht="15.75" customHeight="1">
      <c r="A25" s="29">
        <v>46307.56794472222</v>
      </c>
      <c r="B25" s="30">
        <v>6019028.0</v>
      </c>
      <c r="C25" s="4" t="s">
        <v>432</v>
      </c>
      <c r="D25" s="4" t="s">
        <v>434</v>
      </c>
      <c r="E25" s="4" t="s">
        <v>435</v>
      </c>
      <c r="F25" s="4" t="s">
        <v>520</v>
      </c>
      <c r="G25" s="4" t="s">
        <v>309</v>
      </c>
      <c r="H25" s="4" t="s">
        <v>524</v>
      </c>
    </row>
    <row r="26" ht="15.75" customHeight="1">
      <c r="A26" s="29">
        <v>46307.568603865744</v>
      </c>
      <c r="B26" s="30">
        <v>2823133.0</v>
      </c>
      <c r="C26" s="4" t="s">
        <v>88</v>
      </c>
      <c r="E26" s="4" t="s">
        <v>357</v>
      </c>
      <c r="F26" s="4" t="s">
        <v>522</v>
      </c>
      <c r="G26" s="4" t="s">
        <v>309</v>
      </c>
      <c r="H26" s="4" t="s">
        <v>524</v>
      </c>
    </row>
    <row r="27" ht="15.75" customHeight="1">
      <c r="A27" s="29">
        <v>46307.56861185185</v>
      </c>
      <c r="B27" s="30">
        <v>2823133.0</v>
      </c>
      <c r="C27" s="4" t="s">
        <v>88</v>
      </c>
      <c r="E27" s="4" t="s">
        <v>357</v>
      </c>
      <c r="F27" s="4" t="s">
        <v>517</v>
      </c>
      <c r="G27" s="4" t="s">
        <v>309</v>
      </c>
      <c r="H27" s="4" t="s">
        <v>524</v>
      </c>
    </row>
    <row r="28" ht="15.75" customHeight="1">
      <c r="A28" s="29">
        <v>46307.57244452546</v>
      </c>
      <c r="B28" s="30">
        <v>2823133.0</v>
      </c>
      <c r="C28" s="4" t="s">
        <v>88</v>
      </c>
      <c r="E28" s="4" t="s">
        <v>357</v>
      </c>
      <c r="F28" s="4" t="s">
        <v>525</v>
      </c>
      <c r="G28" s="4" t="s">
        <v>526</v>
      </c>
      <c r="H28" s="4" t="s">
        <v>524</v>
      </c>
    </row>
    <row r="29" ht="15.75" customHeight="1">
      <c r="A29" s="29">
        <v>46307.573226168985</v>
      </c>
      <c r="B29" s="30">
        <v>2823133.0</v>
      </c>
      <c r="C29" s="4" t="s">
        <v>88</v>
      </c>
      <c r="E29" s="4" t="s">
        <v>357</v>
      </c>
      <c r="F29" s="4" t="s">
        <v>527</v>
      </c>
      <c r="G29" s="4" t="s">
        <v>528</v>
      </c>
    </row>
    <row r="30" ht="15.75" customHeight="1">
      <c r="A30" s="29">
        <v>46307.576462094905</v>
      </c>
      <c r="B30" s="30">
        <v>2823133.0</v>
      </c>
      <c r="C30" s="4" t="s">
        <v>88</v>
      </c>
      <c r="E30" s="4" t="s">
        <v>357</v>
      </c>
      <c r="F30" s="4" t="s">
        <v>520</v>
      </c>
      <c r="G30" s="4" t="s">
        <v>309</v>
      </c>
      <c r="H30" s="4" t="s">
        <v>524</v>
      </c>
    </row>
    <row r="31" ht="15.75" customHeight="1">
      <c r="A31" s="29">
        <v>46307.57779927083</v>
      </c>
      <c r="B31" s="30">
        <v>6019028.0</v>
      </c>
      <c r="C31" s="4" t="s">
        <v>432</v>
      </c>
      <c r="D31" s="4" t="s">
        <v>434</v>
      </c>
      <c r="E31" s="4" t="s">
        <v>435</v>
      </c>
      <c r="F31" s="4" t="s">
        <v>529</v>
      </c>
      <c r="G31" s="4" t="s">
        <v>530</v>
      </c>
      <c r="H31" s="4" t="s">
        <v>524</v>
      </c>
    </row>
    <row r="32" ht="15.75" customHeight="1">
      <c r="A32" s="29">
        <v>46307.57952194444</v>
      </c>
      <c r="B32" s="30">
        <v>6014982.0</v>
      </c>
      <c r="C32" s="4" t="s">
        <v>440</v>
      </c>
      <c r="D32" s="4" t="s">
        <v>442</v>
      </c>
      <c r="E32" s="4" t="s">
        <v>435</v>
      </c>
      <c r="F32" s="4" t="s">
        <v>529</v>
      </c>
      <c r="G32" s="4" t="s">
        <v>530</v>
      </c>
      <c r="H32" s="4" t="s">
        <v>524</v>
      </c>
    </row>
    <row r="33" ht="15.75" customHeight="1">
      <c r="A33" s="29">
        <v>46307.58304054398</v>
      </c>
      <c r="B33" s="30">
        <v>6019028.0</v>
      </c>
      <c r="C33" s="4" t="s">
        <v>432</v>
      </c>
      <c r="D33" s="4" t="s">
        <v>434</v>
      </c>
      <c r="E33" s="4" t="s">
        <v>435</v>
      </c>
      <c r="F33" s="4" t="s">
        <v>529</v>
      </c>
      <c r="G33" s="4" t="s">
        <v>530</v>
      </c>
      <c r="H33" s="4" t="s">
        <v>524</v>
      </c>
    </row>
    <row r="34" ht="15.75" customHeight="1">
      <c r="A34" s="29">
        <v>46307.58713136574</v>
      </c>
      <c r="B34" s="30">
        <v>6019028.0</v>
      </c>
      <c r="C34" s="4" t="s">
        <v>432</v>
      </c>
      <c r="D34" s="4" t="s">
        <v>434</v>
      </c>
      <c r="E34" s="4" t="s">
        <v>435</v>
      </c>
      <c r="F34" s="4" t="s">
        <v>529</v>
      </c>
      <c r="G34" s="4" t="s">
        <v>530</v>
      </c>
      <c r="H34" s="4" t="s">
        <v>531</v>
      </c>
    </row>
    <row r="35" ht="15.75" customHeight="1">
      <c r="A35" s="29">
        <v>46307.589236851854</v>
      </c>
      <c r="B35" s="30">
        <v>6019028.0</v>
      </c>
      <c r="C35" s="4" t="s">
        <v>432</v>
      </c>
      <c r="D35" s="4" t="s">
        <v>434</v>
      </c>
      <c r="E35" s="4" t="s">
        <v>435</v>
      </c>
      <c r="F35" s="4" t="s">
        <v>517</v>
      </c>
      <c r="G35" s="4" t="s">
        <v>309</v>
      </c>
      <c r="H35" s="4" t="s">
        <v>524</v>
      </c>
    </row>
    <row r="36" ht="15.75" customHeight="1">
      <c r="A36" s="29">
        <v>46307.590502754625</v>
      </c>
      <c r="B36" s="30">
        <v>2823133.0</v>
      </c>
      <c r="C36" s="4" t="s">
        <v>88</v>
      </c>
      <c r="E36" s="4" t="s">
        <v>357</v>
      </c>
      <c r="F36" s="4" t="s">
        <v>518</v>
      </c>
      <c r="G36" s="4" t="s">
        <v>519</v>
      </c>
    </row>
    <row r="37" ht="15.75" customHeight="1">
      <c r="A37" s="29">
        <v>46307.59074219907</v>
      </c>
      <c r="B37" s="30">
        <v>1271571.0</v>
      </c>
      <c r="C37" s="4" t="s">
        <v>368</v>
      </c>
      <c r="E37" s="4" t="s">
        <v>357</v>
      </c>
      <c r="F37" s="4" t="s">
        <v>518</v>
      </c>
      <c r="G37" s="4" t="s">
        <v>519</v>
      </c>
    </row>
    <row r="38" ht="15.75" customHeight="1">
      <c r="A38" s="29">
        <v>46307.591325636575</v>
      </c>
      <c r="B38" s="30">
        <v>6019028.0</v>
      </c>
      <c r="C38" s="4" t="s">
        <v>432</v>
      </c>
      <c r="D38" s="4" t="s">
        <v>434</v>
      </c>
      <c r="E38" s="4" t="s">
        <v>435</v>
      </c>
      <c r="F38" s="4" t="s">
        <v>520</v>
      </c>
      <c r="G38" s="4" t="s">
        <v>309</v>
      </c>
      <c r="H38" s="4" t="s">
        <v>524</v>
      </c>
    </row>
    <row r="39" ht="15.75" customHeight="1">
      <c r="A39" s="29">
        <v>46307.59151429398</v>
      </c>
      <c r="B39" s="30">
        <v>6019028.0</v>
      </c>
      <c r="C39" s="4" t="s">
        <v>432</v>
      </c>
      <c r="D39" s="4" t="s">
        <v>434</v>
      </c>
      <c r="E39" s="4" t="s">
        <v>435</v>
      </c>
      <c r="F39" s="4" t="s">
        <v>529</v>
      </c>
      <c r="G39" s="4" t="s">
        <v>530</v>
      </c>
      <c r="H39" s="4" t="s">
        <v>524</v>
      </c>
    </row>
    <row r="40" ht="15.75" customHeight="1">
      <c r="A40" s="29">
        <v>46307.59501546297</v>
      </c>
      <c r="B40" s="30">
        <v>6019028.0</v>
      </c>
      <c r="C40" s="4" t="s">
        <v>432</v>
      </c>
      <c r="D40" s="4" t="s">
        <v>434</v>
      </c>
      <c r="E40" s="4" t="s">
        <v>435</v>
      </c>
      <c r="F40" s="4" t="s">
        <v>529</v>
      </c>
      <c r="G40" s="4" t="s">
        <v>530</v>
      </c>
      <c r="H40" s="4" t="s">
        <v>524</v>
      </c>
    </row>
    <row r="41" ht="15.75" customHeight="1">
      <c r="A41" s="29">
        <v>46307.59822907408</v>
      </c>
      <c r="B41" s="30">
        <v>6019028.0</v>
      </c>
      <c r="C41" s="4" t="s">
        <v>432</v>
      </c>
      <c r="D41" s="4" t="s">
        <v>434</v>
      </c>
      <c r="E41" s="4" t="s">
        <v>435</v>
      </c>
      <c r="F41" s="4" t="s">
        <v>529</v>
      </c>
      <c r="G41" s="4" t="s">
        <v>309</v>
      </c>
      <c r="H41" s="4" t="s">
        <v>524</v>
      </c>
    </row>
    <row r="42" ht="15.75" customHeight="1">
      <c r="A42" s="29">
        <v>46307.60622545139</v>
      </c>
      <c r="B42" s="30">
        <v>6019028.0</v>
      </c>
      <c r="C42" s="4" t="s">
        <v>432</v>
      </c>
      <c r="D42" s="4" t="s">
        <v>434</v>
      </c>
      <c r="E42" s="4" t="s">
        <v>435</v>
      </c>
      <c r="F42" s="4" t="s">
        <v>517</v>
      </c>
      <c r="G42" s="4" t="s">
        <v>309</v>
      </c>
      <c r="H42" s="4" t="s">
        <v>524</v>
      </c>
    </row>
    <row r="43" ht="15.75" customHeight="1">
      <c r="A43" s="29">
        <v>46307.618687696755</v>
      </c>
      <c r="B43" s="30">
        <v>6019028.0</v>
      </c>
      <c r="C43" s="4" t="s">
        <v>432</v>
      </c>
      <c r="D43" s="4" t="s">
        <v>434</v>
      </c>
      <c r="E43" s="4" t="s">
        <v>435</v>
      </c>
      <c r="F43" s="4" t="s">
        <v>520</v>
      </c>
      <c r="G43" s="4" t="s">
        <v>309</v>
      </c>
      <c r="H43" s="4" t="s">
        <v>524</v>
      </c>
    </row>
    <row r="44" ht="15.75" customHeight="1">
      <c r="A44" s="29">
        <v>46307.618812500004</v>
      </c>
      <c r="B44" s="30">
        <v>2823133.0</v>
      </c>
      <c r="C44" s="4" t="s">
        <v>88</v>
      </c>
      <c r="E44" s="4" t="s">
        <v>357</v>
      </c>
      <c r="F44" s="4" t="s">
        <v>517</v>
      </c>
      <c r="G44" s="4" t="s">
        <v>309</v>
      </c>
      <c r="H44" s="4" t="s">
        <v>524</v>
      </c>
    </row>
    <row r="45" ht="15.75" customHeight="1">
      <c r="A45" s="29">
        <v>46307.621625694446</v>
      </c>
      <c r="B45" s="30">
        <v>2823133.0</v>
      </c>
      <c r="C45" s="4" t="s">
        <v>88</v>
      </c>
      <c r="E45" s="4" t="s">
        <v>357</v>
      </c>
      <c r="F45" s="4" t="s">
        <v>517</v>
      </c>
      <c r="G45" s="4" t="s">
        <v>309</v>
      </c>
      <c r="H45" s="4" t="s">
        <v>516</v>
      </c>
    </row>
    <row r="46" ht="15.75" customHeight="1">
      <c r="A46" s="29">
        <v>46307.62653663194</v>
      </c>
      <c r="B46" s="30">
        <v>2823133.0</v>
      </c>
      <c r="C46" s="4" t="s">
        <v>88</v>
      </c>
      <c r="E46" s="4" t="s">
        <v>357</v>
      </c>
      <c r="F46" s="4" t="s">
        <v>525</v>
      </c>
      <c r="G46" s="4" t="s">
        <v>532</v>
      </c>
      <c r="H46" s="4" t="s">
        <v>516</v>
      </c>
    </row>
    <row r="47" ht="15.75" customHeight="1">
      <c r="A47" s="29">
        <v>46307.64134756944</v>
      </c>
      <c r="B47" s="30">
        <v>2823133.0</v>
      </c>
      <c r="C47" s="4" t="s">
        <v>88</v>
      </c>
      <c r="E47" s="4" t="s">
        <v>357</v>
      </c>
      <c r="F47" s="4" t="s">
        <v>527</v>
      </c>
      <c r="G47" s="4" t="s">
        <v>533</v>
      </c>
    </row>
    <row r="48" ht="15.75" customHeight="1">
      <c r="A48" s="29">
        <v>46307.64544813657</v>
      </c>
      <c r="B48" s="30">
        <v>2823133.0</v>
      </c>
      <c r="C48" s="4" t="s">
        <v>88</v>
      </c>
      <c r="E48" s="4" t="s">
        <v>357</v>
      </c>
      <c r="F48" s="4" t="s">
        <v>534</v>
      </c>
      <c r="G48" s="4" t="s">
        <v>535</v>
      </c>
    </row>
    <row r="49" ht="15.75" customHeight="1">
      <c r="A49" s="29">
        <v>46307.64564332176</v>
      </c>
      <c r="B49" s="30">
        <v>2823133.0</v>
      </c>
      <c r="C49" s="4" t="s">
        <v>88</v>
      </c>
      <c r="E49" s="4" t="s">
        <v>357</v>
      </c>
      <c r="F49" s="4" t="s">
        <v>517</v>
      </c>
      <c r="G49" s="4" t="s">
        <v>309</v>
      </c>
      <c r="H49" s="4" t="s">
        <v>516</v>
      </c>
    </row>
    <row r="50" ht="15.75" customHeight="1">
      <c r="A50" s="29">
        <v>46307.649246319445</v>
      </c>
      <c r="B50" s="30">
        <v>2823133.0</v>
      </c>
      <c r="C50" s="4" t="s">
        <v>88</v>
      </c>
      <c r="E50" s="4" t="s">
        <v>357</v>
      </c>
      <c r="F50" s="4" t="s">
        <v>536</v>
      </c>
      <c r="G50" s="4" t="s">
        <v>309</v>
      </c>
      <c r="H50" s="4" t="s">
        <v>516</v>
      </c>
    </row>
    <row r="51" ht="15.75" customHeight="1">
      <c r="A51" s="29">
        <v>46307.64925341435</v>
      </c>
      <c r="B51" s="30">
        <v>2823133.0</v>
      </c>
      <c r="C51" s="4" t="s">
        <v>88</v>
      </c>
      <c r="E51" s="4" t="s">
        <v>357</v>
      </c>
      <c r="F51" s="4" t="s">
        <v>517</v>
      </c>
      <c r="G51" s="4" t="s">
        <v>309</v>
      </c>
      <c r="H51" s="4" t="s">
        <v>516</v>
      </c>
    </row>
    <row r="52" ht="15.75" customHeight="1">
      <c r="A52" s="29">
        <v>46307.654029247686</v>
      </c>
      <c r="B52" s="30">
        <v>2823133.0</v>
      </c>
      <c r="C52" s="4" t="s">
        <v>88</v>
      </c>
      <c r="E52" s="4" t="s">
        <v>357</v>
      </c>
      <c r="F52" s="4" t="s">
        <v>520</v>
      </c>
      <c r="G52" s="4" t="s">
        <v>309</v>
      </c>
      <c r="H52" s="4" t="s">
        <v>524</v>
      </c>
    </row>
    <row r="53" ht="15.75" customHeight="1">
      <c r="A53" s="29">
        <v>46307.65403701389</v>
      </c>
      <c r="B53" s="30">
        <v>6019028.0</v>
      </c>
      <c r="C53" s="4" t="s">
        <v>432</v>
      </c>
      <c r="D53" s="4" t="s">
        <v>434</v>
      </c>
      <c r="E53" s="4" t="s">
        <v>435</v>
      </c>
      <c r="F53" s="4" t="s">
        <v>517</v>
      </c>
      <c r="G53" s="4" t="s">
        <v>309</v>
      </c>
      <c r="H53" s="4" t="s">
        <v>524</v>
      </c>
    </row>
    <row r="54" ht="15.75" customHeight="1">
      <c r="A54" s="29">
        <v>46308.22790429398</v>
      </c>
      <c r="B54" s="30">
        <v>6019028.0</v>
      </c>
      <c r="C54" s="4" t="s">
        <v>432</v>
      </c>
      <c r="D54" s="4" t="s">
        <v>434</v>
      </c>
      <c r="E54" s="4" t="s">
        <v>435</v>
      </c>
      <c r="F54" s="4" t="s">
        <v>520</v>
      </c>
      <c r="G54" s="4" t="s">
        <v>309</v>
      </c>
      <c r="H54" s="4" t="s">
        <v>524</v>
      </c>
    </row>
    <row r="55" ht="15.75" customHeight="1">
      <c r="A55" s="29">
        <v>46308.228025115735</v>
      </c>
      <c r="B55" s="30">
        <v>2823133.0</v>
      </c>
      <c r="C55" s="4" t="s">
        <v>88</v>
      </c>
      <c r="E55" s="4" t="s">
        <v>357</v>
      </c>
      <c r="F55" s="4" t="s">
        <v>514</v>
      </c>
      <c r="G55" s="4" t="s">
        <v>523</v>
      </c>
      <c r="H55" s="4" t="s">
        <v>524</v>
      </c>
    </row>
    <row r="56" ht="15.75" customHeight="1">
      <c r="A56" s="29">
        <v>46308.22811805556</v>
      </c>
      <c r="B56" s="30">
        <v>6019028.0</v>
      </c>
      <c r="C56" s="4" t="s">
        <v>432</v>
      </c>
      <c r="D56" s="4" t="s">
        <v>434</v>
      </c>
      <c r="E56" s="4" t="s">
        <v>435</v>
      </c>
      <c r="F56" s="4" t="s">
        <v>517</v>
      </c>
      <c r="G56" s="4" t="s">
        <v>309</v>
      </c>
      <c r="H56" s="4" t="s">
        <v>524</v>
      </c>
    </row>
    <row r="57" ht="15.75" customHeight="1">
      <c r="A57" s="29">
        <v>46308.24178398148</v>
      </c>
      <c r="B57" s="30">
        <v>31096.0</v>
      </c>
      <c r="C57" s="4" t="s">
        <v>447</v>
      </c>
      <c r="D57" s="4" t="s">
        <v>449</v>
      </c>
      <c r="E57" s="4" t="s">
        <v>435</v>
      </c>
      <c r="F57" s="4" t="s">
        <v>537</v>
      </c>
      <c r="G57" s="4" t="s">
        <v>519</v>
      </c>
    </row>
    <row r="58" ht="15.75" customHeight="1">
      <c r="A58" s="29">
        <v>46308.575427986114</v>
      </c>
      <c r="B58" s="30">
        <v>2823133.0</v>
      </c>
      <c r="C58" s="4" t="s">
        <v>88</v>
      </c>
      <c r="E58" s="4" t="s">
        <v>357</v>
      </c>
      <c r="F58" s="4" t="s">
        <v>538</v>
      </c>
      <c r="G58" s="4" t="s">
        <v>519</v>
      </c>
    </row>
    <row r="59" ht="15.75" customHeight="1">
      <c r="A59" s="29">
        <v>46308.57586347222</v>
      </c>
      <c r="B59" s="30">
        <v>3217561.0</v>
      </c>
      <c r="C59" s="4" t="s">
        <v>86</v>
      </c>
      <c r="E59" s="4" t="s">
        <v>357</v>
      </c>
      <c r="F59" s="4" t="s">
        <v>518</v>
      </c>
      <c r="G59" s="4" t="s">
        <v>519</v>
      </c>
    </row>
    <row r="60" ht="15.75" customHeight="1">
      <c r="A60" s="29">
        <v>46308.57613755787</v>
      </c>
      <c r="B60" s="30">
        <v>6019028.0</v>
      </c>
      <c r="C60" s="4" t="s">
        <v>432</v>
      </c>
      <c r="D60" s="4" t="s">
        <v>434</v>
      </c>
      <c r="E60" s="4" t="s">
        <v>435</v>
      </c>
      <c r="F60" s="4" t="s">
        <v>520</v>
      </c>
      <c r="G60" s="4" t="s">
        <v>309</v>
      </c>
      <c r="H60" s="4" t="s">
        <v>524</v>
      </c>
    </row>
    <row r="61" ht="15.75" customHeight="1">
      <c r="A61" s="29">
        <v>46308.577140277775</v>
      </c>
      <c r="B61" s="30">
        <v>3217561.0</v>
      </c>
      <c r="C61" s="4" t="s">
        <v>86</v>
      </c>
      <c r="E61" s="4" t="s">
        <v>357</v>
      </c>
      <c r="F61" s="4" t="s">
        <v>522</v>
      </c>
      <c r="G61" s="4" t="s">
        <v>309</v>
      </c>
      <c r="H61" s="4" t="s">
        <v>524</v>
      </c>
    </row>
    <row r="62" ht="15.75" customHeight="1">
      <c r="A62" s="29">
        <v>46308.577148344906</v>
      </c>
      <c r="B62" s="30">
        <v>3217561.0</v>
      </c>
      <c r="C62" s="4" t="s">
        <v>86</v>
      </c>
      <c r="E62" s="4" t="s">
        <v>357</v>
      </c>
      <c r="F62" s="4" t="s">
        <v>517</v>
      </c>
      <c r="G62" s="4" t="s">
        <v>309</v>
      </c>
      <c r="H62" s="4" t="s">
        <v>524</v>
      </c>
    </row>
    <row r="63" ht="15.75" customHeight="1">
      <c r="A63" s="29">
        <v>46308.58112765047</v>
      </c>
      <c r="B63" s="30">
        <v>3217561.0</v>
      </c>
      <c r="C63" s="4" t="s">
        <v>86</v>
      </c>
      <c r="E63" s="4" t="s">
        <v>357</v>
      </c>
      <c r="F63" s="4" t="s">
        <v>539</v>
      </c>
      <c r="G63" s="4" t="s">
        <v>540</v>
      </c>
      <c r="H63" s="4" t="s">
        <v>524</v>
      </c>
    </row>
    <row r="64" ht="15.75" customHeight="1">
      <c r="A64" s="29">
        <v>46308.582390358795</v>
      </c>
      <c r="B64" s="30">
        <v>3217561.0</v>
      </c>
      <c r="C64" s="4" t="s">
        <v>86</v>
      </c>
      <c r="E64" s="4" t="s">
        <v>357</v>
      </c>
      <c r="F64" s="4" t="s">
        <v>520</v>
      </c>
      <c r="G64" s="4" t="s">
        <v>309</v>
      </c>
      <c r="H64" s="4" t="s">
        <v>524</v>
      </c>
    </row>
    <row r="65" ht="15.75" customHeight="1">
      <c r="A65" s="29">
        <v>46308.58248640047</v>
      </c>
      <c r="B65" s="30">
        <v>6019028.0</v>
      </c>
      <c r="C65" s="4" t="s">
        <v>432</v>
      </c>
      <c r="D65" s="4" t="s">
        <v>434</v>
      </c>
      <c r="E65" s="4" t="s">
        <v>435</v>
      </c>
      <c r="F65" s="4" t="s">
        <v>517</v>
      </c>
      <c r="G65" s="4" t="s">
        <v>309</v>
      </c>
      <c r="H65" s="4" t="s">
        <v>524</v>
      </c>
    </row>
    <row r="66" ht="15.75" customHeight="1">
      <c r="A66" s="29">
        <v>46308.58342137732</v>
      </c>
      <c r="B66" s="30">
        <v>2415373.0</v>
      </c>
      <c r="C66" s="4" t="s">
        <v>417</v>
      </c>
      <c r="E66" s="4" t="s">
        <v>357</v>
      </c>
      <c r="F66" s="4" t="s">
        <v>518</v>
      </c>
      <c r="G66" s="4" t="s">
        <v>519</v>
      </c>
    </row>
    <row r="67" ht="15.75" customHeight="1">
      <c r="A67" s="29">
        <v>46308.58384658565</v>
      </c>
      <c r="B67" s="30">
        <v>2415373.0</v>
      </c>
      <c r="C67" s="4" t="s">
        <v>417</v>
      </c>
      <c r="E67" s="4" t="s">
        <v>357</v>
      </c>
      <c r="F67" s="4" t="s">
        <v>522</v>
      </c>
      <c r="G67" s="4" t="s">
        <v>309</v>
      </c>
      <c r="H67" s="4" t="s">
        <v>524</v>
      </c>
    </row>
    <row r="68" ht="15.75" customHeight="1">
      <c r="A68" s="29">
        <v>46308.58385306713</v>
      </c>
      <c r="B68" s="30">
        <v>2415373.0</v>
      </c>
      <c r="C68" s="4" t="s">
        <v>417</v>
      </c>
      <c r="E68" s="4" t="s">
        <v>357</v>
      </c>
      <c r="F68" s="4" t="s">
        <v>517</v>
      </c>
      <c r="G68" s="4" t="s">
        <v>309</v>
      </c>
      <c r="H68" s="4" t="s">
        <v>524</v>
      </c>
    </row>
    <row r="69" ht="15.75" customHeight="1">
      <c r="A69" s="29">
        <v>46308.58719795139</v>
      </c>
      <c r="B69" s="30">
        <v>2415373.0</v>
      </c>
      <c r="C69" s="4" t="s">
        <v>417</v>
      </c>
      <c r="E69" s="4" t="s">
        <v>357</v>
      </c>
      <c r="F69" s="4" t="s">
        <v>541</v>
      </c>
      <c r="G69" s="4" t="s">
        <v>542</v>
      </c>
      <c r="H69" s="4" t="s">
        <v>524</v>
      </c>
    </row>
    <row r="70" ht="15.75" customHeight="1">
      <c r="A70" s="29">
        <v>46308.58780203704</v>
      </c>
      <c r="B70" s="30">
        <v>2415373.0</v>
      </c>
      <c r="C70" s="4" t="s">
        <v>417</v>
      </c>
      <c r="E70" s="4" t="s">
        <v>357</v>
      </c>
      <c r="F70" s="4" t="s">
        <v>520</v>
      </c>
      <c r="G70" s="4" t="s">
        <v>309</v>
      </c>
      <c r="H70" s="4" t="s">
        <v>524</v>
      </c>
    </row>
    <row r="71" ht="15.75" customHeight="1">
      <c r="A71" s="29">
        <v>46308.58781309028</v>
      </c>
      <c r="B71" s="30">
        <v>6019028.0</v>
      </c>
      <c r="C71" s="4" t="s">
        <v>432</v>
      </c>
      <c r="D71" s="4" t="s">
        <v>434</v>
      </c>
      <c r="E71" s="4" t="s">
        <v>435</v>
      </c>
      <c r="F71" s="4" t="s">
        <v>517</v>
      </c>
      <c r="G71" s="4" t="s">
        <v>309</v>
      </c>
      <c r="H71" s="4" t="s">
        <v>524</v>
      </c>
    </row>
    <row r="72" ht="15.75" customHeight="1">
      <c r="A72" s="29">
        <v>46308.58854416666</v>
      </c>
      <c r="B72" s="30">
        <v>6019028.0</v>
      </c>
      <c r="C72" s="4" t="s">
        <v>432</v>
      </c>
      <c r="D72" s="4" t="s">
        <v>434</v>
      </c>
      <c r="E72" s="4" t="s">
        <v>435</v>
      </c>
      <c r="F72" s="4" t="s">
        <v>520</v>
      </c>
      <c r="G72" s="4" t="s">
        <v>309</v>
      </c>
      <c r="H72" s="4" t="s">
        <v>524</v>
      </c>
    </row>
    <row r="73" ht="15.75" customHeight="1">
      <c r="A73" s="29">
        <v>46308.58889153935</v>
      </c>
      <c r="B73" s="30">
        <v>2415373.0</v>
      </c>
      <c r="C73" s="4" t="s">
        <v>417</v>
      </c>
      <c r="E73" s="4" t="s">
        <v>357</v>
      </c>
      <c r="F73" s="4" t="s">
        <v>517</v>
      </c>
      <c r="G73" s="4" t="s">
        <v>309</v>
      </c>
      <c r="H73" s="4" t="s">
        <v>524</v>
      </c>
    </row>
    <row r="74" ht="15.75" customHeight="1">
      <c r="A74" s="29">
        <v>46308.60060118056</v>
      </c>
      <c r="B74" s="30">
        <v>2415373.0</v>
      </c>
      <c r="C74" s="4" t="s">
        <v>417</v>
      </c>
      <c r="E74" s="4" t="s">
        <v>357</v>
      </c>
      <c r="F74" s="4" t="s">
        <v>539</v>
      </c>
      <c r="G74" s="4" t="s">
        <v>543</v>
      </c>
      <c r="H74" s="4" t="s">
        <v>524</v>
      </c>
    </row>
    <row r="75" ht="15.75" customHeight="1">
      <c r="A75" s="29">
        <v>46308.600683958335</v>
      </c>
      <c r="B75" s="30">
        <v>2415373.0</v>
      </c>
      <c r="C75" s="4" t="s">
        <v>417</v>
      </c>
      <c r="E75" s="4" t="s">
        <v>357</v>
      </c>
      <c r="F75" s="4" t="s">
        <v>520</v>
      </c>
      <c r="G75" s="4" t="s">
        <v>309</v>
      </c>
      <c r="H75" s="4" t="s">
        <v>524</v>
      </c>
    </row>
    <row r="76" ht="15.75" customHeight="1">
      <c r="A76" s="29">
        <v>46308.60088712963</v>
      </c>
      <c r="B76" s="30">
        <v>6019028.0</v>
      </c>
      <c r="C76" s="4" t="s">
        <v>432</v>
      </c>
      <c r="D76" s="4" t="s">
        <v>434</v>
      </c>
      <c r="E76" s="4" t="s">
        <v>435</v>
      </c>
      <c r="F76" s="4" t="s">
        <v>517</v>
      </c>
      <c r="G76" s="4" t="s">
        <v>309</v>
      </c>
      <c r="H76" s="4" t="s">
        <v>524</v>
      </c>
    </row>
    <row r="77" ht="15.75" customHeight="1">
      <c r="A77" s="29">
        <v>46308.603691446755</v>
      </c>
      <c r="B77" s="30">
        <v>1271571.0</v>
      </c>
      <c r="C77" s="4" t="s">
        <v>368</v>
      </c>
      <c r="E77" s="4" t="s">
        <v>357</v>
      </c>
      <c r="F77" s="4" t="s">
        <v>518</v>
      </c>
      <c r="G77" s="4" t="s">
        <v>519</v>
      </c>
    </row>
    <row r="78" ht="15.75" customHeight="1">
      <c r="A78" s="29">
        <v>46308.60493990741</v>
      </c>
      <c r="B78" s="30">
        <v>6019028.0</v>
      </c>
      <c r="C78" s="4" t="s">
        <v>432</v>
      </c>
      <c r="D78" s="4" t="s">
        <v>434</v>
      </c>
      <c r="E78" s="4" t="s">
        <v>435</v>
      </c>
      <c r="F78" s="4" t="s">
        <v>520</v>
      </c>
      <c r="G78" s="4" t="s">
        <v>309</v>
      </c>
      <c r="H78" s="4" t="s">
        <v>524</v>
      </c>
    </row>
    <row r="79" ht="15.75" customHeight="1">
      <c r="A79" s="29">
        <v>46308.60598314815</v>
      </c>
      <c r="B79" s="30">
        <v>1271571.0</v>
      </c>
      <c r="C79" s="4" t="s">
        <v>368</v>
      </c>
      <c r="E79" s="4" t="s">
        <v>357</v>
      </c>
      <c r="F79" s="4" t="s">
        <v>522</v>
      </c>
      <c r="G79" s="4" t="s">
        <v>309</v>
      </c>
      <c r="H79" s="4" t="s">
        <v>524</v>
      </c>
    </row>
    <row r="80" ht="15.75" customHeight="1">
      <c r="A80" s="29">
        <v>46308.60598949074</v>
      </c>
      <c r="B80" s="30">
        <v>1271571.0</v>
      </c>
      <c r="C80" s="4" t="s">
        <v>368</v>
      </c>
      <c r="E80" s="4" t="s">
        <v>357</v>
      </c>
      <c r="F80" s="4" t="s">
        <v>517</v>
      </c>
      <c r="G80" s="4" t="s">
        <v>309</v>
      </c>
      <c r="H80" s="4" t="s">
        <v>524</v>
      </c>
    </row>
    <row r="81" ht="15.75" customHeight="1">
      <c r="A81" s="29">
        <v>46308.60721702546</v>
      </c>
      <c r="B81" s="30">
        <v>1271571.0</v>
      </c>
      <c r="C81" s="4" t="s">
        <v>368</v>
      </c>
      <c r="E81" s="4" t="s">
        <v>357</v>
      </c>
      <c r="F81" s="4" t="s">
        <v>544</v>
      </c>
      <c r="G81" s="4" t="s">
        <v>545</v>
      </c>
      <c r="H81" s="4" t="s">
        <v>524</v>
      </c>
    </row>
    <row r="82" ht="15.75" customHeight="1">
      <c r="A82" s="29">
        <v>46308.60738208333</v>
      </c>
      <c r="B82" s="30">
        <v>1271571.0</v>
      </c>
      <c r="C82" s="4" t="s">
        <v>368</v>
      </c>
      <c r="E82" s="4" t="s">
        <v>357</v>
      </c>
      <c r="F82" s="4" t="s">
        <v>520</v>
      </c>
      <c r="G82" s="4" t="s">
        <v>309</v>
      </c>
      <c r="H82" s="4" t="s">
        <v>524</v>
      </c>
    </row>
    <row r="83" ht="15.75" customHeight="1">
      <c r="A83" s="29">
        <v>46308.60740826389</v>
      </c>
      <c r="B83" s="30">
        <v>6019028.0</v>
      </c>
      <c r="C83" s="4" t="s">
        <v>432</v>
      </c>
      <c r="D83" s="4" t="s">
        <v>434</v>
      </c>
      <c r="E83" s="4" t="s">
        <v>435</v>
      </c>
      <c r="F83" s="4" t="s">
        <v>517</v>
      </c>
      <c r="G83" s="4" t="s">
        <v>309</v>
      </c>
      <c r="H83" s="4" t="s">
        <v>524</v>
      </c>
    </row>
    <row r="84" ht="15.75" customHeight="1">
      <c r="A84" s="29">
        <v>46308.61537109954</v>
      </c>
      <c r="B84" s="30">
        <v>6019028.0</v>
      </c>
      <c r="C84" s="4" t="s">
        <v>432</v>
      </c>
      <c r="D84" s="4" t="s">
        <v>434</v>
      </c>
      <c r="E84" s="4" t="s">
        <v>435</v>
      </c>
      <c r="F84" s="4" t="s">
        <v>517</v>
      </c>
      <c r="G84" s="4" t="s">
        <v>309</v>
      </c>
      <c r="H84" s="4" t="s">
        <v>524</v>
      </c>
    </row>
    <row r="85" ht="15.75" customHeight="1">
      <c r="A85" s="29">
        <v>46308.64128085648</v>
      </c>
      <c r="B85" s="30">
        <v>6019028.0</v>
      </c>
      <c r="C85" s="4" t="s">
        <v>432</v>
      </c>
      <c r="D85" s="4" t="s">
        <v>434</v>
      </c>
      <c r="E85" s="4" t="s">
        <v>435</v>
      </c>
      <c r="F85" s="4" t="s">
        <v>546</v>
      </c>
      <c r="G85" s="4" t="s">
        <v>547</v>
      </c>
    </row>
    <row r="86" ht="15.75" customHeight="1">
      <c r="A86" s="29">
        <v>46308.915243344905</v>
      </c>
      <c r="B86" s="30">
        <v>6019028.0</v>
      </c>
      <c r="C86" s="4" t="s">
        <v>432</v>
      </c>
      <c r="D86" s="4" t="s">
        <v>434</v>
      </c>
      <c r="E86" s="4" t="s">
        <v>435</v>
      </c>
      <c r="F86" s="4" t="s">
        <v>548</v>
      </c>
      <c r="G86" s="4" t="s">
        <v>549</v>
      </c>
    </row>
    <row r="87" ht="15.75" customHeight="1">
      <c r="A87" s="29">
        <v>46308.916172048615</v>
      </c>
      <c r="B87" s="30">
        <v>6019028.0</v>
      </c>
      <c r="C87" s="4" t="s">
        <v>432</v>
      </c>
      <c r="D87" s="4" t="s">
        <v>434</v>
      </c>
      <c r="E87" s="4" t="s">
        <v>435</v>
      </c>
      <c r="F87" s="4" t="s">
        <v>548</v>
      </c>
      <c r="G87" s="4" t="s">
        <v>549</v>
      </c>
    </row>
    <row r="88" ht="15.75" customHeight="1">
      <c r="A88" s="29">
        <v>46308.92346336806</v>
      </c>
      <c r="B88" s="30">
        <v>6019028.0</v>
      </c>
      <c r="C88" s="4" t="s">
        <v>432</v>
      </c>
      <c r="D88" s="4" t="s">
        <v>434</v>
      </c>
      <c r="E88" s="4" t="s">
        <v>435</v>
      </c>
      <c r="F88" s="4" t="s">
        <v>548</v>
      </c>
      <c r="G88" s="4" t="s">
        <v>550</v>
      </c>
    </row>
    <row r="89" ht="15.75" customHeight="1">
      <c r="A89" s="29">
        <v>46308.931702534726</v>
      </c>
      <c r="B89" s="30">
        <v>6019028.0</v>
      </c>
      <c r="C89" s="4" t="s">
        <v>432</v>
      </c>
      <c r="D89" s="4" t="s">
        <v>434</v>
      </c>
      <c r="E89" s="4" t="s">
        <v>435</v>
      </c>
      <c r="F89" s="4" t="s">
        <v>548</v>
      </c>
      <c r="G89" s="4" t="s">
        <v>550</v>
      </c>
    </row>
    <row r="90" ht="15.75" customHeight="1">
      <c r="A90" s="29">
        <v>46308.932743530095</v>
      </c>
      <c r="B90" s="30">
        <v>6019028.0</v>
      </c>
      <c r="C90" s="4" t="s">
        <v>432</v>
      </c>
      <c r="D90" s="4" t="s">
        <v>434</v>
      </c>
      <c r="E90" s="4" t="s">
        <v>435</v>
      </c>
      <c r="F90" s="4" t="s">
        <v>548</v>
      </c>
      <c r="G90" s="4" t="s">
        <v>550</v>
      </c>
    </row>
    <row r="91" ht="15.75" customHeight="1">
      <c r="A91" s="29">
        <v>46308.94751597222</v>
      </c>
      <c r="B91" s="30">
        <v>6019028.0</v>
      </c>
      <c r="C91" s="4" t="s">
        <v>432</v>
      </c>
      <c r="D91" s="4" t="s">
        <v>434</v>
      </c>
      <c r="E91" s="4" t="s">
        <v>435</v>
      </c>
      <c r="F91" s="4" t="s">
        <v>548</v>
      </c>
      <c r="G91" s="4" t="s">
        <v>550</v>
      </c>
    </row>
    <row r="92" ht="15.75" customHeight="1">
      <c r="A92" s="29">
        <v>46308.94813884259</v>
      </c>
      <c r="B92" s="30">
        <v>6019028.0</v>
      </c>
      <c r="C92" s="4" t="s">
        <v>432</v>
      </c>
      <c r="D92" s="4" t="s">
        <v>434</v>
      </c>
      <c r="E92" s="4" t="s">
        <v>435</v>
      </c>
      <c r="F92" s="4" t="s">
        <v>551</v>
      </c>
      <c r="G92" s="4" t="s">
        <v>552</v>
      </c>
    </row>
    <row r="93" ht="15.75" customHeight="1">
      <c r="A93" s="29">
        <v>46308.949189004634</v>
      </c>
      <c r="B93" s="30">
        <v>6019028.0</v>
      </c>
      <c r="C93" s="4" t="s">
        <v>432</v>
      </c>
      <c r="D93" s="4" t="s">
        <v>434</v>
      </c>
      <c r="E93" s="4" t="s">
        <v>435</v>
      </c>
      <c r="F93" s="4" t="s">
        <v>548</v>
      </c>
      <c r="G93" s="4" t="s">
        <v>550</v>
      </c>
    </row>
    <row r="94" ht="15.75" customHeight="1">
      <c r="A94" s="29">
        <v>46308.94950121528</v>
      </c>
      <c r="B94" s="30">
        <v>6019028.0</v>
      </c>
      <c r="C94" s="4" t="s">
        <v>432</v>
      </c>
      <c r="D94" s="4" t="s">
        <v>434</v>
      </c>
      <c r="E94" s="4" t="s">
        <v>435</v>
      </c>
      <c r="F94" s="4" t="s">
        <v>551</v>
      </c>
      <c r="G94" s="4" t="s">
        <v>552</v>
      </c>
    </row>
    <row r="95" ht="15.75" customHeight="1">
      <c r="A95" s="29">
        <v>46308.9652933912</v>
      </c>
      <c r="B95" s="30">
        <v>6019028.0</v>
      </c>
      <c r="C95" s="4" t="s">
        <v>432</v>
      </c>
      <c r="D95" s="4" t="s">
        <v>434</v>
      </c>
      <c r="E95" s="4" t="s">
        <v>435</v>
      </c>
      <c r="F95" s="4" t="s">
        <v>517</v>
      </c>
      <c r="G95" s="4" t="s">
        <v>309</v>
      </c>
      <c r="H95" s="4" t="s">
        <v>524</v>
      </c>
    </row>
    <row r="96" ht="15.75" customHeight="1">
      <c r="A96" s="29">
        <v>46308.966032013894</v>
      </c>
      <c r="B96" s="30">
        <v>6019028.0</v>
      </c>
      <c r="C96" s="4" t="s">
        <v>432</v>
      </c>
      <c r="D96" s="4" t="s">
        <v>434</v>
      </c>
      <c r="E96" s="4" t="s">
        <v>435</v>
      </c>
      <c r="F96" s="4" t="s">
        <v>520</v>
      </c>
      <c r="G96" s="4" t="s">
        <v>309</v>
      </c>
      <c r="H96" s="4" t="s">
        <v>524</v>
      </c>
    </row>
    <row r="97" ht="15.75" customHeight="1">
      <c r="A97" s="29">
        <v>46308.96612440972</v>
      </c>
      <c r="B97" s="30">
        <v>6019028.0</v>
      </c>
      <c r="C97" s="4" t="s">
        <v>432</v>
      </c>
      <c r="D97" s="4" t="s">
        <v>434</v>
      </c>
      <c r="E97" s="4" t="s">
        <v>435</v>
      </c>
      <c r="F97" s="4" t="s">
        <v>517</v>
      </c>
      <c r="G97" s="4" t="s">
        <v>309</v>
      </c>
      <c r="H97" s="4" t="s">
        <v>524</v>
      </c>
    </row>
    <row r="98" ht="15.75" customHeight="1">
      <c r="A98" s="29">
        <v>46309.02335959491</v>
      </c>
      <c r="B98" s="30">
        <v>6019028.0</v>
      </c>
      <c r="C98" s="4" t="s">
        <v>432</v>
      </c>
      <c r="D98" s="4" t="s">
        <v>434</v>
      </c>
      <c r="E98" s="4" t="s">
        <v>435</v>
      </c>
      <c r="F98" s="4" t="s">
        <v>520</v>
      </c>
      <c r="G98" s="4" t="s">
        <v>309</v>
      </c>
      <c r="H98" s="4" t="s">
        <v>524</v>
      </c>
    </row>
    <row r="99" ht="15.75" customHeight="1">
      <c r="A99" s="29">
        <v>46309.02338194444</v>
      </c>
      <c r="B99" s="30">
        <v>6019028.0</v>
      </c>
      <c r="C99" s="4" t="s">
        <v>432</v>
      </c>
      <c r="D99" s="4" t="s">
        <v>434</v>
      </c>
      <c r="E99" s="4" t="s">
        <v>435</v>
      </c>
      <c r="F99" s="4" t="s">
        <v>517</v>
      </c>
      <c r="G99" s="4" t="s">
        <v>309</v>
      </c>
      <c r="H99" s="4" t="s">
        <v>524</v>
      </c>
    </row>
    <row r="100" ht="15.75" customHeight="1">
      <c r="A100" s="29">
        <v>46309.02371195602</v>
      </c>
      <c r="B100" s="30">
        <v>6019028.0</v>
      </c>
      <c r="C100" s="4" t="s">
        <v>432</v>
      </c>
      <c r="D100" s="4" t="s">
        <v>434</v>
      </c>
      <c r="E100" s="4" t="s">
        <v>435</v>
      </c>
      <c r="F100" s="4" t="s">
        <v>520</v>
      </c>
      <c r="G100" s="4" t="s">
        <v>309</v>
      </c>
      <c r="H100" s="4" t="s">
        <v>524</v>
      </c>
    </row>
    <row r="101" ht="15.75" customHeight="1">
      <c r="A101" s="29">
        <v>46309.023723425926</v>
      </c>
      <c r="B101" s="30">
        <v>6019028.0</v>
      </c>
      <c r="C101" s="4" t="s">
        <v>432</v>
      </c>
      <c r="D101" s="4" t="s">
        <v>434</v>
      </c>
      <c r="E101" s="4" t="s">
        <v>435</v>
      </c>
      <c r="F101" s="4" t="s">
        <v>517</v>
      </c>
      <c r="G101" s="4" t="s">
        <v>309</v>
      </c>
      <c r="H101" s="4" t="s">
        <v>524</v>
      </c>
    </row>
    <row r="102" ht="15.75" customHeight="1">
      <c r="A102" s="29">
        <v>46309.025275312495</v>
      </c>
      <c r="B102" s="30">
        <v>6019028.0</v>
      </c>
      <c r="C102" s="4" t="s">
        <v>432</v>
      </c>
      <c r="D102" s="4" t="s">
        <v>434</v>
      </c>
      <c r="E102" s="4" t="s">
        <v>435</v>
      </c>
      <c r="F102" s="4" t="s">
        <v>520</v>
      </c>
      <c r="G102" s="4" t="s">
        <v>309</v>
      </c>
      <c r="H102" s="4" t="s">
        <v>524</v>
      </c>
    </row>
    <row r="103" ht="15.75" customHeight="1">
      <c r="A103" s="29">
        <v>46309.02528421296</v>
      </c>
      <c r="B103" s="30">
        <v>6019028.0</v>
      </c>
      <c r="C103" s="4" t="s">
        <v>432</v>
      </c>
      <c r="D103" s="4" t="s">
        <v>434</v>
      </c>
      <c r="E103" s="4" t="s">
        <v>435</v>
      </c>
      <c r="F103" s="4" t="s">
        <v>517</v>
      </c>
      <c r="G103" s="4" t="s">
        <v>309</v>
      </c>
      <c r="H103" s="4" t="s">
        <v>524</v>
      </c>
    </row>
    <row r="104" ht="15.75" customHeight="1">
      <c r="A104" s="29">
        <v>46309.02595357639</v>
      </c>
      <c r="B104" s="30">
        <v>6019028.0</v>
      </c>
      <c r="C104" s="4" t="s">
        <v>432</v>
      </c>
      <c r="D104" s="4" t="s">
        <v>434</v>
      </c>
      <c r="E104" s="4" t="s">
        <v>435</v>
      </c>
      <c r="F104" s="4" t="s">
        <v>520</v>
      </c>
      <c r="G104" s="4" t="s">
        <v>309</v>
      </c>
      <c r="H104" s="4" t="s">
        <v>524</v>
      </c>
    </row>
    <row r="105" ht="15.75" customHeight="1">
      <c r="A105" s="29">
        <v>46309.0259806713</v>
      </c>
      <c r="B105" s="30">
        <v>6019028.0</v>
      </c>
      <c r="C105" s="4" t="s">
        <v>432</v>
      </c>
      <c r="D105" s="4" t="s">
        <v>434</v>
      </c>
      <c r="E105" s="4" t="s">
        <v>435</v>
      </c>
      <c r="F105" s="4" t="s">
        <v>517</v>
      </c>
      <c r="G105" s="4" t="s">
        <v>309</v>
      </c>
      <c r="H105" s="4" t="s">
        <v>524</v>
      </c>
    </row>
    <row r="106" ht="15.75" customHeight="1">
      <c r="A106" s="29">
        <v>46309.02830467593</v>
      </c>
      <c r="B106" s="30">
        <v>6019028.0</v>
      </c>
      <c r="C106" s="4" t="s">
        <v>432</v>
      </c>
      <c r="D106" s="4" t="s">
        <v>434</v>
      </c>
      <c r="E106" s="4" t="s">
        <v>435</v>
      </c>
      <c r="F106" s="4" t="s">
        <v>520</v>
      </c>
      <c r="G106" s="4" t="s">
        <v>309</v>
      </c>
      <c r="H106" s="4" t="s">
        <v>524</v>
      </c>
    </row>
    <row r="107" ht="15.75" customHeight="1">
      <c r="A107" s="29">
        <v>46309.03247103009</v>
      </c>
      <c r="B107" s="30">
        <v>6019028.0</v>
      </c>
      <c r="C107" s="4" t="s">
        <v>432</v>
      </c>
      <c r="D107" s="4" t="s">
        <v>434</v>
      </c>
      <c r="E107" s="4" t="s">
        <v>435</v>
      </c>
      <c r="F107" s="4" t="s">
        <v>520</v>
      </c>
      <c r="G107" s="4" t="s">
        <v>309</v>
      </c>
      <c r="H107" s="4" t="s">
        <v>521</v>
      </c>
    </row>
    <row r="108" ht="15.75" customHeight="1">
      <c r="A108" s="29">
        <v>46309.03620864583</v>
      </c>
      <c r="B108" s="30">
        <v>6019028.0</v>
      </c>
      <c r="C108" s="4" t="s">
        <v>432</v>
      </c>
      <c r="D108" s="4" t="s">
        <v>434</v>
      </c>
      <c r="E108" s="4" t="s">
        <v>435</v>
      </c>
      <c r="F108" s="4" t="s">
        <v>517</v>
      </c>
      <c r="G108" s="4" t="s">
        <v>309</v>
      </c>
      <c r="H108" s="4" t="s">
        <v>524</v>
      </c>
    </row>
    <row r="109" ht="15.75" customHeight="1">
      <c r="A109" s="29">
        <v>46309.037659803245</v>
      </c>
      <c r="B109" s="30">
        <v>6019028.0</v>
      </c>
      <c r="C109" s="4" t="s">
        <v>432</v>
      </c>
      <c r="D109" s="4" t="s">
        <v>434</v>
      </c>
      <c r="E109" s="4" t="s">
        <v>435</v>
      </c>
      <c r="F109" s="4" t="s">
        <v>517</v>
      </c>
      <c r="G109" s="4" t="s">
        <v>309</v>
      </c>
      <c r="H109" s="4" t="s">
        <v>521</v>
      </c>
    </row>
    <row r="110" ht="15.75" customHeight="1">
      <c r="A110" s="29">
        <v>46309.04565167824</v>
      </c>
      <c r="B110" s="30">
        <v>6019028.0</v>
      </c>
      <c r="C110" s="4" t="s">
        <v>432</v>
      </c>
      <c r="D110" s="4" t="s">
        <v>434</v>
      </c>
      <c r="E110" s="4" t="s">
        <v>435</v>
      </c>
      <c r="F110" s="4" t="s">
        <v>520</v>
      </c>
      <c r="G110" s="4" t="s">
        <v>309</v>
      </c>
      <c r="H110" s="4" t="s">
        <v>521</v>
      </c>
    </row>
    <row r="111" ht="15.75" customHeight="1">
      <c r="A111" s="29">
        <v>46309.04574934028</v>
      </c>
      <c r="B111" s="30">
        <v>6019028.0</v>
      </c>
      <c r="C111" s="4" t="s">
        <v>432</v>
      </c>
      <c r="D111" s="4" t="s">
        <v>434</v>
      </c>
      <c r="E111" s="4" t="s">
        <v>435</v>
      </c>
      <c r="F111" s="4" t="s">
        <v>517</v>
      </c>
      <c r="G111" s="4" t="s">
        <v>309</v>
      </c>
      <c r="H111" s="4" t="s">
        <v>521</v>
      </c>
    </row>
    <row r="112" ht="15.75" customHeight="1">
      <c r="A112" s="29">
        <v>46309.0506340625</v>
      </c>
      <c r="B112" s="30">
        <v>6019028.0</v>
      </c>
      <c r="C112" s="4" t="s">
        <v>432</v>
      </c>
      <c r="D112" s="4" t="s">
        <v>434</v>
      </c>
      <c r="E112" s="4" t="s">
        <v>435</v>
      </c>
      <c r="F112" s="4" t="s">
        <v>520</v>
      </c>
      <c r="G112" s="4" t="s">
        <v>309</v>
      </c>
      <c r="H112" s="4" t="s">
        <v>524</v>
      </c>
    </row>
    <row r="113" ht="15.75" customHeight="1">
      <c r="A113" s="29">
        <v>46309.05096226852</v>
      </c>
      <c r="B113" s="30">
        <v>6019028.0</v>
      </c>
      <c r="C113" s="4" t="s">
        <v>432</v>
      </c>
      <c r="D113" s="4" t="s">
        <v>434</v>
      </c>
      <c r="E113" s="4" t="s">
        <v>435</v>
      </c>
      <c r="F113" s="4" t="s">
        <v>517</v>
      </c>
      <c r="G113" s="4" t="s">
        <v>309</v>
      </c>
      <c r="H113" s="4" t="s">
        <v>524</v>
      </c>
    </row>
    <row r="114" ht="15.75" customHeight="1">
      <c r="A114" s="29">
        <v>46309.05354482638</v>
      </c>
      <c r="B114" s="30">
        <v>6019028.0</v>
      </c>
      <c r="C114" s="4" t="s">
        <v>432</v>
      </c>
      <c r="D114" s="4" t="s">
        <v>434</v>
      </c>
      <c r="E114" s="4" t="s">
        <v>435</v>
      </c>
      <c r="F114" s="4" t="s">
        <v>520</v>
      </c>
      <c r="G114" s="4" t="s">
        <v>309</v>
      </c>
      <c r="H114" s="4" t="s">
        <v>524</v>
      </c>
    </row>
    <row r="115" ht="15.75" customHeight="1">
      <c r="A115" s="29">
        <v>46309.053636145836</v>
      </c>
      <c r="B115" s="30">
        <v>1271571.0</v>
      </c>
      <c r="C115" s="4" t="s">
        <v>368</v>
      </c>
      <c r="E115" s="4" t="s">
        <v>357</v>
      </c>
      <c r="F115" s="4" t="s">
        <v>517</v>
      </c>
      <c r="G115" s="4" t="s">
        <v>309</v>
      </c>
      <c r="H115" s="4" t="s">
        <v>524</v>
      </c>
    </row>
    <row r="116" ht="15.75" customHeight="1">
      <c r="A116" s="29">
        <v>46309.05928621528</v>
      </c>
      <c r="B116" s="30">
        <v>6019028.0</v>
      </c>
      <c r="C116" s="4" t="s">
        <v>432</v>
      </c>
      <c r="D116" s="4" t="s">
        <v>434</v>
      </c>
      <c r="E116" s="4" t="s">
        <v>435</v>
      </c>
      <c r="F116" s="4" t="s">
        <v>520</v>
      </c>
      <c r="G116" s="4" t="s">
        <v>309</v>
      </c>
      <c r="H116" s="4" t="s">
        <v>521</v>
      </c>
    </row>
    <row r="117" ht="15.75" customHeight="1">
      <c r="A117" s="29">
        <v>46309.05962263889</v>
      </c>
      <c r="B117" s="30">
        <v>1271571.0</v>
      </c>
      <c r="C117" s="4" t="s">
        <v>368</v>
      </c>
      <c r="E117" s="4" t="s">
        <v>357</v>
      </c>
      <c r="F117" s="4" t="s">
        <v>517</v>
      </c>
      <c r="G117" s="4" t="s">
        <v>309</v>
      </c>
      <c r="H117" s="4" t="s">
        <v>521</v>
      </c>
    </row>
    <row r="118" ht="15.75" customHeight="1">
      <c r="A118" s="29">
        <v>46309.06997996528</v>
      </c>
      <c r="B118" s="30">
        <v>1271571.0</v>
      </c>
      <c r="C118" s="4" t="s">
        <v>368</v>
      </c>
      <c r="E118" s="4" t="s">
        <v>357</v>
      </c>
      <c r="F118" s="4" t="s">
        <v>520</v>
      </c>
      <c r="G118" s="4" t="s">
        <v>309</v>
      </c>
      <c r="H118" s="4" t="s">
        <v>521</v>
      </c>
    </row>
    <row r="119" ht="15.75" customHeight="1">
      <c r="A119" s="29">
        <v>46309.10084050926</v>
      </c>
      <c r="B119" s="30">
        <v>6019028.0</v>
      </c>
      <c r="C119" s="4" t="s">
        <v>432</v>
      </c>
      <c r="D119" s="4" t="s">
        <v>434</v>
      </c>
      <c r="E119" s="4" t="s">
        <v>435</v>
      </c>
      <c r="F119" s="4" t="s">
        <v>520</v>
      </c>
      <c r="G119" s="4" t="s">
        <v>309</v>
      </c>
      <c r="H119" s="4" t="s">
        <v>524</v>
      </c>
    </row>
    <row r="120" ht="15.75" customHeight="1">
      <c r="A120" s="29">
        <v>46309.10093667824</v>
      </c>
      <c r="B120" s="30">
        <v>6019028.0</v>
      </c>
      <c r="C120" s="4" t="s">
        <v>432</v>
      </c>
      <c r="D120" s="4" t="s">
        <v>434</v>
      </c>
      <c r="E120" s="4" t="s">
        <v>435</v>
      </c>
      <c r="F120" s="4" t="s">
        <v>517</v>
      </c>
      <c r="G120" s="4" t="s">
        <v>309</v>
      </c>
      <c r="H120" s="4" t="s">
        <v>524</v>
      </c>
    </row>
    <row r="121" ht="15.75" customHeight="1">
      <c r="A121" s="29">
        <v>46309.10213701389</v>
      </c>
      <c r="B121" s="30">
        <v>6019028.0</v>
      </c>
      <c r="C121" s="4" t="s">
        <v>432</v>
      </c>
      <c r="D121" s="4" t="s">
        <v>434</v>
      </c>
      <c r="E121" s="4" t="s">
        <v>435</v>
      </c>
      <c r="F121" s="4" t="s">
        <v>517</v>
      </c>
      <c r="G121" s="4" t="s">
        <v>309</v>
      </c>
      <c r="H121" s="4" t="s">
        <v>521</v>
      </c>
    </row>
    <row r="122" ht="15.75" customHeight="1">
      <c r="A122" s="29">
        <v>46309.10420770833</v>
      </c>
      <c r="B122" s="30">
        <v>6019028.0</v>
      </c>
      <c r="C122" s="4" t="s">
        <v>432</v>
      </c>
      <c r="D122" s="4" t="s">
        <v>434</v>
      </c>
      <c r="E122" s="4" t="s">
        <v>435</v>
      </c>
      <c r="F122" s="4" t="s">
        <v>520</v>
      </c>
      <c r="G122" s="4" t="s">
        <v>309</v>
      </c>
      <c r="H122" s="4" t="s">
        <v>521</v>
      </c>
    </row>
    <row r="123" ht="15.75" customHeight="1">
      <c r="A123" s="29">
        <v>46309.23141129629</v>
      </c>
      <c r="B123" s="30">
        <v>6019028.0</v>
      </c>
      <c r="C123" s="4" t="s">
        <v>432</v>
      </c>
      <c r="D123" s="4" t="s">
        <v>434</v>
      </c>
      <c r="E123" s="4" t="s">
        <v>435</v>
      </c>
      <c r="F123" s="4" t="s">
        <v>517</v>
      </c>
      <c r="G123" s="4" t="s">
        <v>309</v>
      </c>
      <c r="H123" s="4" t="s">
        <v>521</v>
      </c>
    </row>
    <row r="124" ht="15.75" customHeight="1">
      <c r="A124" s="29">
        <v>46309.30498233796</v>
      </c>
      <c r="B124" s="30">
        <v>6014982.0</v>
      </c>
      <c r="C124" s="4" t="s">
        <v>440</v>
      </c>
      <c r="D124" s="4" t="s">
        <v>442</v>
      </c>
      <c r="E124" s="4" t="s">
        <v>435</v>
      </c>
      <c r="F124" s="4" t="s">
        <v>520</v>
      </c>
      <c r="G124" s="4" t="s">
        <v>309</v>
      </c>
      <c r="H124" s="4" t="s">
        <v>516</v>
      </c>
    </row>
    <row r="125" ht="15.75" customHeight="1">
      <c r="A125" s="29">
        <v>46309.30505364583</v>
      </c>
      <c r="B125" s="30">
        <v>1271571.0</v>
      </c>
      <c r="C125" s="4" t="s">
        <v>368</v>
      </c>
      <c r="E125" s="4" t="s">
        <v>357</v>
      </c>
      <c r="F125" s="4" t="s">
        <v>517</v>
      </c>
      <c r="G125" s="4" t="s">
        <v>309</v>
      </c>
      <c r="H125" s="4" t="s">
        <v>516</v>
      </c>
    </row>
    <row r="126" ht="15.75" customHeight="1">
      <c r="A126" s="29">
        <v>46309.30568657407</v>
      </c>
      <c r="B126" s="30">
        <v>1271571.0</v>
      </c>
      <c r="C126" s="4" t="s">
        <v>368</v>
      </c>
      <c r="E126" s="4" t="s">
        <v>357</v>
      </c>
      <c r="F126" s="4" t="s">
        <v>539</v>
      </c>
      <c r="G126" s="4" t="s">
        <v>545</v>
      </c>
      <c r="H126" s="4" t="s">
        <v>516</v>
      </c>
    </row>
    <row r="127" ht="15.75" customHeight="1">
      <c r="A127" s="29">
        <v>46309.3064644213</v>
      </c>
      <c r="B127" s="30">
        <v>1271571.0</v>
      </c>
      <c r="C127" s="4" t="s">
        <v>368</v>
      </c>
      <c r="E127" s="4" t="s">
        <v>357</v>
      </c>
      <c r="F127" s="4" t="s">
        <v>520</v>
      </c>
      <c r="G127" s="4" t="s">
        <v>309</v>
      </c>
      <c r="H127" s="4" t="s">
        <v>516</v>
      </c>
    </row>
    <row r="128" ht="15.75" customHeight="1">
      <c r="A128" s="29">
        <v>46309.30663072917</v>
      </c>
      <c r="B128" s="30">
        <v>2415373.0</v>
      </c>
      <c r="C128" s="4" t="s">
        <v>417</v>
      </c>
      <c r="E128" s="4" t="s">
        <v>357</v>
      </c>
      <c r="F128" s="4" t="s">
        <v>517</v>
      </c>
      <c r="G128" s="4" t="s">
        <v>309</v>
      </c>
      <c r="H128" s="4" t="s">
        <v>516</v>
      </c>
    </row>
    <row r="129" ht="15.75" customHeight="1">
      <c r="A129" s="29">
        <v>46309.30826864584</v>
      </c>
      <c r="B129" s="30">
        <v>2415373.0</v>
      </c>
      <c r="C129" s="4" t="s">
        <v>417</v>
      </c>
      <c r="E129" s="4" t="s">
        <v>357</v>
      </c>
      <c r="F129" s="4" t="s">
        <v>544</v>
      </c>
      <c r="G129" s="4" t="s">
        <v>543</v>
      </c>
      <c r="H129" s="4" t="s">
        <v>516</v>
      </c>
    </row>
    <row r="130" ht="15.75" customHeight="1">
      <c r="A130" s="29">
        <v>46309.310855868054</v>
      </c>
      <c r="B130" s="30">
        <v>2415373.0</v>
      </c>
      <c r="C130" s="4" t="s">
        <v>417</v>
      </c>
      <c r="E130" s="4" t="s">
        <v>357</v>
      </c>
      <c r="F130" s="4" t="s">
        <v>520</v>
      </c>
      <c r="G130" s="4" t="s">
        <v>309</v>
      </c>
      <c r="H130" s="4" t="s">
        <v>516</v>
      </c>
    </row>
    <row r="131" ht="15.75" customHeight="1">
      <c r="A131" s="29">
        <v>46309.31194381944</v>
      </c>
      <c r="B131" s="30">
        <v>1271571.0</v>
      </c>
      <c r="C131" s="4" t="s">
        <v>368</v>
      </c>
      <c r="E131" s="4" t="s">
        <v>357</v>
      </c>
      <c r="F131" s="4" t="s">
        <v>517</v>
      </c>
      <c r="G131" s="4" t="s">
        <v>309</v>
      </c>
      <c r="H131" s="4" t="s">
        <v>516</v>
      </c>
    </row>
    <row r="132" ht="15.75" customHeight="1">
      <c r="A132" s="29">
        <v>46309.31292207176</v>
      </c>
      <c r="B132" s="30">
        <v>31096.0</v>
      </c>
      <c r="C132" s="4" t="s">
        <v>447</v>
      </c>
      <c r="D132" s="4" t="s">
        <v>449</v>
      </c>
      <c r="E132" s="4" t="s">
        <v>435</v>
      </c>
      <c r="F132" s="4" t="s">
        <v>517</v>
      </c>
      <c r="G132" s="4" t="s">
        <v>309</v>
      </c>
      <c r="H132" s="4" t="s">
        <v>553</v>
      </c>
    </row>
    <row r="133" ht="15.75" customHeight="1">
      <c r="A133" s="29">
        <v>46309.31334883102</v>
      </c>
      <c r="B133" s="30">
        <v>31096.0</v>
      </c>
      <c r="C133" s="4" t="s">
        <v>447</v>
      </c>
      <c r="D133" s="4" t="s">
        <v>449</v>
      </c>
      <c r="E133" s="4" t="s">
        <v>435</v>
      </c>
      <c r="F133" s="4" t="s">
        <v>546</v>
      </c>
      <c r="G133" s="4" t="s">
        <v>554</v>
      </c>
    </row>
    <row r="134" ht="15.75" customHeight="1">
      <c r="A134" s="29">
        <v>46309.34475337963</v>
      </c>
      <c r="B134" s="30">
        <v>6019028.0</v>
      </c>
      <c r="C134" s="4" t="s">
        <v>432</v>
      </c>
      <c r="D134" s="4" t="s">
        <v>434</v>
      </c>
      <c r="E134" s="4" t="s">
        <v>435</v>
      </c>
      <c r="F134" s="4" t="s">
        <v>520</v>
      </c>
      <c r="G134" s="4" t="s">
        <v>309</v>
      </c>
      <c r="H134" s="4" t="s">
        <v>524</v>
      </c>
    </row>
    <row r="135" ht="15.75" customHeight="1">
      <c r="A135" s="29">
        <v>46309.34481984953</v>
      </c>
      <c r="B135" s="30">
        <v>1271571.0</v>
      </c>
      <c r="C135" s="4" t="s">
        <v>368</v>
      </c>
      <c r="E135" s="4" t="s">
        <v>357</v>
      </c>
      <c r="F135" s="4" t="s">
        <v>517</v>
      </c>
      <c r="G135" s="4" t="s">
        <v>309</v>
      </c>
      <c r="H135" s="4" t="s">
        <v>524</v>
      </c>
    </row>
    <row r="136" ht="15.75" customHeight="1">
      <c r="A136" s="29">
        <v>46309.35002884259</v>
      </c>
      <c r="B136" s="30">
        <v>1271571.0</v>
      </c>
      <c r="C136" s="4" t="s">
        <v>368</v>
      </c>
      <c r="E136" s="4" t="s">
        <v>357</v>
      </c>
      <c r="F136" s="4" t="s">
        <v>520</v>
      </c>
      <c r="G136" s="4" t="s">
        <v>309</v>
      </c>
      <c r="H136" s="4" t="s">
        <v>524</v>
      </c>
    </row>
    <row r="137" ht="15.75" customHeight="1">
      <c r="A137" s="29">
        <v>46309.35004228009</v>
      </c>
      <c r="B137" s="30">
        <v>6019028.0</v>
      </c>
      <c r="C137" s="4" t="s">
        <v>432</v>
      </c>
      <c r="D137" s="4" t="s">
        <v>434</v>
      </c>
      <c r="E137" s="4" t="s">
        <v>435</v>
      </c>
      <c r="F137" s="4" t="s">
        <v>517</v>
      </c>
      <c r="G137" s="4" t="s">
        <v>309</v>
      </c>
      <c r="H137" s="4" t="s">
        <v>524</v>
      </c>
    </row>
    <row r="138" ht="15.75" customHeight="1">
      <c r="A138" s="29">
        <v>46309.4636086574</v>
      </c>
      <c r="B138" s="30">
        <v>4274543.0</v>
      </c>
      <c r="C138" s="4" t="s">
        <v>454</v>
      </c>
      <c r="D138" s="4" t="s">
        <v>456</v>
      </c>
      <c r="E138" s="4" t="s">
        <v>435</v>
      </c>
      <c r="F138" s="4" t="s">
        <v>537</v>
      </c>
      <c r="G138" s="4" t="s">
        <v>519</v>
      </c>
    </row>
    <row r="139" ht="15.75" customHeight="1">
      <c r="A139" s="29">
        <v>46309.464699930555</v>
      </c>
      <c r="B139" s="30">
        <v>4274543.0</v>
      </c>
      <c r="C139" s="4" t="s">
        <v>454</v>
      </c>
      <c r="D139" s="4" t="s">
        <v>456</v>
      </c>
      <c r="E139" s="4" t="s">
        <v>435</v>
      </c>
      <c r="F139" s="4" t="s">
        <v>518</v>
      </c>
      <c r="G139" s="4" t="s">
        <v>555</v>
      </c>
    </row>
    <row r="140" ht="15.75" customHeight="1">
      <c r="A140" s="29">
        <v>46309.46720896991</v>
      </c>
      <c r="B140" s="30">
        <v>4274543.0</v>
      </c>
      <c r="C140" s="4" t="s">
        <v>454</v>
      </c>
      <c r="D140" s="4" t="s">
        <v>456</v>
      </c>
      <c r="E140" s="4" t="s">
        <v>435</v>
      </c>
      <c r="F140" s="4" t="s">
        <v>514</v>
      </c>
      <c r="G140" s="4" t="s">
        <v>556</v>
      </c>
      <c r="H140" s="4" t="s">
        <v>516</v>
      </c>
    </row>
    <row r="141" ht="15.75" customHeight="1">
      <c r="A141" s="29">
        <v>46309.46779418981</v>
      </c>
      <c r="B141" s="30">
        <v>6019028.0</v>
      </c>
      <c r="C141" s="4" t="s">
        <v>432</v>
      </c>
      <c r="D141" s="4" t="s">
        <v>434</v>
      </c>
      <c r="E141" s="4" t="s">
        <v>435</v>
      </c>
      <c r="F141" s="4" t="s">
        <v>520</v>
      </c>
      <c r="G141" s="4" t="s">
        <v>309</v>
      </c>
      <c r="H141" s="4" t="s">
        <v>524</v>
      </c>
    </row>
    <row r="142" ht="15.75" customHeight="1">
      <c r="A142" s="29">
        <v>46309.468260625</v>
      </c>
      <c r="B142" s="30">
        <v>4274543.0</v>
      </c>
      <c r="C142" s="4" t="s">
        <v>454</v>
      </c>
      <c r="D142" s="4" t="s">
        <v>456</v>
      </c>
      <c r="E142" s="4" t="s">
        <v>435</v>
      </c>
      <c r="F142" s="4" t="s">
        <v>522</v>
      </c>
      <c r="G142" s="4" t="s">
        <v>309</v>
      </c>
      <c r="H142" s="4" t="s">
        <v>524</v>
      </c>
    </row>
    <row r="143" ht="15.75" customHeight="1">
      <c r="A143" s="29">
        <v>46309.46826944445</v>
      </c>
      <c r="B143" s="30">
        <v>4274543.0</v>
      </c>
      <c r="C143" s="4" t="s">
        <v>454</v>
      </c>
      <c r="D143" s="4" t="s">
        <v>456</v>
      </c>
      <c r="E143" s="4" t="s">
        <v>435</v>
      </c>
      <c r="F143" s="4" t="s">
        <v>517</v>
      </c>
      <c r="G143" s="4" t="s">
        <v>309</v>
      </c>
      <c r="H143" s="4" t="s">
        <v>524</v>
      </c>
    </row>
    <row r="144" ht="15.75" customHeight="1">
      <c r="A144" s="29">
        <v>46309.46901568287</v>
      </c>
      <c r="B144" s="30">
        <v>4274543.0</v>
      </c>
      <c r="C144" s="4" t="s">
        <v>454</v>
      </c>
      <c r="D144" s="4" t="s">
        <v>456</v>
      </c>
      <c r="E144" s="4" t="s">
        <v>435</v>
      </c>
      <c r="F144" s="4" t="s">
        <v>517</v>
      </c>
      <c r="G144" s="4" t="s">
        <v>309</v>
      </c>
      <c r="H144" s="4" t="s">
        <v>516</v>
      </c>
    </row>
    <row r="145" ht="15.75" customHeight="1">
      <c r="A145" s="29">
        <v>46309.475317488424</v>
      </c>
      <c r="B145" s="30">
        <v>6019028.0</v>
      </c>
      <c r="C145" s="4" t="s">
        <v>432</v>
      </c>
      <c r="D145" s="4" t="s">
        <v>434</v>
      </c>
      <c r="E145" s="4" t="s">
        <v>435</v>
      </c>
      <c r="F145" s="4" t="s">
        <v>517</v>
      </c>
      <c r="G145" s="4" t="s">
        <v>309</v>
      </c>
      <c r="H145" s="4" t="s">
        <v>516</v>
      </c>
    </row>
    <row r="146" ht="15.75" customHeight="1">
      <c r="A146" s="29">
        <v>46309.47647740741</v>
      </c>
      <c r="B146" s="30">
        <v>3194152.0</v>
      </c>
      <c r="C146" s="4" t="s">
        <v>93</v>
      </c>
      <c r="D146" s="4" t="s">
        <v>462</v>
      </c>
      <c r="E146" s="4" t="s">
        <v>435</v>
      </c>
      <c r="F146" s="4" t="s">
        <v>537</v>
      </c>
      <c r="G146" s="4" t="s">
        <v>519</v>
      </c>
    </row>
    <row r="147" ht="15.75" customHeight="1">
      <c r="A147" s="29">
        <v>46309.47677318287</v>
      </c>
      <c r="B147" s="30">
        <v>3194152.0</v>
      </c>
      <c r="C147" s="4" t="s">
        <v>93</v>
      </c>
      <c r="D147" s="4" t="s">
        <v>462</v>
      </c>
      <c r="E147" s="4" t="s">
        <v>435</v>
      </c>
      <c r="F147" s="4" t="s">
        <v>518</v>
      </c>
      <c r="G147" s="4" t="s">
        <v>555</v>
      </c>
    </row>
    <row r="148" ht="15.75" customHeight="1">
      <c r="A148" s="29">
        <v>46309.47862401621</v>
      </c>
      <c r="B148" s="30">
        <v>3194152.0</v>
      </c>
      <c r="C148" s="4" t="s">
        <v>93</v>
      </c>
      <c r="D148" s="4" t="s">
        <v>462</v>
      </c>
      <c r="E148" s="4" t="s">
        <v>435</v>
      </c>
      <c r="F148" s="4" t="s">
        <v>522</v>
      </c>
      <c r="G148" s="4" t="s">
        <v>309</v>
      </c>
      <c r="H148" s="4" t="s">
        <v>516</v>
      </c>
    </row>
    <row r="149" ht="15.75" customHeight="1">
      <c r="A149" s="29">
        <v>46309.478633101855</v>
      </c>
      <c r="B149" s="30">
        <v>3194152.0</v>
      </c>
      <c r="C149" s="4" t="s">
        <v>93</v>
      </c>
      <c r="D149" s="4" t="s">
        <v>462</v>
      </c>
      <c r="E149" s="4" t="s">
        <v>435</v>
      </c>
      <c r="F149" s="4" t="s">
        <v>517</v>
      </c>
      <c r="G149" s="4" t="s">
        <v>309</v>
      </c>
      <c r="H149" s="4" t="s">
        <v>516</v>
      </c>
    </row>
    <row r="150" ht="15.75" customHeight="1">
      <c r="A150" s="29">
        <v>46309.54020850694</v>
      </c>
      <c r="B150" s="30">
        <v>4274543.0</v>
      </c>
      <c r="C150" s="4" t="s">
        <v>454</v>
      </c>
      <c r="D150" s="4" t="s">
        <v>456</v>
      </c>
      <c r="E150" s="4" t="s">
        <v>435</v>
      </c>
      <c r="F150" s="4" t="s">
        <v>557</v>
      </c>
      <c r="G150" s="4" t="s">
        <v>558</v>
      </c>
    </row>
    <row r="151" ht="15.75" customHeight="1">
      <c r="A151" s="29">
        <v>46309.540815671295</v>
      </c>
      <c r="B151" s="30">
        <v>4274543.0</v>
      </c>
      <c r="C151" s="4" t="s">
        <v>454</v>
      </c>
      <c r="D151" s="4" t="s">
        <v>456</v>
      </c>
      <c r="E151" s="4" t="s">
        <v>435</v>
      </c>
      <c r="F151" s="4" t="s">
        <v>557</v>
      </c>
      <c r="G151" s="4" t="s">
        <v>559</v>
      </c>
    </row>
    <row r="152" ht="15.75" customHeight="1">
      <c r="A152" s="29">
        <v>46309.54362755787</v>
      </c>
      <c r="B152" s="30">
        <v>6019028.0</v>
      </c>
      <c r="C152" s="4" t="s">
        <v>432</v>
      </c>
      <c r="D152" s="4" t="s">
        <v>434</v>
      </c>
      <c r="E152" s="4" t="s">
        <v>435</v>
      </c>
      <c r="F152" s="4" t="s">
        <v>517</v>
      </c>
      <c r="G152" s="4" t="s">
        <v>309</v>
      </c>
      <c r="H152" s="4" t="s">
        <v>524</v>
      </c>
    </row>
    <row r="153" ht="15.75" customHeight="1">
      <c r="A153" s="29">
        <v>46309.54388545139</v>
      </c>
      <c r="B153" s="30">
        <v>6019028.0</v>
      </c>
      <c r="C153" s="4" t="s">
        <v>432</v>
      </c>
      <c r="D153" s="4" t="s">
        <v>434</v>
      </c>
      <c r="E153" s="4" t="s">
        <v>435</v>
      </c>
      <c r="F153" s="4" t="s">
        <v>520</v>
      </c>
      <c r="G153" s="4" t="s">
        <v>309</v>
      </c>
      <c r="H153" s="4" t="s">
        <v>524</v>
      </c>
    </row>
    <row r="154" ht="15.75" customHeight="1">
      <c r="A154" s="29">
        <v>46309.556240729165</v>
      </c>
      <c r="B154" s="30">
        <v>6019028.0</v>
      </c>
      <c r="C154" s="4" t="s">
        <v>432</v>
      </c>
      <c r="D154" s="4" t="s">
        <v>434</v>
      </c>
      <c r="E154" s="4" t="s">
        <v>435</v>
      </c>
      <c r="F154" s="4" t="s">
        <v>517</v>
      </c>
      <c r="G154" s="4" t="s">
        <v>309</v>
      </c>
      <c r="H154" s="4" t="s">
        <v>524</v>
      </c>
    </row>
    <row r="155" ht="15.75" customHeight="1">
      <c r="A155" s="29">
        <v>46309.558888125</v>
      </c>
      <c r="B155" s="30">
        <v>6019028.0</v>
      </c>
      <c r="C155" s="4" t="s">
        <v>432</v>
      </c>
      <c r="D155" s="4" t="s">
        <v>434</v>
      </c>
      <c r="E155" s="4" t="s">
        <v>435</v>
      </c>
      <c r="F155" s="4" t="s">
        <v>560</v>
      </c>
      <c r="G155" s="31">
        <v>46327.0</v>
      </c>
    </row>
    <row r="156" ht="15.75" customHeight="1">
      <c r="A156" s="29">
        <v>46309.569881724536</v>
      </c>
      <c r="B156" s="30">
        <v>6019028.0</v>
      </c>
      <c r="C156" s="4" t="s">
        <v>432</v>
      </c>
      <c r="D156" s="4" t="s">
        <v>434</v>
      </c>
      <c r="E156" s="4" t="s">
        <v>435</v>
      </c>
      <c r="F156" s="4" t="s">
        <v>520</v>
      </c>
      <c r="G156" s="4" t="s">
        <v>309</v>
      </c>
      <c r="H156" s="4" t="s">
        <v>524</v>
      </c>
    </row>
    <row r="157" ht="15.75" customHeight="1">
      <c r="A157" s="29">
        <v>46309.569964062495</v>
      </c>
      <c r="B157" s="30">
        <v>1271571.0</v>
      </c>
      <c r="C157" s="4" t="s">
        <v>368</v>
      </c>
      <c r="E157" s="4" t="s">
        <v>357</v>
      </c>
      <c r="F157" s="4" t="s">
        <v>517</v>
      </c>
      <c r="G157" s="4" t="s">
        <v>309</v>
      </c>
      <c r="H157" s="4" t="s">
        <v>524</v>
      </c>
    </row>
    <row r="158" ht="15.75" customHeight="1">
      <c r="A158" s="29">
        <v>46309.57130834491</v>
      </c>
      <c r="B158" s="30">
        <v>1271571.0</v>
      </c>
      <c r="C158" s="4" t="s">
        <v>368</v>
      </c>
      <c r="E158" s="4" t="s">
        <v>357</v>
      </c>
      <c r="F158" s="4" t="s">
        <v>539</v>
      </c>
      <c r="G158" s="4" t="s">
        <v>561</v>
      </c>
      <c r="H158" s="4" t="s">
        <v>524</v>
      </c>
    </row>
    <row r="159" ht="15.75" customHeight="1">
      <c r="A159" s="29">
        <v>46309.57205366898</v>
      </c>
      <c r="B159" s="30">
        <v>1271571.0</v>
      </c>
      <c r="C159" s="4" t="s">
        <v>368</v>
      </c>
      <c r="E159" s="4" t="s">
        <v>357</v>
      </c>
      <c r="F159" s="4" t="s">
        <v>520</v>
      </c>
      <c r="G159" s="4" t="s">
        <v>309</v>
      </c>
      <c r="H159" s="4" t="s">
        <v>524</v>
      </c>
    </row>
    <row r="160" ht="15.75" customHeight="1">
      <c r="A160" s="29">
        <v>46309.57210431713</v>
      </c>
      <c r="B160" s="30">
        <v>2415373.0</v>
      </c>
      <c r="C160" s="4" t="s">
        <v>417</v>
      </c>
      <c r="E160" s="4" t="s">
        <v>357</v>
      </c>
      <c r="F160" s="4" t="s">
        <v>514</v>
      </c>
      <c r="G160" s="4" t="s">
        <v>523</v>
      </c>
      <c r="H160" s="4" t="s">
        <v>524</v>
      </c>
    </row>
    <row r="161" ht="15.75" customHeight="1">
      <c r="A161" s="29">
        <v>46309.57221607638</v>
      </c>
      <c r="B161" s="30">
        <v>2415373.0</v>
      </c>
      <c r="C161" s="4" t="s">
        <v>417</v>
      </c>
      <c r="E161" s="4" t="s">
        <v>357</v>
      </c>
      <c r="F161" s="4" t="s">
        <v>517</v>
      </c>
      <c r="G161" s="4" t="s">
        <v>309</v>
      </c>
      <c r="H161" s="4" t="s">
        <v>524</v>
      </c>
    </row>
    <row r="162" ht="15.75" customHeight="1">
      <c r="A162" s="29">
        <v>46309.57272384259</v>
      </c>
      <c r="B162" s="30">
        <v>2415373.0</v>
      </c>
      <c r="C162" s="4" t="s">
        <v>417</v>
      </c>
      <c r="E162" s="4" t="s">
        <v>357</v>
      </c>
      <c r="F162" s="4" t="s">
        <v>544</v>
      </c>
      <c r="G162" s="4" t="s">
        <v>562</v>
      </c>
      <c r="H162" s="4" t="s">
        <v>524</v>
      </c>
    </row>
    <row r="163" ht="15.75" customHeight="1">
      <c r="A163" s="29">
        <v>46309.57817864583</v>
      </c>
      <c r="B163" s="30">
        <v>3194152.0</v>
      </c>
      <c r="C163" s="4" t="s">
        <v>93</v>
      </c>
      <c r="D163" s="4" t="s">
        <v>462</v>
      </c>
      <c r="E163" s="4" t="s">
        <v>435</v>
      </c>
      <c r="F163" s="4" t="s">
        <v>563</v>
      </c>
      <c r="G163" s="4" t="s">
        <v>564</v>
      </c>
    </row>
    <row r="164" ht="15.75" customHeight="1">
      <c r="A164" s="29">
        <v>46309.58402721064</v>
      </c>
      <c r="B164" s="30">
        <v>31096.0</v>
      </c>
      <c r="C164" s="4" t="s">
        <v>447</v>
      </c>
      <c r="D164" s="4" t="s">
        <v>449</v>
      </c>
      <c r="E164" s="4" t="s">
        <v>435</v>
      </c>
      <c r="F164" s="4" t="s">
        <v>517</v>
      </c>
      <c r="G164" s="4" t="s">
        <v>309</v>
      </c>
      <c r="H164" s="4" t="s">
        <v>565</v>
      </c>
    </row>
    <row r="165" ht="15.75" customHeight="1">
      <c r="A165" s="29">
        <v>46309.58467686342</v>
      </c>
      <c r="B165" s="30">
        <v>31096.0</v>
      </c>
      <c r="C165" s="4" t="s">
        <v>447</v>
      </c>
      <c r="D165" s="4" t="s">
        <v>449</v>
      </c>
      <c r="E165" s="4" t="s">
        <v>435</v>
      </c>
      <c r="F165" s="4" t="s">
        <v>566</v>
      </c>
      <c r="G165" s="4" t="s">
        <v>564</v>
      </c>
    </row>
    <row r="166" ht="15.75" customHeight="1">
      <c r="A166" s="29">
        <v>46310.36355790509</v>
      </c>
      <c r="B166" s="30">
        <v>6019028.0</v>
      </c>
      <c r="C166" s="4" t="s">
        <v>432</v>
      </c>
      <c r="D166" s="4" t="s">
        <v>434</v>
      </c>
      <c r="E166" s="4" t="s">
        <v>435</v>
      </c>
      <c r="F166" s="4" t="s">
        <v>520</v>
      </c>
      <c r="G166" s="4" t="s">
        <v>309</v>
      </c>
      <c r="H166" s="4" t="s">
        <v>516</v>
      </c>
    </row>
    <row r="167" ht="15.75" customHeight="1">
      <c r="A167" s="29">
        <v>46310.363638888884</v>
      </c>
      <c r="B167" s="30">
        <v>1271571.0</v>
      </c>
      <c r="C167" s="4" t="s">
        <v>368</v>
      </c>
      <c r="E167" s="4" t="s">
        <v>357</v>
      </c>
      <c r="F167" s="4" t="s">
        <v>517</v>
      </c>
      <c r="G167" s="4" t="s">
        <v>309</v>
      </c>
      <c r="H167" s="4" t="s">
        <v>516</v>
      </c>
    </row>
    <row r="168" ht="15.75" customHeight="1">
      <c r="A168" s="29">
        <v>46310.370355833336</v>
      </c>
      <c r="B168" s="30">
        <v>1271571.0</v>
      </c>
      <c r="C168" s="4" t="s">
        <v>368</v>
      </c>
      <c r="E168" s="4" t="s">
        <v>357</v>
      </c>
      <c r="F168" s="4" t="s">
        <v>520</v>
      </c>
      <c r="G168" s="4" t="s">
        <v>309</v>
      </c>
      <c r="H168" s="4" t="s">
        <v>516</v>
      </c>
    </row>
    <row r="169" ht="15.75" customHeight="1">
      <c r="A169" s="29">
        <v>46310.370384849535</v>
      </c>
      <c r="B169" s="30">
        <v>6019028.0</v>
      </c>
      <c r="C169" s="4" t="s">
        <v>432</v>
      </c>
      <c r="D169" s="4" t="s">
        <v>434</v>
      </c>
      <c r="E169" s="4" t="s">
        <v>435</v>
      </c>
      <c r="F169" s="4" t="s">
        <v>517</v>
      </c>
      <c r="G169" s="4" t="s">
        <v>309</v>
      </c>
      <c r="H169" s="4" t="s">
        <v>516</v>
      </c>
    </row>
    <row r="170" ht="15.75" customHeight="1">
      <c r="A170" s="29">
        <v>46310.390756504625</v>
      </c>
      <c r="B170" s="30">
        <v>2823133.0</v>
      </c>
      <c r="C170" s="4" t="s">
        <v>88</v>
      </c>
      <c r="E170" s="4" t="s">
        <v>357</v>
      </c>
      <c r="F170" s="4" t="s">
        <v>514</v>
      </c>
      <c r="G170" s="4" t="s">
        <v>567</v>
      </c>
      <c r="H170" s="4" t="s">
        <v>516</v>
      </c>
    </row>
    <row r="171" ht="15.75" customHeight="1">
      <c r="A171" s="29">
        <v>46310.390907824076</v>
      </c>
      <c r="B171" s="30">
        <v>2823133.0</v>
      </c>
      <c r="C171" s="4" t="s">
        <v>88</v>
      </c>
      <c r="E171" s="4" t="s">
        <v>357</v>
      </c>
      <c r="F171" s="4" t="s">
        <v>514</v>
      </c>
      <c r="G171" s="4" t="s">
        <v>567</v>
      </c>
      <c r="H171" s="4" t="s">
        <v>516</v>
      </c>
    </row>
    <row r="172" ht="15.75" customHeight="1">
      <c r="A172" s="29">
        <v>46310.391179328704</v>
      </c>
      <c r="B172" s="30">
        <v>2823133.0</v>
      </c>
      <c r="C172" s="4" t="s">
        <v>88</v>
      </c>
      <c r="E172" s="4" t="s">
        <v>357</v>
      </c>
      <c r="F172" s="4" t="s">
        <v>514</v>
      </c>
      <c r="G172" s="4" t="s">
        <v>567</v>
      </c>
      <c r="H172" s="4" t="s">
        <v>516</v>
      </c>
    </row>
    <row r="173" ht="15.75" customHeight="1">
      <c r="A173" s="29">
        <v>46310.39617453703</v>
      </c>
      <c r="B173" s="30">
        <v>2823133.0</v>
      </c>
      <c r="C173" s="4" t="s">
        <v>88</v>
      </c>
      <c r="E173" s="4" t="s">
        <v>357</v>
      </c>
      <c r="F173" s="4" t="s">
        <v>514</v>
      </c>
      <c r="G173" s="4" t="s">
        <v>567</v>
      </c>
      <c r="H173" s="4" t="s">
        <v>516</v>
      </c>
    </row>
    <row r="174" ht="15.75" customHeight="1">
      <c r="A174" s="29">
        <v>46311.2905872338</v>
      </c>
      <c r="B174" s="30">
        <v>6014982.0</v>
      </c>
      <c r="C174" s="4" t="s">
        <v>440</v>
      </c>
      <c r="D174" s="4" t="s">
        <v>442</v>
      </c>
      <c r="E174" s="4" t="s">
        <v>435</v>
      </c>
      <c r="F174" s="4" t="s">
        <v>517</v>
      </c>
      <c r="G174" s="4" t="s">
        <v>309</v>
      </c>
      <c r="H174" s="4" t="s">
        <v>516</v>
      </c>
    </row>
    <row r="175" ht="15.75" customHeight="1">
      <c r="A175" s="29">
        <v>46311.29771850695</v>
      </c>
      <c r="B175" s="30">
        <v>6019028.0</v>
      </c>
      <c r="C175" s="4" t="s">
        <v>432</v>
      </c>
      <c r="D175" s="4" t="s">
        <v>434</v>
      </c>
      <c r="E175" s="4" t="s">
        <v>435</v>
      </c>
      <c r="F175" s="4" t="s">
        <v>517</v>
      </c>
      <c r="G175" s="4" t="s">
        <v>309</v>
      </c>
      <c r="H175" s="4" t="s">
        <v>516</v>
      </c>
    </row>
    <row r="176" ht="15.75" customHeight="1">
      <c r="A176" s="29">
        <v>46311.29940600695</v>
      </c>
      <c r="B176" s="30">
        <v>6014982.0</v>
      </c>
      <c r="C176" s="4" t="s">
        <v>440</v>
      </c>
      <c r="D176" s="4" t="s">
        <v>442</v>
      </c>
      <c r="E176" s="4" t="s">
        <v>435</v>
      </c>
      <c r="F176" s="4" t="s">
        <v>518</v>
      </c>
      <c r="G176" s="4" t="s">
        <v>555</v>
      </c>
    </row>
    <row r="177" ht="15.75" customHeight="1">
      <c r="A177" s="29">
        <v>46311.29971802083</v>
      </c>
      <c r="B177" s="30">
        <v>6019028.0</v>
      </c>
      <c r="C177" s="4" t="s">
        <v>432</v>
      </c>
      <c r="D177" s="4" t="s">
        <v>434</v>
      </c>
      <c r="E177" s="4" t="s">
        <v>435</v>
      </c>
      <c r="F177" s="4" t="s">
        <v>520</v>
      </c>
      <c r="G177" s="4" t="s">
        <v>309</v>
      </c>
      <c r="H177" s="4" t="s">
        <v>516</v>
      </c>
    </row>
    <row r="178" ht="15.75" customHeight="1">
      <c r="A178" s="29">
        <v>46311.3057406713</v>
      </c>
      <c r="B178" s="30">
        <v>6019028.0</v>
      </c>
      <c r="C178" s="4" t="s">
        <v>432</v>
      </c>
      <c r="D178" s="4" t="s">
        <v>434</v>
      </c>
      <c r="E178" s="4" t="s">
        <v>435</v>
      </c>
      <c r="F178" s="4" t="s">
        <v>517</v>
      </c>
      <c r="G178" s="4" t="s">
        <v>309</v>
      </c>
      <c r="H178" s="4" t="s">
        <v>516</v>
      </c>
    </row>
    <row r="179" ht="15.75" customHeight="1">
      <c r="A179" s="29">
        <v>46311.3096850463</v>
      </c>
      <c r="B179" s="30">
        <v>6019028.0</v>
      </c>
      <c r="C179" s="4" t="s">
        <v>432</v>
      </c>
      <c r="D179" s="4" t="s">
        <v>434</v>
      </c>
      <c r="E179" s="4" t="s">
        <v>435</v>
      </c>
      <c r="F179" s="4" t="s">
        <v>557</v>
      </c>
      <c r="G179" s="4" t="s">
        <v>568</v>
      </c>
    </row>
    <row r="180" ht="15.75" customHeight="1">
      <c r="A180" s="29">
        <v>46311.310105937504</v>
      </c>
      <c r="B180" s="30">
        <v>6014982.0</v>
      </c>
      <c r="C180" s="4" t="s">
        <v>440</v>
      </c>
      <c r="D180" s="4" t="s">
        <v>442</v>
      </c>
      <c r="E180" s="4" t="s">
        <v>435</v>
      </c>
      <c r="F180" s="4" t="s">
        <v>520</v>
      </c>
      <c r="G180" s="4" t="s">
        <v>309</v>
      </c>
      <c r="H180" s="4" t="s">
        <v>516</v>
      </c>
    </row>
    <row r="181" ht="15.75" customHeight="1">
      <c r="A181" s="29">
        <v>46311.310322731486</v>
      </c>
      <c r="B181" s="30">
        <v>6019028.0</v>
      </c>
      <c r="C181" s="4" t="s">
        <v>432</v>
      </c>
      <c r="D181" s="4" t="s">
        <v>434</v>
      </c>
      <c r="E181" s="4" t="s">
        <v>435</v>
      </c>
      <c r="F181" s="4" t="s">
        <v>520</v>
      </c>
      <c r="G181" s="4" t="s">
        <v>309</v>
      </c>
      <c r="H181" s="4" t="s">
        <v>516</v>
      </c>
    </row>
    <row r="182" ht="15.75" customHeight="1">
      <c r="A182" s="29">
        <v>46311.31035519676</v>
      </c>
      <c r="B182" s="30">
        <v>2415373.0</v>
      </c>
      <c r="C182" s="4" t="s">
        <v>417</v>
      </c>
      <c r="E182" s="4" t="s">
        <v>357</v>
      </c>
      <c r="F182" s="4" t="s">
        <v>517</v>
      </c>
      <c r="G182" s="4" t="s">
        <v>309</v>
      </c>
      <c r="H182" s="4" t="s">
        <v>516</v>
      </c>
    </row>
    <row r="183" ht="15.75" customHeight="1">
      <c r="A183" s="29">
        <v>46311.31048475695</v>
      </c>
      <c r="B183" s="30">
        <v>1271571.0</v>
      </c>
      <c r="C183" s="4" t="s">
        <v>368</v>
      </c>
      <c r="E183" s="4" t="s">
        <v>357</v>
      </c>
      <c r="F183" s="4" t="s">
        <v>517</v>
      </c>
      <c r="G183" s="4" t="s">
        <v>309</v>
      </c>
      <c r="H183" s="4" t="s">
        <v>516</v>
      </c>
    </row>
    <row r="184" ht="15.75" customHeight="1">
      <c r="A184" s="29">
        <v>46311.31155326389</v>
      </c>
      <c r="B184" s="30">
        <v>1271571.0</v>
      </c>
      <c r="C184" s="4" t="s">
        <v>368</v>
      </c>
      <c r="E184" s="4" t="s">
        <v>357</v>
      </c>
      <c r="F184" s="4" t="s">
        <v>539</v>
      </c>
      <c r="G184" s="4" t="s">
        <v>569</v>
      </c>
      <c r="H184" s="4" t="s">
        <v>516</v>
      </c>
    </row>
    <row r="185" ht="15.75" customHeight="1">
      <c r="A185" s="29">
        <v>46311.3122904051</v>
      </c>
      <c r="B185" s="30">
        <v>2415373.0</v>
      </c>
      <c r="C185" s="4" t="s">
        <v>417</v>
      </c>
      <c r="E185" s="4" t="s">
        <v>357</v>
      </c>
      <c r="F185" s="4" t="s">
        <v>544</v>
      </c>
      <c r="G185" s="4" t="s">
        <v>570</v>
      </c>
      <c r="H185" s="4" t="s">
        <v>516</v>
      </c>
    </row>
    <row r="186" ht="15.75" customHeight="1">
      <c r="A186" s="29">
        <v>46311.31356589121</v>
      </c>
      <c r="B186" s="30">
        <v>2415373.0</v>
      </c>
      <c r="C186" s="4" t="s">
        <v>417</v>
      </c>
      <c r="E186" s="4" t="s">
        <v>357</v>
      </c>
      <c r="F186" s="4" t="s">
        <v>520</v>
      </c>
      <c r="G186" s="4" t="s">
        <v>309</v>
      </c>
      <c r="H186" s="4" t="s">
        <v>516</v>
      </c>
    </row>
    <row r="187" ht="15.75" customHeight="1">
      <c r="A187" s="29">
        <v>46311.313598356486</v>
      </c>
      <c r="B187" s="30">
        <v>6014982.0</v>
      </c>
      <c r="C187" s="4" t="s">
        <v>440</v>
      </c>
      <c r="D187" s="4" t="s">
        <v>442</v>
      </c>
      <c r="E187" s="4" t="s">
        <v>435</v>
      </c>
      <c r="F187" s="4" t="s">
        <v>517</v>
      </c>
      <c r="G187" s="4" t="s">
        <v>309</v>
      </c>
      <c r="H187" s="4" t="s">
        <v>516</v>
      </c>
    </row>
    <row r="188" ht="15.75" customHeight="1">
      <c r="A188" s="29">
        <v>46311.31368928241</v>
      </c>
      <c r="B188" s="30">
        <v>1271571.0</v>
      </c>
      <c r="C188" s="4" t="s">
        <v>368</v>
      </c>
      <c r="E188" s="4" t="s">
        <v>357</v>
      </c>
      <c r="F188" s="4" t="s">
        <v>520</v>
      </c>
      <c r="G188" s="4" t="s">
        <v>309</v>
      </c>
      <c r="H188" s="4" t="s">
        <v>516</v>
      </c>
    </row>
    <row r="189" ht="15.75" customHeight="1">
      <c r="A189" s="29">
        <v>46311.313703437496</v>
      </c>
      <c r="B189" s="30">
        <v>6019028.0</v>
      </c>
      <c r="C189" s="4" t="s">
        <v>432</v>
      </c>
      <c r="D189" s="4" t="s">
        <v>434</v>
      </c>
      <c r="E189" s="4" t="s">
        <v>435</v>
      </c>
      <c r="F189" s="4" t="s">
        <v>517</v>
      </c>
      <c r="G189" s="4" t="s">
        <v>309</v>
      </c>
      <c r="H189" s="4" t="s">
        <v>516</v>
      </c>
    </row>
    <row r="190" ht="15.75" customHeight="1">
      <c r="A190" s="29">
        <v>46311.364743935184</v>
      </c>
      <c r="B190" s="30">
        <v>2415373.0</v>
      </c>
      <c r="C190" s="4" t="s">
        <v>417</v>
      </c>
      <c r="E190" s="4" t="s">
        <v>357</v>
      </c>
      <c r="F190" s="4" t="s">
        <v>517</v>
      </c>
      <c r="G190" s="4" t="s">
        <v>309</v>
      </c>
      <c r="H190" s="4" t="s">
        <v>524</v>
      </c>
    </row>
    <row r="191" ht="15.75" customHeight="1">
      <c r="A191" s="29">
        <v>46311.37396134259</v>
      </c>
      <c r="B191" s="30">
        <v>2415373.0</v>
      </c>
      <c r="C191" s="4" t="s">
        <v>417</v>
      </c>
      <c r="E191" s="4" t="s">
        <v>357</v>
      </c>
      <c r="F191" s="4" t="s">
        <v>520</v>
      </c>
      <c r="G191" s="4" t="s">
        <v>309</v>
      </c>
      <c r="H191" s="4" t="s">
        <v>524</v>
      </c>
    </row>
    <row r="192" ht="15.75" customHeight="1">
      <c r="A192" s="29">
        <v>46311.374024652774</v>
      </c>
      <c r="B192" s="30">
        <v>6019028.0</v>
      </c>
      <c r="C192" s="4" t="s">
        <v>432</v>
      </c>
      <c r="D192" s="4" t="s">
        <v>434</v>
      </c>
      <c r="E192" s="4" t="s">
        <v>435</v>
      </c>
      <c r="F192" s="4" t="s">
        <v>517</v>
      </c>
      <c r="G192" s="4" t="s">
        <v>309</v>
      </c>
      <c r="H192" s="4" t="s">
        <v>524</v>
      </c>
    </row>
    <row r="193" ht="15.75" customHeight="1">
      <c r="A193" s="29">
        <v>46311.38708059028</v>
      </c>
      <c r="B193" s="30">
        <v>6019028.0</v>
      </c>
      <c r="C193" s="4" t="s">
        <v>432</v>
      </c>
      <c r="D193" s="4" t="s">
        <v>434</v>
      </c>
      <c r="E193" s="4" t="s">
        <v>435</v>
      </c>
      <c r="F193" s="4" t="s">
        <v>520</v>
      </c>
      <c r="G193" s="4" t="s">
        <v>309</v>
      </c>
      <c r="H193" s="4" t="s">
        <v>524</v>
      </c>
    </row>
    <row r="194" ht="15.75" customHeight="1">
      <c r="A194" s="29">
        <v>46311.403224375</v>
      </c>
      <c r="B194" s="30">
        <v>6019028.0</v>
      </c>
      <c r="C194" s="4" t="s">
        <v>432</v>
      </c>
      <c r="D194" s="4" t="s">
        <v>434</v>
      </c>
      <c r="E194" s="4" t="s">
        <v>435</v>
      </c>
      <c r="F194" s="4" t="s">
        <v>517</v>
      </c>
      <c r="G194" s="4" t="s">
        <v>309</v>
      </c>
      <c r="H194" s="4" t="s">
        <v>524</v>
      </c>
    </row>
    <row r="195" ht="15.75" customHeight="1">
      <c r="A195" s="29">
        <v>46311.44991386574</v>
      </c>
      <c r="B195" s="30">
        <v>6019028.0</v>
      </c>
      <c r="C195" s="4" t="s">
        <v>432</v>
      </c>
      <c r="D195" s="4" t="s">
        <v>434</v>
      </c>
      <c r="E195" s="4" t="s">
        <v>435</v>
      </c>
      <c r="F195" s="4" t="s">
        <v>563</v>
      </c>
      <c r="G195" s="4" t="s">
        <v>571</v>
      </c>
    </row>
    <row r="196" ht="15.75" customHeight="1">
      <c r="A196" s="29">
        <v>46311.4508990625</v>
      </c>
      <c r="B196" s="30">
        <v>6019028.0</v>
      </c>
      <c r="C196" s="4" t="s">
        <v>432</v>
      </c>
      <c r="D196" s="4" t="s">
        <v>434</v>
      </c>
      <c r="E196" s="4" t="s">
        <v>435</v>
      </c>
      <c r="F196" s="4" t="s">
        <v>517</v>
      </c>
      <c r="G196" s="4" t="s">
        <v>309</v>
      </c>
      <c r="H196" s="4" t="s">
        <v>524</v>
      </c>
    </row>
    <row r="197" ht="15.75" customHeight="1">
      <c r="A197" s="29">
        <v>46311.45093519676</v>
      </c>
      <c r="B197" s="30">
        <v>6019028.0</v>
      </c>
      <c r="C197" s="4" t="s">
        <v>432</v>
      </c>
      <c r="D197" s="4" t="s">
        <v>434</v>
      </c>
      <c r="E197" s="4" t="s">
        <v>435</v>
      </c>
      <c r="F197" s="4" t="s">
        <v>520</v>
      </c>
      <c r="G197" s="4" t="s">
        <v>309</v>
      </c>
      <c r="H197" s="4" t="s">
        <v>524</v>
      </c>
    </row>
    <row r="198" ht="15.75" customHeight="1">
      <c r="A198" s="29">
        <v>46311.451678831014</v>
      </c>
      <c r="B198" s="30">
        <v>6019028.0</v>
      </c>
      <c r="C198" s="4" t="s">
        <v>432</v>
      </c>
      <c r="D198" s="4" t="s">
        <v>434</v>
      </c>
      <c r="E198" s="4" t="s">
        <v>435</v>
      </c>
      <c r="F198" s="4" t="s">
        <v>520</v>
      </c>
      <c r="G198" s="4" t="s">
        <v>309</v>
      </c>
      <c r="H198" s="4" t="s">
        <v>524</v>
      </c>
    </row>
    <row r="199" ht="15.75" customHeight="1">
      <c r="A199" s="29">
        <v>46311.4517862037</v>
      </c>
      <c r="B199" s="30">
        <v>1271571.0</v>
      </c>
      <c r="C199" s="4" t="s">
        <v>368</v>
      </c>
      <c r="E199" s="4" t="s">
        <v>357</v>
      </c>
      <c r="F199" s="4" t="s">
        <v>514</v>
      </c>
      <c r="G199" s="4" t="s">
        <v>523</v>
      </c>
      <c r="H199" s="4" t="s">
        <v>524</v>
      </c>
    </row>
    <row r="200" ht="15.75" customHeight="1">
      <c r="A200" s="29">
        <v>46311.45198208334</v>
      </c>
      <c r="B200" s="30">
        <v>1271571.0</v>
      </c>
      <c r="C200" s="4" t="s">
        <v>368</v>
      </c>
      <c r="E200" s="4" t="s">
        <v>357</v>
      </c>
      <c r="F200" s="4" t="s">
        <v>517</v>
      </c>
      <c r="G200" s="4" t="s">
        <v>309</v>
      </c>
      <c r="H200" s="4" t="s">
        <v>524</v>
      </c>
    </row>
    <row r="201" ht="15.75" customHeight="1">
      <c r="A201" s="29">
        <v>46311.454300196754</v>
      </c>
      <c r="B201" s="30">
        <v>6019028.0</v>
      </c>
      <c r="C201" s="4" t="s">
        <v>432</v>
      </c>
      <c r="D201" s="4" t="s">
        <v>434</v>
      </c>
      <c r="E201" s="4" t="s">
        <v>435</v>
      </c>
      <c r="F201" s="4" t="s">
        <v>517</v>
      </c>
      <c r="G201" s="4" t="s">
        <v>309</v>
      </c>
      <c r="H201" s="4" t="s">
        <v>524</v>
      </c>
    </row>
    <row r="202" ht="15.75" customHeight="1">
      <c r="A202" s="29">
        <v>46311.454813993056</v>
      </c>
      <c r="B202" s="30">
        <v>1271571.0</v>
      </c>
      <c r="C202" s="4" t="s">
        <v>368</v>
      </c>
      <c r="E202" s="4" t="s">
        <v>357</v>
      </c>
      <c r="F202" s="4" t="s">
        <v>520</v>
      </c>
      <c r="G202" s="4" t="s">
        <v>309</v>
      </c>
      <c r="H202" s="4" t="s">
        <v>524</v>
      </c>
    </row>
    <row r="203" ht="15.75" customHeight="1">
      <c r="A203" s="29">
        <v>46311.454828692134</v>
      </c>
      <c r="B203" s="30">
        <v>6019028.0</v>
      </c>
      <c r="C203" s="4" t="s">
        <v>432</v>
      </c>
      <c r="D203" s="4" t="s">
        <v>434</v>
      </c>
      <c r="E203" s="4" t="s">
        <v>435</v>
      </c>
      <c r="F203" s="4" t="s">
        <v>517</v>
      </c>
      <c r="G203" s="4" t="s">
        <v>309</v>
      </c>
      <c r="H203" s="4" t="s">
        <v>524</v>
      </c>
    </row>
    <row r="204" ht="15.75" customHeight="1">
      <c r="A204" s="29">
        <v>46311.5320675463</v>
      </c>
      <c r="B204" s="30">
        <v>6014982.0</v>
      </c>
      <c r="C204" s="4" t="s">
        <v>440</v>
      </c>
      <c r="D204" s="4" t="s">
        <v>442</v>
      </c>
      <c r="E204" s="4" t="s">
        <v>435</v>
      </c>
      <c r="F204" s="4" t="s">
        <v>520</v>
      </c>
      <c r="G204" s="4" t="s">
        <v>309</v>
      </c>
      <c r="H204" s="4" t="s">
        <v>516</v>
      </c>
    </row>
    <row r="205" ht="15.75" customHeight="1">
      <c r="A205" s="29">
        <v>46311.545653090274</v>
      </c>
      <c r="B205" s="30">
        <v>2823133.0</v>
      </c>
      <c r="C205" s="4" t="s">
        <v>88</v>
      </c>
      <c r="E205" s="4" t="s">
        <v>357</v>
      </c>
      <c r="F205" s="4" t="s">
        <v>514</v>
      </c>
      <c r="G205" s="4" t="s">
        <v>567</v>
      </c>
      <c r="H205" s="4" t="s">
        <v>516</v>
      </c>
    </row>
    <row r="206" ht="15.75" customHeight="1">
      <c r="A206" s="29">
        <v>46311.54571097222</v>
      </c>
      <c r="B206" s="30">
        <v>3189967.0</v>
      </c>
      <c r="C206" s="4" t="s">
        <v>414</v>
      </c>
      <c r="E206" s="4" t="s">
        <v>357</v>
      </c>
      <c r="F206" s="4" t="s">
        <v>514</v>
      </c>
      <c r="G206" s="4" t="s">
        <v>515</v>
      </c>
      <c r="H206" s="4" t="s">
        <v>572</v>
      </c>
    </row>
    <row r="207" ht="15.75" customHeight="1">
      <c r="A207" s="29">
        <v>46311.545714050924</v>
      </c>
      <c r="B207" s="30">
        <v>3779550.0</v>
      </c>
      <c r="C207" s="4" t="s">
        <v>377</v>
      </c>
      <c r="E207" s="4" t="s">
        <v>357</v>
      </c>
      <c r="F207" s="4" t="s">
        <v>514</v>
      </c>
      <c r="G207" s="4" t="s">
        <v>515</v>
      </c>
      <c r="H207" s="4" t="s">
        <v>516</v>
      </c>
    </row>
    <row r="208" ht="15.75" customHeight="1">
      <c r="A208" s="29">
        <v>46311.545738368055</v>
      </c>
      <c r="B208" s="30" t="s">
        <v>573</v>
      </c>
      <c r="F208" s="4" t="s">
        <v>514</v>
      </c>
      <c r="G208" s="4" t="s">
        <v>574</v>
      </c>
      <c r="H208" s="4" t="s">
        <v>516</v>
      </c>
    </row>
    <row r="209" ht="15.75" customHeight="1">
      <c r="A209" s="29">
        <v>46311.54593944445</v>
      </c>
      <c r="B209" s="30" t="s">
        <v>429</v>
      </c>
      <c r="F209" s="4" t="s">
        <v>514</v>
      </c>
      <c r="G209" s="4" t="s">
        <v>574</v>
      </c>
      <c r="H209" s="4" t="s">
        <v>516</v>
      </c>
    </row>
    <row r="210" ht="15.75" customHeight="1">
      <c r="A210" s="29">
        <v>46311.54597947917</v>
      </c>
      <c r="B210" s="30" t="s">
        <v>421</v>
      </c>
      <c r="F210" s="4" t="s">
        <v>514</v>
      </c>
      <c r="G210" s="4" t="s">
        <v>574</v>
      </c>
      <c r="H210" s="4" t="s">
        <v>516</v>
      </c>
    </row>
    <row r="211" ht="15.75" customHeight="1">
      <c r="A211" s="29">
        <v>46311.5469712037</v>
      </c>
      <c r="B211" s="30">
        <v>3779550.0</v>
      </c>
      <c r="C211" s="4" t="s">
        <v>377</v>
      </c>
      <c r="E211" s="4" t="s">
        <v>357</v>
      </c>
      <c r="F211" s="4" t="s">
        <v>514</v>
      </c>
      <c r="G211" s="4" t="s">
        <v>556</v>
      </c>
      <c r="H211" s="4" t="s">
        <v>516</v>
      </c>
    </row>
    <row r="212" ht="15.75" customHeight="1">
      <c r="A212" s="29">
        <v>46311.54815152778</v>
      </c>
      <c r="B212" s="30">
        <v>29530.0</v>
      </c>
      <c r="C212" s="4" t="s">
        <v>379</v>
      </c>
      <c r="D212" s="4" t="s">
        <v>381</v>
      </c>
      <c r="E212" s="4" t="s">
        <v>357</v>
      </c>
      <c r="F212" s="4" t="s">
        <v>514</v>
      </c>
      <c r="G212" s="4" t="s">
        <v>515</v>
      </c>
      <c r="H212" s="4" t="s">
        <v>516</v>
      </c>
    </row>
    <row r="213" ht="15.75" customHeight="1">
      <c r="A213" s="29">
        <v>46311.54860689815</v>
      </c>
      <c r="B213" s="30">
        <v>29530.0</v>
      </c>
      <c r="C213" s="4" t="s">
        <v>379</v>
      </c>
      <c r="D213" s="4" t="s">
        <v>381</v>
      </c>
      <c r="E213" s="4" t="s">
        <v>357</v>
      </c>
      <c r="F213" s="4" t="s">
        <v>518</v>
      </c>
      <c r="G213" s="4" t="s">
        <v>555</v>
      </c>
    </row>
    <row r="214" ht="15.75" customHeight="1">
      <c r="A214" s="29">
        <v>46311.54986737268</v>
      </c>
      <c r="B214" s="30">
        <v>29530.0</v>
      </c>
      <c r="C214" s="4" t="s">
        <v>379</v>
      </c>
      <c r="D214" s="4" t="s">
        <v>381</v>
      </c>
      <c r="E214" s="4" t="s">
        <v>357</v>
      </c>
      <c r="F214" s="4" t="s">
        <v>522</v>
      </c>
      <c r="G214" s="4" t="s">
        <v>309</v>
      </c>
      <c r="H214" s="4" t="s">
        <v>516</v>
      </c>
    </row>
    <row r="215" ht="15.75" customHeight="1">
      <c r="A215" s="29">
        <v>46311.549879224534</v>
      </c>
      <c r="B215" s="30">
        <v>29530.0</v>
      </c>
      <c r="C215" s="4" t="s">
        <v>379</v>
      </c>
      <c r="D215" s="4" t="s">
        <v>381</v>
      </c>
      <c r="E215" s="4" t="s">
        <v>357</v>
      </c>
      <c r="F215" s="4" t="s">
        <v>517</v>
      </c>
      <c r="G215" s="4" t="s">
        <v>309</v>
      </c>
      <c r="H215" s="4" t="s">
        <v>516</v>
      </c>
    </row>
    <row r="216" ht="15.75" customHeight="1">
      <c r="A216" s="29">
        <v>46311.550291168984</v>
      </c>
      <c r="B216" s="30">
        <v>6014982.0</v>
      </c>
      <c r="C216" s="4" t="s">
        <v>440</v>
      </c>
      <c r="D216" s="4" t="s">
        <v>442</v>
      </c>
      <c r="E216" s="4" t="s">
        <v>435</v>
      </c>
      <c r="F216" s="4" t="s">
        <v>517</v>
      </c>
      <c r="G216" s="4" t="s">
        <v>309</v>
      </c>
      <c r="H216" s="4" t="s">
        <v>516</v>
      </c>
    </row>
    <row r="217" ht="15.75" customHeight="1">
      <c r="A217" s="29">
        <v>46311.550899317124</v>
      </c>
      <c r="B217" s="30">
        <v>2823133.0</v>
      </c>
      <c r="C217" s="4" t="s">
        <v>88</v>
      </c>
      <c r="D217" s="4" t="s">
        <v>575</v>
      </c>
      <c r="E217" s="4" t="s">
        <v>357</v>
      </c>
      <c r="F217" s="4" t="s">
        <v>576</v>
      </c>
      <c r="G217" s="4" t="s">
        <v>519</v>
      </c>
    </row>
    <row r="218" ht="15.75" customHeight="1">
      <c r="A218" s="29">
        <v>46311.550973634265</v>
      </c>
      <c r="B218" s="30">
        <v>2604260.0</v>
      </c>
      <c r="F218" s="4" t="s">
        <v>514</v>
      </c>
      <c r="G218" s="4" t="s">
        <v>574</v>
      </c>
      <c r="H218" s="4" t="s">
        <v>565</v>
      </c>
    </row>
    <row r="219" ht="15.75" customHeight="1">
      <c r="A219" s="29">
        <v>46311.55122252315</v>
      </c>
      <c r="B219" s="30">
        <v>3779550.0</v>
      </c>
      <c r="C219" s="4" t="s">
        <v>377</v>
      </c>
      <c r="D219" s="4" t="s">
        <v>378</v>
      </c>
      <c r="E219" s="4" t="s">
        <v>357</v>
      </c>
      <c r="F219" s="4" t="s">
        <v>514</v>
      </c>
      <c r="G219" s="4" t="s">
        <v>556</v>
      </c>
      <c r="H219" s="4" t="s">
        <v>516</v>
      </c>
    </row>
    <row r="220" ht="15.75" customHeight="1">
      <c r="A220" s="29">
        <v>46311.55125935185</v>
      </c>
      <c r="B220" s="30">
        <v>2369641.0</v>
      </c>
      <c r="C220" s="4" t="s">
        <v>394</v>
      </c>
      <c r="D220" s="4" t="s">
        <v>395</v>
      </c>
      <c r="E220" s="4" t="s">
        <v>357</v>
      </c>
      <c r="F220" s="4" t="s">
        <v>518</v>
      </c>
      <c r="G220" s="4" t="s">
        <v>555</v>
      </c>
    </row>
    <row r="221" ht="15.75" customHeight="1">
      <c r="A221" s="29">
        <v>46311.5515480787</v>
      </c>
      <c r="B221" s="30">
        <v>3841387.0</v>
      </c>
      <c r="C221" s="4" t="s">
        <v>428</v>
      </c>
      <c r="E221" s="4" t="s">
        <v>357</v>
      </c>
      <c r="F221" s="4" t="s">
        <v>518</v>
      </c>
      <c r="G221" s="4" t="s">
        <v>519</v>
      </c>
    </row>
    <row r="222" ht="15.75" customHeight="1">
      <c r="A222" s="29">
        <v>46311.55195636574</v>
      </c>
      <c r="B222" s="30">
        <v>2440915.0</v>
      </c>
      <c r="C222" s="4" t="s">
        <v>420</v>
      </c>
      <c r="D222" s="4" t="s">
        <v>421</v>
      </c>
      <c r="E222" s="4" t="s">
        <v>357</v>
      </c>
      <c r="F222" s="4" t="s">
        <v>518</v>
      </c>
      <c r="G222" s="4" t="s">
        <v>555</v>
      </c>
    </row>
    <row r="223" ht="15.75" customHeight="1">
      <c r="A223" s="29">
        <v>46311.55198546297</v>
      </c>
      <c r="B223" s="30">
        <v>2415373.0</v>
      </c>
      <c r="C223" s="4" t="s">
        <v>417</v>
      </c>
      <c r="D223" s="4" t="s">
        <v>418</v>
      </c>
      <c r="E223" s="4" t="s">
        <v>357</v>
      </c>
      <c r="F223" s="4" t="s">
        <v>514</v>
      </c>
      <c r="G223" s="4" t="s">
        <v>523</v>
      </c>
      <c r="H223" s="4" t="s">
        <v>516</v>
      </c>
    </row>
    <row r="224" ht="15.75" customHeight="1">
      <c r="A224" s="29">
        <v>46311.55201918981</v>
      </c>
      <c r="B224" s="30">
        <v>2823133.0</v>
      </c>
      <c r="C224" s="4" t="s">
        <v>88</v>
      </c>
      <c r="D224" s="4" t="s">
        <v>575</v>
      </c>
      <c r="E224" s="4" t="s">
        <v>357</v>
      </c>
      <c r="F224" s="4" t="s">
        <v>517</v>
      </c>
      <c r="G224" s="4" t="s">
        <v>309</v>
      </c>
      <c r="H224" s="4" t="s">
        <v>516</v>
      </c>
    </row>
    <row r="225" ht="15.75" customHeight="1">
      <c r="A225" s="29">
        <v>46311.55219173611</v>
      </c>
      <c r="B225" s="30" t="s">
        <v>429</v>
      </c>
      <c r="F225" s="4" t="s">
        <v>514</v>
      </c>
      <c r="G225" s="4" t="s">
        <v>556</v>
      </c>
      <c r="H225" s="4" t="s">
        <v>516</v>
      </c>
    </row>
    <row r="226" ht="15.75" customHeight="1">
      <c r="A226" s="29">
        <v>46311.55228913194</v>
      </c>
      <c r="B226" s="30">
        <v>3750335.0</v>
      </c>
      <c r="C226" s="4" t="s">
        <v>403</v>
      </c>
      <c r="D226" s="4" t="s">
        <v>404</v>
      </c>
      <c r="E226" s="4" t="s">
        <v>357</v>
      </c>
      <c r="F226" s="4" t="s">
        <v>518</v>
      </c>
      <c r="G226" s="4" t="s">
        <v>555</v>
      </c>
    </row>
    <row r="227" ht="15.75" customHeight="1">
      <c r="A227" s="29">
        <v>46311.55251084491</v>
      </c>
      <c r="B227" s="30">
        <v>3779550.0</v>
      </c>
      <c r="C227" s="4" t="s">
        <v>377</v>
      </c>
      <c r="D227" s="4" t="s">
        <v>378</v>
      </c>
      <c r="E227" s="4" t="s">
        <v>357</v>
      </c>
      <c r="F227" s="4" t="s">
        <v>518</v>
      </c>
      <c r="G227" s="4" t="s">
        <v>555</v>
      </c>
    </row>
    <row r="228" ht="15.75" customHeight="1">
      <c r="A228" s="29">
        <v>46311.55252240741</v>
      </c>
      <c r="B228" s="30">
        <v>2440915.0</v>
      </c>
      <c r="C228" s="4" t="s">
        <v>420</v>
      </c>
      <c r="D228" s="4" t="s">
        <v>421</v>
      </c>
      <c r="E228" s="4" t="s">
        <v>357</v>
      </c>
      <c r="F228" s="4" t="s">
        <v>522</v>
      </c>
      <c r="G228" s="4" t="s">
        <v>309</v>
      </c>
      <c r="H228" s="4" t="s">
        <v>516</v>
      </c>
    </row>
    <row r="229" ht="15.75" customHeight="1">
      <c r="A229" s="29">
        <v>46311.55253537037</v>
      </c>
      <c r="B229" s="30">
        <v>2440915.0</v>
      </c>
      <c r="C229" s="4" t="s">
        <v>420</v>
      </c>
      <c r="D229" s="4" t="s">
        <v>421</v>
      </c>
      <c r="E229" s="4" t="s">
        <v>357</v>
      </c>
      <c r="F229" s="4" t="s">
        <v>517</v>
      </c>
      <c r="G229" s="4" t="s">
        <v>309</v>
      </c>
      <c r="H229" s="4" t="s">
        <v>516</v>
      </c>
    </row>
    <row r="230" ht="15.75" customHeight="1">
      <c r="A230" s="29">
        <v>46311.55255112269</v>
      </c>
      <c r="B230" s="30">
        <v>3750335.0</v>
      </c>
      <c r="C230" s="4" t="s">
        <v>403</v>
      </c>
      <c r="D230" s="4" t="s">
        <v>404</v>
      </c>
      <c r="E230" s="4" t="s">
        <v>357</v>
      </c>
      <c r="F230" s="4" t="s">
        <v>522</v>
      </c>
      <c r="G230" s="4" t="s">
        <v>309</v>
      </c>
      <c r="H230" s="4" t="s">
        <v>521</v>
      </c>
    </row>
    <row r="231" ht="15.75" customHeight="1">
      <c r="A231" s="29">
        <v>46311.55255788194</v>
      </c>
      <c r="B231" s="30">
        <v>3750335.0</v>
      </c>
      <c r="C231" s="4" t="s">
        <v>403</v>
      </c>
      <c r="D231" s="4" t="s">
        <v>404</v>
      </c>
      <c r="E231" s="4" t="s">
        <v>357</v>
      </c>
      <c r="F231" s="4" t="s">
        <v>517</v>
      </c>
      <c r="G231" s="4" t="s">
        <v>309</v>
      </c>
      <c r="H231" s="4" t="s">
        <v>521</v>
      </c>
    </row>
    <row r="232" ht="15.75" customHeight="1">
      <c r="A232" s="29">
        <v>46311.55283223379</v>
      </c>
      <c r="B232" s="30">
        <v>3841387.0</v>
      </c>
      <c r="C232" s="4" t="s">
        <v>428</v>
      </c>
      <c r="E232" s="4" t="s">
        <v>357</v>
      </c>
      <c r="F232" s="4" t="s">
        <v>522</v>
      </c>
      <c r="G232" s="4" t="s">
        <v>309</v>
      </c>
      <c r="H232" s="4" t="s">
        <v>516</v>
      </c>
    </row>
    <row r="233" ht="15.75" customHeight="1">
      <c r="A233" s="29">
        <v>46311.55283803241</v>
      </c>
      <c r="B233" s="30">
        <v>3841387.0</v>
      </c>
      <c r="C233" s="4" t="s">
        <v>428</v>
      </c>
      <c r="E233" s="4" t="s">
        <v>357</v>
      </c>
      <c r="F233" s="4" t="s">
        <v>517</v>
      </c>
      <c r="G233" s="4" t="s">
        <v>309</v>
      </c>
      <c r="H233" s="4" t="s">
        <v>516</v>
      </c>
    </row>
    <row r="234" ht="15.75" customHeight="1">
      <c r="A234" s="29">
        <v>46311.55284658565</v>
      </c>
      <c r="B234" s="30">
        <v>2396710.0</v>
      </c>
      <c r="C234" s="4" t="s">
        <v>365</v>
      </c>
      <c r="E234" s="4" t="s">
        <v>357</v>
      </c>
      <c r="F234" s="4" t="s">
        <v>518</v>
      </c>
      <c r="G234" s="4" t="s">
        <v>519</v>
      </c>
    </row>
    <row r="235" ht="15.75" customHeight="1">
      <c r="A235" s="29">
        <v>46311.55294728009</v>
      </c>
      <c r="B235" s="30">
        <v>2415373.0</v>
      </c>
      <c r="C235" s="4" t="s">
        <v>417</v>
      </c>
      <c r="D235" s="4" t="s">
        <v>418</v>
      </c>
      <c r="E235" s="4" t="s">
        <v>357</v>
      </c>
      <c r="F235" s="4" t="s">
        <v>514</v>
      </c>
      <c r="G235" s="4" t="s">
        <v>523</v>
      </c>
      <c r="H235" s="4" t="s">
        <v>516</v>
      </c>
    </row>
    <row r="236" ht="15.75" customHeight="1">
      <c r="A236" s="29">
        <v>46311.55311665509</v>
      </c>
      <c r="B236" s="30">
        <v>3779550.0</v>
      </c>
      <c r="C236" s="4" t="s">
        <v>377</v>
      </c>
      <c r="D236" s="4" t="s">
        <v>378</v>
      </c>
      <c r="E236" s="4" t="s">
        <v>357</v>
      </c>
      <c r="F236" s="4" t="s">
        <v>522</v>
      </c>
      <c r="G236" s="4" t="s">
        <v>309</v>
      </c>
      <c r="H236" s="4" t="s">
        <v>516</v>
      </c>
    </row>
    <row r="237" ht="15.75" customHeight="1">
      <c r="A237" s="29">
        <v>46311.55312195602</v>
      </c>
      <c r="B237" s="30">
        <v>3779550.0</v>
      </c>
      <c r="C237" s="4" t="s">
        <v>377</v>
      </c>
      <c r="D237" s="4" t="s">
        <v>378</v>
      </c>
      <c r="E237" s="4" t="s">
        <v>357</v>
      </c>
      <c r="F237" s="4" t="s">
        <v>517</v>
      </c>
      <c r="G237" s="4" t="s">
        <v>309</v>
      </c>
      <c r="H237" s="4" t="s">
        <v>516</v>
      </c>
    </row>
    <row r="238" ht="15.75" customHeight="1">
      <c r="A238" s="29">
        <v>46311.553415092596</v>
      </c>
      <c r="B238" s="30">
        <v>967092.0</v>
      </c>
      <c r="C238" s="4" t="s">
        <v>391</v>
      </c>
      <c r="E238" s="4" t="s">
        <v>357</v>
      </c>
      <c r="F238" s="4" t="s">
        <v>577</v>
      </c>
      <c r="G238" s="4" t="s">
        <v>578</v>
      </c>
    </row>
    <row r="239" ht="15.75" customHeight="1">
      <c r="A239" s="29">
        <v>46311.553638564816</v>
      </c>
      <c r="B239" s="30">
        <v>967092.0</v>
      </c>
      <c r="C239" s="4" t="s">
        <v>391</v>
      </c>
      <c r="D239" s="4" t="s">
        <v>579</v>
      </c>
      <c r="E239" s="4" t="s">
        <v>357</v>
      </c>
      <c r="F239" s="4" t="s">
        <v>518</v>
      </c>
      <c r="G239" s="4" t="s">
        <v>519</v>
      </c>
    </row>
    <row r="240" ht="15.75" customHeight="1">
      <c r="A240" s="29">
        <v>46311.554001192126</v>
      </c>
      <c r="B240" s="30">
        <v>2604360.0</v>
      </c>
      <c r="C240" s="4" t="s">
        <v>409</v>
      </c>
      <c r="D240" s="4" t="s">
        <v>410</v>
      </c>
      <c r="E240" s="4" t="s">
        <v>357</v>
      </c>
      <c r="F240" s="4" t="s">
        <v>518</v>
      </c>
      <c r="G240" s="4" t="s">
        <v>555</v>
      </c>
    </row>
    <row r="241" ht="15.75" customHeight="1">
      <c r="A241" s="29">
        <v>46311.55434170139</v>
      </c>
      <c r="B241" s="30">
        <v>3189967.0</v>
      </c>
      <c r="C241" s="4" t="s">
        <v>414</v>
      </c>
      <c r="D241" s="4" t="s">
        <v>415</v>
      </c>
      <c r="E241" s="4" t="s">
        <v>357</v>
      </c>
      <c r="F241" s="4" t="s">
        <v>518</v>
      </c>
      <c r="G241" s="4" t="s">
        <v>555</v>
      </c>
    </row>
    <row r="242" ht="15.75" customHeight="1">
      <c r="A242" s="29">
        <v>46311.554503148145</v>
      </c>
      <c r="B242" s="30">
        <v>3796947.0</v>
      </c>
      <c r="C242" s="4" t="s">
        <v>423</v>
      </c>
      <c r="E242" s="4" t="s">
        <v>357</v>
      </c>
      <c r="F242" s="4" t="s">
        <v>518</v>
      </c>
      <c r="G242" s="4" t="s">
        <v>519</v>
      </c>
    </row>
    <row r="243" ht="15.75" customHeight="1">
      <c r="A243" s="29">
        <v>46311.55468390047</v>
      </c>
      <c r="B243" s="30">
        <v>2604360.0</v>
      </c>
      <c r="C243" s="4" t="s">
        <v>409</v>
      </c>
      <c r="D243" s="4" t="s">
        <v>410</v>
      </c>
      <c r="E243" s="4" t="s">
        <v>357</v>
      </c>
      <c r="F243" s="4" t="s">
        <v>522</v>
      </c>
      <c r="G243" s="4" t="s">
        <v>309</v>
      </c>
      <c r="H243" s="4" t="s">
        <v>565</v>
      </c>
    </row>
    <row r="244" ht="15.75" customHeight="1">
      <c r="A244" s="29">
        <v>46311.554695370374</v>
      </c>
      <c r="B244" s="30">
        <v>2604360.0</v>
      </c>
      <c r="C244" s="4" t="s">
        <v>409</v>
      </c>
      <c r="D244" s="4" t="s">
        <v>410</v>
      </c>
      <c r="E244" s="4" t="s">
        <v>357</v>
      </c>
      <c r="F244" s="4" t="s">
        <v>517</v>
      </c>
      <c r="G244" s="4" t="s">
        <v>309</v>
      </c>
      <c r="H244" s="4" t="s">
        <v>565</v>
      </c>
    </row>
    <row r="245" ht="15.75" customHeight="1">
      <c r="A245" s="29">
        <v>46311.554854270835</v>
      </c>
      <c r="B245" s="30">
        <v>3189967.0</v>
      </c>
      <c r="C245" s="4" t="s">
        <v>414</v>
      </c>
      <c r="D245" s="4" t="s">
        <v>415</v>
      </c>
      <c r="E245" s="4" t="s">
        <v>357</v>
      </c>
      <c r="F245" s="4" t="s">
        <v>522</v>
      </c>
      <c r="G245" s="4" t="s">
        <v>309</v>
      </c>
      <c r="H245" s="4" t="s">
        <v>572</v>
      </c>
    </row>
    <row r="246" ht="15.75" customHeight="1">
      <c r="A246" s="29">
        <v>46311.55486016204</v>
      </c>
      <c r="B246" s="30">
        <v>3189967.0</v>
      </c>
      <c r="C246" s="4" t="s">
        <v>414</v>
      </c>
      <c r="D246" s="4" t="s">
        <v>415</v>
      </c>
      <c r="E246" s="4" t="s">
        <v>357</v>
      </c>
      <c r="F246" s="4" t="s">
        <v>517</v>
      </c>
      <c r="G246" s="4" t="s">
        <v>309</v>
      </c>
      <c r="H246" s="4" t="s">
        <v>572</v>
      </c>
    </row>
    <row r="247" ht="15.75" customHeight="1">
      <c r="A247" s="29">
        <v>46311.55505885417</v>
      </c>
      <c r="B247" s="30">
        <v>2415373.0</v>
      </c>
      <c r="C247" s="4" t="s">
        <v>417</v>
      </c>
      <c r="D247" s="4" t="s">
        <v>418</v>
      </c>
      <c r="E247" s="4" t="s">
        <v>357</v>
      </c>
      <c r="F247" s="4" t="s">
        <v>518</v>
      </c>
      <c r="G247" s="4" t="s">
        <v>555</v>
      </c>
    </row>
    <row r="248" ht="15.75" customHeight="1">
      <c r="A248" s="29">
        <v>46311.55515028935</v>
      </c>
      <c r="B248" s="30">
        <v>967092.0</v>
      </c>
      <c r="C248" s="4" t="s">
        <v>391</v>
      </c>
      <c r="D248" s="4" t="s">
        <v>579</v>
      </c>
      <c r="E248" s="4" t="s">
        <v>357</v>
      </c>
      <c r="F248" s="4" t="s">
        <v>522</v>
      </c>
      <c r="G248" s="4" t="s">
        <v>309</v>
      </c>
      <c r="H248" s="4" t="s">
        <v>521</v>
      </c>
    </row>
    <row r="249" ht="15.75" customHeight="1">
      <c r="A249" s="29">
        <v>46311.55515670139</v>
      </c>
      <c r="B249" s="30">
        <v>967092.0</v>
      </c>
      <c r="C249" s="4" t="s">
        <v>391</v>
      </c>
      <c r="D249" s="4" t="s">
        <v>579</v>
      </c>
      <c r="E249" s="4" t="s">
        <v>357</v>
      </c>
      <c r="F249" s="4" t="s">
        <v>517</v>
      </c>
      <c r="G249" s="4" t="s">
        <v>309</v>
      </c>
      <c r="H249" s="4" t="s">
        <v>521</v>
      </c>
    </row>
    <row r="250" ht="15.75" customHeight="1">
      <c r="A250" s="29">
        <v>46311.55521086806</v>
      </c>
      <c r="B250" s="30" t="s">
        <v>366</v>
      </c>
      <c r="F250" s="4" t="s">
        <v>514</v>
      </c>
      <c r="G250" s="4" t="s">
        <v>556</v>
      </c>
      <c r="H250" s="4" t="s">
        <v>565</v>
      </c>
    </row>
    <row r="251" ht="15.75" customHeight="1">
      <c r="A251" s="29">
        <v>46311.55532922454</v>
      </c>
      <c r="B251" s="30">
        <v>2415373.0</v>
      </c>
      <c r="C251" s="4" t="s">
        <v>417</v>
      </c>
      <c r="D251" s="4" t="s">
        <v>418</v>
      </c>
      <c r="E251" s="4" t="s">
        <v>357</v>
      </c>
      <c r="F251" s="4" t="s">
        <v>514</v>
      </c>
      <c r="G251" s="4" t="s">
        <v>523</v>
      </c>
      <c r="H251" s="4" t="s">
        <v>516</v>
      </c>
    </row>
    <row r="252" ht="15.75" customHeight="1">
      <c r="A252" s="29">
        <v>46311.55545677083</v>
      </c>
      <c r="B252" s="30">
        <v>2415373.0</v>
      </c>
      <c r="F252" s="4" t="s">
        <v>514</v>
      </c>
      <c r="G252" s="4" t="s">
        <v>574</v>
      </c>
      <c r="H252" s="4" t="s">
        <v>516</v>
      </c>
    </row>
    <row r="253" ht="15.75" customHeight="1">
      <c r="A253" s="29">
        <v>46311.55553886574</v>
      </c>
      <c r="B253" s="30">
        <v>3796947.0</v>
      </c>
      <c r="C253" s="4" t="s">
        <v>423</v>
      </c>
      <c r="E253" s="4" t="s">
        <v>357</v>
      </c>
      <c r="F253" s="4" t="s">
        <v>522</v>
      </c>
      <c r="G253" s="4" t="s">
        <v>309</v>
      </c>
      <c r="H253" s="4" t="s">
        <v>516</v>
      </c>
    </row>
    <row r="254" ht="15.75" customHeight="1">
      <c r="A254" s="29">
        <v>46311.555548668985</v>
      </c>
      <c r="B254" s="30">
        <v>3796947.0</v>
      </c>
      <c r="C254" s="4" t="s">
        <v>423</v>
      </c>
      <c r="E254" s="4" t="s">
        <v>357</v>
      </c>
      <c r="F254" s="4" t="s">
        <v>517</v>
      </c>
      <c r="G254" s="4" t="s">
        <v>309</v>
      </c>
      <c r="H254" s="4" t="s">
        <v>516</v>
      </c>
    </row>
    <row r="255" ht="15.75" customHeight="1">
      <c r="A255" s="29">
        <v>46311.555654502314</v>
      </c>
      <c r="B255" s="30">
        <v>2415373.0</v>
      </c>
      <c r="C255" s="4" t="s">
        <v>417</v>
      </c>
      <c r="D255" s="4" t="s">
        <v>418</v>
      </c>
      <c r="E255" s="4" t="s">
        <v>357</v>
      </c>
      <c r="F255" s="4" t="s">
        <v>514</v>
      </c>
      <c r="G255" s="4" t="s">
        <v>523</v>
      </c>
      <c r="H255" s="4" t="s">
        <v>516</v>
      </c>
    </row>
    <row r="256" ht="15.75" customHeight="1">
      <c r="A256" s="29">
        <v>46311.55584453704</v>
      </c>
      <c r="B256" s="30">
        <v>2415373.0</v>
      </c>
      <c r="C256" s="4" t="s">
        <v>417</v>
      </c>
      <c r="D256" s="4" t="s">
        <v>418</v>
      </c>
      <c r="E256" s="4" t="s">
        <v>357</v>
      </c>
      <c r="F256" s="4" t="s">
        <v>517</v>
      </c>
      <c r="G256" s="4" t="s">
        <v>309</v>
      </c>
      <c r="H256" s="4" t="s">
        <v>516</v>
      </c>
    </row>
    <row r="257" ht="15.75" customHeight="1">
      <c r="A257" s="29">
        <v>46311.556095231485</v>
      </c>
      <c r="B257" s="30">
        <v>2396710.0</v>
      </c>
      <c r="C257" s="4" t="s">
        <v>365</v>
      </c>
      <c r="E257" s="4" t="s">
        <v>357</v>
      </c>
      <c r="F257" s="4" t="s">
        <v>577</v>
      </c>
      <c r="G257" s="4" t="s">
        <v>580</v>
      </c>
    </row>
    <row r="258" ht="15.75" customHeight="1">
      <c r="A258" s="29">
        <v>46311.55627736112</v>
      </c>
      <c r="B258" s="30">
        <v>2396710.0</v>
      </c>
      <c r="C258" s="4" t="s">
        <v>365</v>
      </c>
      <c r="D258" s="4" t="s">
        <v>366</v>
      </c>
      <c r="E258" s="4" t="s">
        <v>357</v>
      </c>
      <c r="F258" s="4" t="s">
        <v>518</v>
      </c>
      <c r="G258" s="4" t="s">
        <v>555</v>
      </c>
    </row>
    <row r="259" ht="15.75" customHeight="1">
      <c r="A259" s="29">
        <v>46311.557119907404</v>
      </c>
      <c r="B259" s="30">
        <v>2396710.0</v>
      </c>
      <c r="C259" s="4" t="s">
        <v>365</v>
      </c>
      <c r="D259" s="4" t="s">
        <v>366</v>
      </c>
      <c r="E259" s="4" t="s">
        <v>357</v>
      </c>
      <c r="F259" s="4" t="s">
        <v>522</v>
      </c>
      <c r="G259" s="4" t="s">
        <v>309</v>
      </c>
      <c r="H259" s="4" t="s">
        <v>565</v>
      </c>
    </row>
    <row r="260" ht="15.75" customHeight="1">
      <c r="A260" s="29">
        <v>46311.55714087963</v>
      </c>
      <c r="B260" s="30">
        <v>2396710.0</v>
      </c>
      <c r="C260" s="4" t="s">
        <v>365</v>
      </c>
      <c r="D260" s="4" t="s">
        <v>366</v>
      </c>
      <c r="E260" s="4" t="s">
        <v>357</v>
      </c>
      <c r="F260" s="4" t="s">
        <v>517</v>
      </c>
      <c r="G260" s="4" t="s">
        <v>309</v>
      </c>
      <c r="H260" s="4" t="s">
        <v>565</v>
      </c>
    </row>
    <row r="261" ht="15.75" customHeight="1">
      <c r="A261" s="29">
        <v>46311.56237748843</v>
      </c>
      <c r="B261" s="30">
        <v>6019028.0</v>
      </c>
      <c r="C261" s="4" t="s">
        <v>432</v>
      </c>
      <c r="D261" s="4" t="s">
        <v>434</v>
      </c>
      <c r="E261" s="4" t="s">
        <v>435</v>
      </c>
      <c r="F261" s="4" t="s">
        <v>557</v>
      </c>
      <c r="G261" s="4" t="s">
        <v>559</v>
      </c>
    </row>
    <row r="262" ht="15.75" customHeight="1">
      <c r="A262" s="29">
        <v>46311.56245237269</v>
      </c>
      <c r="B262" s="30">
        <v>29530.0</v>
      </c>
      <c r="C262" s="4" t="s">
        <v>379</v>
      </c>
      <c r="D262" s="4" t="s">
        <v>381</v>
      </c>
      <c r="E262" s="4" t="s">
        <v>357</v>
      </c>
      <c r="F262" s="4" t="s">
        <v>539</v>
      </c>
      <c r="G262" s="4" t="s">
        <v>581</v>
      </c>
      <c r="H262" s="4" t="s">
        <v>516</v>
      </c>
    </row>
    <row r="263" ht="15.75" customHeight="1">
      <c r="A263" s="29">
        <v>46311.56344054398</v>
      </c>
      <c r="B263" s="30">
        <v>2823133.0</v>
      </c>
      <c r="C263" s="4" t="s">
        <v>88</v>
      </c>
      <c r="D263" s="4" t="s">
        <v>412</v>
      </c>
      <c r="E263" s="4" t="s">
        <v>357</v>
      </c>
      <c r="F263" s="4" t="s">
        <v>544</v>
      </c>
      <c r="G263" s="4" t="s">
        <v>582</v>
      </c>
      <c r="H263" s="4" t="s">
        <v>516</v>
      </c>
    </row>
    <row r="264" ht="15.75" customHeight="1">
      <c r="A264" s="29">
        <v>46311.56441082176</v>
      </c>
      <c r="B264" s="30">
        <v>2823133.0</v>
      </c>
      <c r="C264" s="4" t="s">
        <v>88</v>
      </c>
      <c r="D264" s="4" t="s">
        <v>412</v>
      </c>
      <c r="E264" s="4" t="s">
        <v>357</v>
      </c>
      <c r="F264" s="4" t="s">
        <v>517</v>
      </c>
      <c r="G264" s="4" t="s">
        <v>309</v>
      </c>
      <c r="H264" s="4" t="s">
        <v>516</v>
      </c>
    </row>
    <row r="265" ht="15.75" customHeight="1">
      <c r="A265" s="29">
        <v>46311.564956111106</v>
      </c>
      <c r="B265" s="30">
        <v>6014982.0</v>
      </c>
      <c r="C265" s="4" t="s">
        <v>440</v>
      </c>
      <c r="D265" s="4" t="s">
        <v>442</v>
      </c>
      <c r="E265" s="4" t="s">
        <v>435</v>
      </c>
      <c r="F265" s="4" t="s">
        <v>563</v>
      </c>
      <c r="G265" s="4" t="s">
        <v>583</v>
      </c>
    </row>
    <row r="266" ht="15.75" customHeight="1">
      <c r="A266" s="29">
        <v>46311.56536195602</v>
      </c>
      <c r="B266" s="30">
        <v>31096.0</v>
      </c>
      <c r="C266" s="4" t="s">
        <v>447</v>
      </c>
      <c r="D266" s="4" t="s">
        <v>449</v>
      </c>
      <c r="E266" s="4" t="s">
        <v>435</v>
      </c>
      <c r="F266" s="4" t="s">
        <v>517</v>
      </c>
      <c r="G266" s="4" t="s">
        <v>309</v>
      </c>
      <c r="H266" s="4" t="s">
        <v>565</v>
      </c>
    </row>
    <row r="267" ht="15.75" customHeight="1">
      <c r="A267" s="29">
        <v>46311.565761053236</v>
      </c>
      <c r="B267" s="30">
        <v>31096.0</v>
      </c>
      <c r="C267" s="4" t="s">
        <v>447</v>
      </c>
      <c r="D267" s="4" t="s">
        <v>449</v>
      </c>
      <c r="E267" s="4" t="s">
        <v>435</v>
      </c>
      <c r="F267" s="4" t="s">
        <v>566</v>
      </c>
      <c r="G267" s="4" t="s">
        <v>583</v>
      </c>
    </row>
    <row r="268" ht="15.75" customHeight="1">
      <c r="A268" s="29">
        <v>46311.57245237268</v>
      </c>
      <c r="B268" s="30">
        <v>2604360.0</v>
      </c>
      <c r="C268" s="4" t="s">
        <v>409</v>
      </c>
      <c r="D268" s="4" t="s">
        <v>410</v>
      </c>
      <c r="E268" s="4" t="s">
        <v>357</v>
      </c>
      <c r="F268" s="4" t="s">
        <v>517</v>
      </c>
      <c r="G268" s="4" t="s">
        <v>309</v>
      </c>
      <c r="H268" s="4" t="s">
        <v>565</v>
      </c>
    </row>
    <row r="269" ht="15.75" customHeight="1">
      <c r="A269" s="29">
        <v>46311.57506528935</v>
      </c>
      <c r="B269" s="30">
        <v>2604360.0</v>
      </c>
      <c r="C269" s="4" t="s">
        <v>409</v>
      </c>
      <c r="D269" s="4" t="s">
        <v>410</v>
      </c>
      <c r="E269" s="4" t="s">
        <v>357</v>
      </c>
      <c r="F269" s="4" t="s">
        <v>517</v>
      </c>
      <c r="G269" s="4" t="s">
        <v>309</v>
      </c>
      <c r="H269" s="4" t="s">
        <v>565</v>
      </c>
    </row>
    <row r="270" ht="15.75" customHeight="1">
      <c r="A270" s="29">
        <v>46311.58823396991</v>
      </c>
      <c r="B270" s="30">
        <v>3841387.0</v>
      </c>
      <c r="C270" s="4" t="s">
        <v>428</v>
      </c>
      <c r="D270" s="4" t="s">
        <v>429</v>
      </c>
      <c r="E270" s="4" t="s">
        <v>357</v>
      </c>
      <c r="F270" s="4" t="s">
        <v>517</v>
      </c>
      <c r="G270" s="4" t="s">
        <v>309</v>
      </c>
      <c r="H270" s="4" t="s">
        <v>521</v>
      </c>
    </row>
    <row r="271" ht="15.75" customHeight="1">
      <c r="A271" s="29">
        <v>46311.65194043981</v>
      </c>
      <c r="B271" s="30">
        <v>2604360.0</v>
      </c>
      <c r="C271" s="4" t="s">
        <v>409</v>
      </c>
      <c r="D271" s="4" t="s">
        <v>410</v>
      </c>
      <c r="E271" s="4" t="s">
        <v>357</v>
      </c>
      <c r="F271" s="4" t="s">
        <v>517</v>
      </c>
      <c r="G271" s="4" t="s">
        <v>309</v>
      </c>
      <c r="H271" s="4" t="s">
        <v>565</v>
      </c>
    </row>
    <row r="272" ht="15.75" customHeight="1">
      <c r="A272" s="29">
        <v>46313.69006149306</v>
      </c>
      <c r="B272" s="30">
        <v>2396710.0</v>
      </c>
      <c r="C272" s="4" t="s">
        <v>365</v>
      </c>
      <c r="D272" s="4" t="s">
        <v>366</v>
      </c>
      <c r="E272" s="4" t="s">
        <v>357</v>
      </c>
      <c r="F272" s="4" t="s">
        <v>517</v>
      </c>
      <c r="G272" s="4" t="s">
        <v>309</v>
      </c>
      <c r="H272" s="4" t="s">
        <v>565</v>
      </c>
    </row>
    <row r="273" ht="15.75" customHeight="1">
      <c r="A273" s="29">
        <v>46313.81844559028</v>
      </c>
      <c r="B273" s="30">
        <v>3189967.0</v>
      </c>
      <c r="C273" s="4" t="s">
        <v>414</v>
      </c>
      <c r="D273" s="4" t="s">
        <v>415</v>
      </c>
      <c r="E273" s="4" t="s">
        <v>357</v>
      </c>
      <c r="F273" s="4" t="s">
        <v>517</v>
      </c>
      <c r="G273" s="4" t="s">
        <v>309</v>
      </c>
      <c r="H273" s="4" t="s">
        <v>565</v>
      </c>
    </row>
    <row r="274" ht="15.75" customHeight="1">
      <c r="A274" s="29">
        <v>46313.86709209491</v>
      </c>
      <c r="B274" s="30">
        <v>2396710.0</v>
      </c>
      <c r="C274" s="4" t="s">
        <v>365</v>
      </c>
      <c r="D274" s="4" t="s">
        <v>366</v>
      </c>
      <c r="E274" s="4" t="s">
        <v>357</v>
      </c>
      <c r="F274" s="4" t="s">
        <v>517</v>
      </c>
      <c r="G274" s="4" t="s">
        <v>309</v>
      </c>
      <c r="H274" s="4" t="s">
        <v>565</v>
      </c>
    </row>
    <row r="275" ht="15.75" customHeight="1">
      <c r="A275" s="29">
        <v>46314.33706053241</v>
      </c>
      <c r="B275" s="30">
        <v>6019028.0</v>
      </c>
      <c r="C275" s="4" t="s">
        <v>432</v>
      </c>
      <c r="D275" s="4" t="s">
        <v>434</v>
      </c>
      <c r="E275" s="4" t="s">
        <v>435</v>
      </c>
      <c r="F275" s="4" t="s">
        <v>584</v>
      </c>
      <c r="G275" s="4" t="s">
        <v>585</v>
      </c>
    </row>
    <row r="276" ht="15.75" customHeight="1">
      <c r="A276" s="29">
        <v>46314.340600462965</v>
      </c>
      <c r="B276" s="30">
        <v>6019028.0</v>
      </c>
      <c r="C276" s="4" t="s">
        <v>432</v>
      </c>
      <c r="D276" s="4" t="s">
        <v>434</v>
      </c>
      <c r="E276" s="4" t="s">
        <v>435</v>
      </c>
      <c r="F276" s="4" t="s">
        <v>557</v>
      </c>
      <c r="G276" s="4" t="s">
        <v>559</v>
      </c>
    </row>
    <row r="277" ht="15.75" customHeight="1">
      <c r="A277" s="29">
        <v>46314.35282349537</v>
      </c>
      <c r="B277" s="30">
        <v>3189967.0</v>
      </c>
      <c r="C277" s="4" t="s">
        <v>414</v>
      </c>
      <c r="D277" s="4" t="s">
        <v>415</v>
      </c>
      <c r="E277" s="4" t="s">
        <v>357</v>
      </c>
      <c r="F277" s="4" t="s">
        <v>517</v>
      </c>
      <c r="G277" s="4" t="s">
        <v>309</v>
      </c>
      <c r="H277" s="4" t="s">
        <v>565</v>
      </c>
    </row>
    <row r="278" ht="15.75" customHeight="1">
      <c r="A278" s="29">
        <v>46314.36366809028</v>
      </c>
      <c r="B278" s="30">
        <v>6019028.0</v>
      </c>
      <c r="C278" s="4" t="s">
        <v>432</v>
      </c>
      <c r="D278" s="4" t="s">
        <v>434</v>
      </c>
      <c r="E278" s="4" t="s">
        <v>435</v>
      </c>
      <c r="F278" s="4" t="s">
        <v>584</v>
      </c>
      <c r="G278" s="4" t="s">
        <v>586</v>
      </c>
    </row>
    <row r="279" ht="15.75" customHeight="1">
      <c r="A279" s="29">
        <v>46314.50488424768</v>
      </c>
      <c r="B279" s="30">
        <v>2369641.0</v>
      </c>
      <c r="C279" s="4" t="s">
        <v>394</v>
      </c>
      <c r="D279" s="4" t="s">
        <v>395</v>
      </c>
      <c r="E279" s="4" t="s">
        <v>357</v>
      </c>
      <c r="F279" s="4" t="s">
        <v>518</v>
      </c>
      <c r="G279" s="4" t="s">
        <v>555</v>
      </c>
    </row>
    <row r="280" ht="15.75" customHeight="1">
      <c r="A280" s="29">
        <v>46314.50527376158</v>
      </c>
      <c r="B280" s="30">
        <v>2713993.0</v>
      </c>
      <c r="C280" s="4" t="s">
        <v>355</v>
      </c>
      <c r="D280" s="4" t="s">
        <v>356</v>
      </c>
      <c r="E280" s="4" t="s">
        <v>357</v>
      </c>
      <c r="F280" s="4" t="s">
        <v>518</v>
      </c>
      <c r="G280" s="4" t="s">
        <v>555</v>
      </c>
    </row>
    <row r="281" ht="15.75" customHeight="1">
      <c r="A281" s="29">
        <v>46314.5057937963</v>
      </c>
      <c r="B281" s="30">
        <v>3852423.0</v>
      </c>
      <c r="C281" s="4" t="s">
        <v>406</v>
      </c>
      <c r="D281" s="4" t="s">
        <v>407</v>
      </c>
      <c r="E281" s="4" t="s">
        <v>357</v>
      </c>
      <c r="F281" s="4" t="s">
        <v>518</v>
      </c>
      <c r="G281" s="4" t="s">
        <v>555</v>
      </c>
    </row>
    <row r="282" ht="15.75" customHeight="1">
      <c r="A282" s="29">
        <v>46314.50610545139</v>
      </c>
      <c r="B282" s="30">
        <v>3134911.0</v>
      </c>
      <c r="C282" s="4" t="s">
        <v>401</v>
      </c>
      <c r="D282" s="4" t="s">
        <v>402</v>
      </c>
      <c r="E282" s="4" t="s">
        <v>357</v>
      </c>
      <c r="F282" s="4" t="s">
        <v>518</v>
      </c>
      <c r="G282" s="4" t="s">
        <v>555</v>
      </c>
    </row>
    <row r="283" ht="15.75" customHeight="1">
      <c r="A283" s="29">
        <v>46314.50674208334</v>
      </c>
      <c r="B283" s="30">
        <v>2843319.0</v>
      </c>
      <c r="C283" s="4" t="s">
        <v>372</v>
      </c>
      <c r="D283" s="4" t="s">
        <v>373</v>
      </c>
      <c r="E283" s="4" t="s">
        <v>357</v>
      </c>
      <c r="F283" s="4" t="s">
        <v>518</v>
      </c>
      <c r="G283" s="4" t="s">
        <v>555</v>
      </c>
    </row>
    <row r="284" ht="15.75" customHeight="1">
      <c r="A284" s="29">
        <v>46314.50727689815</v>
      </c>
      <c r="B284" s="30">
        <v>2369624.0</v>
      </c>
      <c r="C284" s="4" t="s">
        <v>398</v>
      </c>
      <c r="D284" s="4" t="s">
        <v>399</v>
      </c>
      <c r="E284" s="4" t="s">
        <v>357</v>
      </c>
      <c r="F284" s="4" t="s">
        <v>518</v>
      </c>
      <c r="G284" s="4" t="s">
        <v>555</v>
      </c>
    </row>
    <row r="285" ht="15.75" customHeight="1">
      <c r="A285" s="29">
        <v>46314.507813958335</v>
      </c>
      <c r="B285" s="30">
        <v>2369641.0</v>
      </c>
      <c r="C285" s="4" t="s">
        <v>394</v>
      </c>
      <c r="D285" s="4" t="s">
        <v>395</v>
      </c>
      <c r="E285" s="4" t="s">
        <v>357</v>
      </c>
      <c r="F285" s="4" t="s">
        <v>514</v>
      </c>
      <c r="G285" s="4" t="s">
        <v>515</v>
      </c>
      <c r="H285" s="4" t="s">
        <v>565</v>
      </c>
    </row>
    <row r="286" ht="15.75" customHeight="1">
      <c r="A286" s="29">
        <v>46314.508340879634</v>
      </c>
      <c r="B286" s="30">
        <v>2369641.0</v>
      </c>
      <c r="C286" s="4" t="s">
        <v>394</v>
      </c>
      <c r="D286" s="4" t="s">
        <v>395</v>
      </c>
      <c r="E286" s="4" t="s">
        <v>357</v>
      </c>
      <c r="F286" s="4" t="s">
        <v>522</v>
      </c>
      <c r="G286" s="4" t="s">
        <v>309</v>
      </c>
      <c r="H286" s="4" t="s">
        <v>565</v>
      </c>
    </row>
    <row r="287" ht="15.75" customHeight="1">
      <c r="A287" s="29">
        <v>46314.508348414354</v>
      </c>
      <c r="B287" s="30">
        <v>2369641.0</v>
      </c>
      <c r="C287" s="4" t="s">
        <v>394</v>
      </c>
      <c r="D287" s="4" t="s">
        <v>395</v>
      </c>
      <c r="E287" s="4" t="s">
        <v>357</v>
      </c>
      <c r="F287" s="4" t="s">
        <v>517</v>
      </c>
      <c r="G287" s="4" t="s">
        <v>309</v>
      </c>
      <c r="H287" s="4" t="s">
        <v>565</v>
      </c>
    </row>
    <row r="288" ht="15.75" customHeight="1">
      <c r="A288" s="29">
        <v>46314.51100486111</v>
      </c>
      <c r="B288" s="30">
        <v>3852423.0</v>
      </c>
      <c r="C288" s="4" t="s">
        <v>406</v>
      </c>
      <c r="D288" s="4" t="s">
        <v>407</v>
      </c>
      <c r="E288" s="4" t="s">
        <v>357</v>
      </c>
      <c r="F288" s="4" t="s">
        <v>514</v>
      </c>
      <c r="G288" s="4" t="s">
        <v>515</v>
      </c>
      <c r="H288" s="4" t="s">
        <v>565</v>
      </c>
    </row>
    <row r="289" ht="15.75" customHeight="1">
      <c r="A289" s="29">
        <v>46314.51151439815</v>
      </c>
      <c r="B289" s="30">
        <v>3852423.0</v>
      </c>
      <c r="C289" s="4" t="s">
        <v>406</v>
      </c>
      <c r="D289" s="4" t="s">
        <v>407</v>
      </c>
      <c r="E289" s="4" t="s">
        <v>357</v>
      </c>
      <c r="F289" s="4" t="s">
        <v>522</v>
      </c>
      <c r="G289" s="4" t="s">
        <v>309</v>
      </c>
      <c r="H289" s="4" t="s">
        <v>565</v>
      </c>
    </row>
    <row r="290" ht="15.75" customHeight="1">
      <c r="A290" s="29">
        <v>46314.51152185185</v>
      </c>
      <c r="B290" s="30">
        <v>3852423.0</v>
      </c>
      <c r="C290" s="4" t="s">
        <v>406</v>
      </c>
      <c r="D290" s="4" t="s">
        <v>407</v>
      </c>
      <c r="E290" s="4" t="s">
        <v>357</v>
      </c>
      <c r="F290" s="4" t="s">
        <v>517</v>
      </c>
      <c r="G290" s="4" t="s">
        <v>309</v>
      </c>
      <c r="H290" s="4" t="s">
        <v>565</v>
      </c>
    </row>
    <row r="291" ht="15.75" customHeight="1">
      <c r="A291" s="29">
        <v>46314.543262175925</v>
      </c>
      <c r="B291" s="30">
        <v>2369624.0</v>
      </c>
      <c r="C291" s="4" t="s">
        <v>398</v>
      </c>
      <c r="D291" s="4" t="s">
        <v>399</v>
      </c>
      <c r="E291" s="4" t="s">
        <v>357</v>
      </c>
      <c r="F291" s="4" t="s">
        <v>514</v>
      </c>
      <c r="G291" s="4" t="s">
        <v>515</v>
      </c>
      <c r="H291" s="4" t="s">
        <v>516</v>
      </c>
    </row>
    <row r="292" ht="15.75" customHeight="1">
      <c r="A292" s="29">
        <v>46314.543676180554</v>
      </c>
      <c r="B292" s="30">
        <v>2369624.0</v>
      </c>
      <c r="C292" s="4" t="s">
        <v>398</v>
      </c>
      <c r="D292" s="4" t="s">
        <v>399</v>
      </c>
      <c r="E292" s="4" t="s">
        <v>357</v>
      </c>
      <c r="F292" s="4" t="s">
        <v>522</v>
      </c>
      <c r="G292" s="4" t="s">
        <v>309</v>
      </c>
      <c r="H292" s="4" t="s">
        <v>516</v>
      </c>
    </row>
    <row r="293" ht="15.75" customHeight="1">
      <c r="A293" s="29">
        <v>46314.543687314814</v>
      </c>
      <c r="B293" s="30">
        <v>2369624.0</v>
      </c>
      <c r="C293" s="4" t="s">
        <v>398</v>
      </c>
      <c r="D293" s="4" t="s">
        <v>399</v>
      </c>
      <c r="E293" s="4" t="s">
        <v>357</v>
      </c>
      <c r="F293" s="4" t="s">
        <v>517</v>
      </c>
      <c r="G293" s="4" t="s">
        <v>309</v>
      </c>
      <c r="H293" s="4" t="s">
        <v>516</v>
      </c>
    </row>
    <row r="294" ht="15.75" customHeight="1">
      <c r="A294" s="29">
        <v>46314.66235425926</v>
      </c>
      <c r="B294" s="30">
        <v>3217561.0</v>
      </c>
      <c r="C294" s="4" t="s">
        <v>86</v>
      </c>
      <c r="D294" s="4" t="s">
        <v>383</v>
      </c>
      <c r="E294" s="4" t="s">
        <v>357</v>
      </c>
      <c r="F294" s="4" t="s">
        <v>514</v>
      </c>
      <c r="G294" s="4" t="s">
        <v>523</v>
      </c>
      <c r="H294" s="4" t="s">
        <v>521</v>
      </c>
    </row>
    <row r="295" ht="15.75" customHeight="1">
      <c r="A295" s="29">
        <v>46314.67633065972</v>
      </c>
      <c r="B295" s="30">
        <v>71348.0</v>
      </c>
      <c r="C295" s="4" t="s">
        <v>385</v>
      </c>
      <c r="D295" s="4" t="s">
        <v>386</v>
      </c>
      <c r="E295" s="4" t="s">
        <v>357</v>
      </c>
      <c r="F295" s="4" t="s">
        <v>518</v>
      </c>
      <c r="G295" s="4" t="s">
        <v>555</v>
      </c>
    </row>
    <row r="296" ht="15.75" customHeight="1">
      <c r="A296" s="29">
        <v>46314.67988733796</v>
      </c>
      <c r="B296" s="30">
        <v>31096.0</v>
      </c>
      <c r="C296" s="4" t="s">
        <v>447</v>
      </c>
      <c r="D296" s="4" t="s">
        <v>449</v>
      </c>
      <c r="E296" s="4" t="s">
        <v>435</v>
      </c>
      <c r="F296" s="4" t="s">
        <v>517</v>
      </c>
      <c r="G296" s="4" t="s">
        <v>309</v>
      </c>
      <c r="H296" s="4" t="s">
        <v>565</v>
      </c>
    </row>
    <row r="297" ht="15.75" customHeight="1">
      <c r="A297" s="29">
        <v>46314.68689815972</v>
      </c>
      <c r="B297" s="30">
        <v>3217561.0</v>
      </c>
      <c r="C297" s="4" t="s">
        <v>86</v>
      </c>
      <c r="D297" s="4" t="s">
        <v>383</v>
      </c>
      <c r="E297" s="4" t="s">
        <v>357</v>
      </c>
      <c r="F297" s="4" t="s">
        <v>518</v>
      </c>
      <c r="G297" s="4" t="s">
        <v>555</v>
      </c>
    </row>
    <row r="298" ht="15.75" customHeight="1">
      <c r="A298" s="29">
        <v>46314.687001238424</v>
      </c>
      <c r="B298" s="30">
        <v>3217561.0</v>
      </c>
      <c r="C298" s="4" t="s">
        <v>86</v>
      </c>
      <c r="D298" s="4" t="s">
        <v>383</v>
      </c>
      <c r="E298" s="4" t="s">
        <v>357</v>
      </c>
      <c r="F298" s="4" t="s">
        <v>514</v>
      </c>
      <c r="G298" s="4" t="s">
        <v>523</v>
      </c>
      <c r="H298" s="4" t="s">
        <v>521</v>
      </c>
    </row>
    <row r="299" ht="15.75" customHeight="1">
      <c r="A299" s="29">
        <v>46314.688984305554</v>
      </c>
      <c r="B299" s="30">
        <v>3217561.0</v>
      </c>
      <c r="C299" s="4" t="s">
        <v>86</v>
      </c>
      <c r="D299" s="4" t="s">
        <v>383</v>
      </c>
      <c r="E299" s="4" t="s">
        <v>357</v>
      </c>
      <c r="F299" s="4" t="s">
        <v>587</v>
      </c>
      <c r="G299" s="4" t="s">
        <v>309</v>
      </c>
      <c r="H299" s="4" t="s">
        <v>521</v>
      </c>
    </row>
    <row r="300" ht="15.75" customHeight="1">
      <c r="A300" s="29">
        <v>46314.68899660879</v>
      </c>
      <c r="B300" s="30">
        <v>3217561.0</v>
      </c>
      <c r="C300" s="4" t="s">
        <v>86</v>
      </c>
      <c r="D300" s="4" t="s">
        <v>383</v>
      </c>
      <c r="E300" s="4" t="s">
        <v>357</v>
      </c>
      <c r="F300" s="4" t="s">
        <v>517</v>
      </c>
      <c r="G300" s="4" t="s">
        <v>309</v>
      </c>
      <c r="H300" s="4" t="s">
        <v>521</v>
      </c>
    </row>
    <row r="301" ht="15.75" customHeight="1">
      <c r="A301" s="29">
        <v>46314.689111898144</v>
      </c>
      <c r="B301" s="30">
        <v>2369641.0</v>
      </c>
      <c r="C301" s="4" t="s">
        <v>394</v>
      </c>
      <c r="D301" s="4" t="s">
        <v>395</v>
      </c>
      <c r="E301" s="4" t="s">
        <v>357</v>
      </c>
      <c r="F301" s="4" t="s">
        <v>517</v>
      </c>
      <c r="G301" s="4" t="s">
        <v>309</v>
      </c>
      <c r="H301" s="4" t="s">
        <v>565</v>
      </c>
    </row>
    <row r="302" ht="15.75" customHeight="1">
      <c r="A302" s="29">
        <v>46314.68989886574</v>
      </c>
      <c r="B302" s="30">
        <v>3217561.0</v>
      </c>
      <c r="C302" s="4" t="s">
        <v>86</v>
      </c>
      <c r="D302" s="4" t="s">
        <v>383</v>
      </c>
      <c r="E302" s="4" t="s">
        <v>357</v>
      </c>
      <c r="F302" s="4" t="s">
        <v>539</v>
      </c>
      <c r="G302" s="4" t="s">
        <v>588</v>
      </c>
      <c r="H302" s="4" t="s">
        <v>521</v>
      </c>
    </row>
    <row r="303" ht="15.75" customHeight="1">
      <c r="A303" s="29">
        <v>46314.69264663194</v>
      </c>
      <c r="B303" s="30">
        <v>2823133.0</v>
      </c>
      <c r="C303" s="4" t="s">
        <v>88</v>
      </c>
      <c r="D303" s="4" t="s">
        <v>412</v>
      </c>
      <c r="E303" s="4" t="s">
        <v>357</v>
      </c>
      <c r="F303" s="4" t="s">
        <v>517</v>
      </c>
      <c r="G303" s="4" t="s">
        <v>309</v>
      </c>
      <c r="H303" s="4" t="s">
        <v>521</v>
      </c>
    </row>
    <row r="304" ht="15.75" customHeight="1">
      <c r="A304" s="29">
        <v>46314.693243472226</v>
      </c>
      <c r="B304" s="30">
        <v>2823133.0</v>
      </c>
      <c r="C304" s="4" t="s">
        <v>88</v>
      </c>
      <c r="D304" s="4" t="s">
        <v>412</v>
      </c>
      <c r="E304" s="4" t="s">
        <v>357</v>
      </c>
      <c r="F304" s="4" t="s">
        <v>544</v>
      </c>
      <c r="G304" s="4" t="s">
        <v>589</v>
      </c>
      <c r="H304" s="4" t="s">
        <v>521</v>
      </c>
    </row>
    <row r="305" ht="15.75" customHeight="1">
      <c r="A305" s="29">
        <v>46314.69608152778</v>
      </c>
      <c r="B305" s="30">
        <v>3194152.0</v>
      </c>
      <c r="C305" s="4" t="s">
        <v>93</v>
      </c>
      <c r="D305" s="4" t="s">
        <v>462</v>
      </c>
      <c r="E305" s="4" t="s">
        <v>435</v>
      </c>
      <c r="F305" s="4" t="s">
        <v>563</v>
      </c>
      <c r="G305" s="4" t="s">
        <v>590</v>
      </c>
    </row>
    <row r="306" ht="15.75" customHeight="1">
      <c r="A306" s="29">
        <v>46314.71043623843</v>
      </c>
      <c r="B306" s="30">
        <v>31096.0</v>
      </c>
      <c r="C306" s="4" t="s">
        <v>447</v>
      </c>
      <c r="D306" s="4" t="s">
        <v>449</v>
      </c>
      <c r="E306" s="4" t="s">
        <v>435</v>
      </c>
      <c r="F306" s="4" t="s">
        <v>517</v>
      </c>
      <c r="G306" s="4" t="s">
        <v>309</v>
      </c>
      <c r="H306" s="4" t="s">
        <v>565</v>
      </c>
    </row>
    <row r="307" ht="15.75" customHeight="1">
      <c r="A307" s="29">
        <v>46314.731188460646</v>
      </c>
      <c r="B307" s="30">
        <v>31096.0</v>
      </c>
      <c r="C307" s="4" t="s">
        <v>447</v>
      </c>
      <c r="D307" s="4" t="s">
        <v>449</v>
      </c>
      <c r="E307" s="4" t="s">
        <v>435</v>
      </c>
      <c r="F307" s="4" t="s">
        <v>517</v>
      </c>
      <c r="G307" s="4" t="s">
        <v>309</v>
      </c>
      <c r="H307" s="4" t="s">
        <v>565</v>
      </c>
    </row>
    <row r="308" ht="15.75" customHeight="1">
      <c r="A308" s="29">
        <v>46315.227999027775</v>
      </c>
      <c r="B308" s="30">
        <v>2604360.0</v>
      </c>
      <c r="C308" s="4" t="s">
        <v>409</v>
      </c>
      <c r="D308" s="4" t="s">
        <v>410</v>
      </c>
      <c r="E308" s="4" t="s">
        <v>357</v>
      </c>
      <c r="F308" s="4" t="s">
        <v>517</v>
      </c>
      <c r="G308" s="4" t="s">
        <v>309</v>
      </c>
      <c r="H308" s="4" t="s">
        <v>565</v>
      </c>
    </row>
    <row r="309" ht="15.75" customHeight="1">
      <c r="A309" s="29">
        <v>46315.41084055556</v>
      </c>
      <c r="B309" s="30">
        <v>31096.0</v>
      </c>
      <c r="C309" s="4" t="s">
        <v>447</v>
      </c>
      <c r="D309" s="4" t="s">
        <v>449</v>
      </c>
      <c r="E309" s="4" t="s">
        <v>435</v>
      </c>
      <c r="F309" s="4" t="s">
        <v>517</v>
      </c>
      <c r="G309" s="4" t="s">
        <v>309</v>
      </c>
      <c r="H309" s="4" t="s">
        <v>565</v>
      </c>
    </row>
    <row r="310" ht="15.75" customHeight="1">
      <c r="A310" s="29">
        <v>46315.556407638884</v>
      </c>
      <c r="B310" s="30">
        <v>3194152.0</v>
      </c>
      <c r="C310" s="4" t="s">
        <v>93</v>
      </c>
      <c r="D310" s="4" t="s">
        <v>462</v>
      </c>
      <c r="E310" s="4" t="s">
        <v>435</v>
      </c>
      <c r="F310" s="4" t="s">
        <v>557</v>
      </c>
      <c r="G310" s="4" t="s">
        <v>591</v>
      </c>
    </row>
    <row r="311" ht="15.75" customHeight="1">
      <c r="A311" s="29">
        <v>46315.55797905092</v>
      </c>
      <c r="B311" s="30">
        <v>3194152.0</v>
      </c>
      <c r="C311" s="4" t="s">
        <v>93</v>
      </c>
      <c r="D311" s="4" t="s">
        <v>462</v>
      </c>
      <c r="E311" s="4" t="s">
        <v>435</v>
      </c>
      <c r="F311" s="4" t="s">
        <v>566</v>
      </c>
      <c r="G311" s="4" t="s">
        <v>590</v>
      </c>
    </row>
    <row r="312" ht="15.75" customHeight="1">
      <c r="A312" s="29">
        <v>46315.559937812504</v>
      </c>
      <c r="B312" s="30">
        <v>31096.0</v>
      </c>
      <c r="C312" s="4" t="s">
        <v>447</v>
      </c>
      <c r="D312" s="4" t="s">
        <v>449</v>
      </c>
      <c r="E312" s="4" t="s">
        <v>435</v>
      </c>
      <c r="F312" s="4" t="s">
        <v>517</v>
      </c>
      <c r="G312" s="4" t="s">
        <v>309</v>
      </c>
      <c r="H312" s="4" t="s">
        <v>516</v>
      </c>
    </row>
    <row r="313" ht="15.75" customHeight="1">
      <c r="A313" s="29">
        <v>46315.67328113426</v>
      </c>
      <c r="B313" s="30" t="s">
        <v>573</v>
      </c>
      <c r="F313" s="4" t="s">
        <v>514</v>
      </c>
      <c r="G313" s="4" t="s">
        <v>574</v>
      </c>
      <c r="H313" s="4" t="s">
        <v>565</v>
      </c>
    </row>
    <row r="314" ht="15.75" customHeight="1">
      <c r="A314" s="29">
        <v>46315.67376902778</v>
      </c>
      <c r="B314" s="30" t="s">
        <v>592</v>
      </c>
      <c r="F314" s="4" t="s">
        <v>514</v>
      </c>
      <c r="G314" s="4" t="s">
        <v>574</v>
      </c>
      <c r="H314" s="4" t="s">
        <v>565</v>
      </c>
    </row>
    <row r="315" ht="15.75" customHeight="1">
      <c r="A315" s="29">
        <v>46315.67403928241</v>
      </c>
      <c r="B315" s="30">
        <v>2440915.0</v>
      </c>
      <c r="C315" s="4" t="s">
        <v>420</v>
      </c>
      <c r="D315" s="4" t="s">
        <v>421</v>
      </c>
      <c r="E315" s="4" t="s">
        <v>357</v>
      </c>
      <c r="F315" s="4" t="s">
        <v>517</v>
      </c>
      <c r="G315" s="4" t="s">
        <v>309</v>
      </c>
      <c r="H315" s="4" t="s">
        <v>565</v>
      </c>
    </row>
    <row r="316" ht="15.75" customHeight="1">
      <c r="A316" s="29">
        <v>46316.45035979166</v>
      </c>
      <c r="B316" s="30" t="s">
        <v>593</v>
      </c>
      <c r="F316" s="4" t="s">
        <v>514</v>
      </c>
      <c r="G316" s="4" t="s">
        <v>574</v>
      </c>
      <c r="H316" s="4" t="s">
        <v>516</v>
      </c>
    </row>
    <row r="317" ht="15.75" customHeight="1">
      <c r="A317" s="29">
        <v>46316.450628148144</v>
      </c>
      <c r="B317" s="30">
        <v>2415373.0</v>
      </c>
      <c r="F317" s="4" t="s">
        <v>514</v>
      </c>
      <c r="G317" s="4" t="s">
        <v>574</v>
      </c>
      <c r="H317" s="4" t="s">
        <v>516</v>
      </c>
    </row>
    <row r="318" ht="15.75" customHeight="1">
      <c r="A318" s="29">
        <v>46316.45085721065</v>
      </c>
      <c r="B318" s="30">
        <v>2415373.0</v>
      </c>
      <c r="C318" s="4" t="s">
        <v>417</v>
      </c>
      <c r="D318" s="4" t="s">
        <v>418</v>
      </c>
      <c r="E318" s="4" t="s">
        <v>357</v>
      </c>
      <c r="F318" s="4" t="s">
        <v>514</v>
      </c>
      <c r="G318" s="4" t="s">
        <v>523</v>
      </c>
      <c r="H318" s="4" t="s">
        <v>516</v>
      </c>
    </row>
    <row r="319" ht="15.75" customHeight="1">
      <c r="A319" s="29">
        <v>46316.45129707176</v>
      </c>
      <c r="B319" s="30">
        <v>2415373.0</v>
      </c>
      <c r="C319" s="4" t="s">
        <v>417</v>
      </c>
      <c r="D319" s="4" t="s">
        <v>418</v>
      </c>
      <c r="E319" s="4" t="s">
        <v>357</v>
      </c>
      <c r="F319" s="4" t="s">
        <v>514</v>
      </c>
      <c r="G319" s="4" t="s">
        <v>523</v>
      </c>
      <c r="H319" s="4" t="s">
        <v>516</v>
      </c>
    </row>
    <row r="320" ht="15.75" customHeight="1">
      <c r="A320" s="29">
        <v>46316.45168866898</v>
      </c>
      <c r="B320" s="30">
        <v>2415373.0</v>
      </c>
      <c r="C320" s="4" t="s">
        <v>417</v>
      </c>
      <c r="D320" s="4" t="s">
        <v>418</v>
      </c>
      <c r="E320" s="4" t="s">
        <v>357</v>
      </c>
      <c r="F320" s="4" t="s">
        <v>514</v>
      </c>
      <c r="G320" s="4" t="s">
        <v>523</v>
      </c>
      <c r="H320" s="4" t="s">
        <v>516</v>
      </c>
    </row>
    <row r="321" ht="15.75" customHeight="1">
      <c r="A321" s="29">
        <v>46316.451768425926</v>
      </c>
      <c r="B321" s="30">
        <v>2415373.0</v>
      </c>
      <c r="C321" s="4" t="s">
        <v>417</v>
      </c>
      <c r="D321" s="4" t="s">
        <v>418</v>
      </c>
      <c r="E321" s="4" t="s">
        <v>357</v>
      </c>
      <c r="F321" s="4" t="s">
        <v>529</v>
      </c>
      <c r="G321" s="4" t="s">
        <v>309</v>
      </c>
      <c r="H321" s="4" t="s">
        <v>516</v>
      </c>
    </row>
    <row r="322" ht="15.75" customHeight="1">
      <c r="A322" s="29">
        <v>46316.45230416667</v>
      </c>
      <c r="B322" s="30">
        <v>2415373.0</v>
      </c>
      <c r="C322" s="4" t="s">
        <v>417</v>
      </c>
      <c r="D322" s="4" t="s">
        <v>418</v>
      </c>
      <c r="E322" s="4" t="s">
        <v>357</v>
      </c>
      <c r="F322" s="4" t="s">
        <v>587</v>
      </c>
      <c r="G322" s="4" t="s">
        <v>309</v>
      </c>
      <c r="H322" s="4" t="s">
        <v>516</v>
      </c>
    </row>
    <row r="323" ht="15.75" customHeight="1">
      <c r="A323" s="29">
        <v>46316.452317337964</v>
      </c>
      <c r="B323" s="30">
        <v>2415373.0</v>
      </c>
      <c r="C323" s="4" t="s">
        <v>417</v>
      </c>
      <c r="D323" s="4" t="s">
        <v>418</v>
      </c>
      <c r="E323" s="4" t="s">
        <v>357</v>
      </c>
      <c r="F323" s="4" t="s">
        <v>517</v>
      </c>
      <c r="G323" s="4" t="s">
        <v>309</v>
      </c>
      <c r="H323" s="4" t="s">
        <v>516</v>
      </c>
    </row>
    <row r="324" ht="15.75" customHeight="1">
      <c r="A324" s="29">
        <v>46316.46588685185</v>
      </c>
      <c r="B324" s="30">
        <v>2415373.0</v>
      </c>
      <c r="C324" s="4" t="s">
        <v>417</v>
      </c>
      <c r="D324" s="4" t="s">
        <v>418</v>
      </c>
      <c r="E324" s="4" t="s">
        <v>357</v>
      </c>
      <c r="F324" s="4" t="s">
        <v>517</v>
      </c>
      <c r="G324" s="4" t="s">
        <v>309</v>
      </c>
      <c r="H324" s="4" t="s">
        <v>516</v>
      </c>
    </row>
    <row r="325" ht="15.75" customHeight="1">
      <c r="A325" s="29">
        <v>46316.57069006945</v>
      </c>
      <c r="B325" s="30">
        <v>3194152.0</v>
      </c>
      <c r="C325" s="4" t="s">
        <v>93</v>
      </c>
      <c r="D325" s="4" t="s">
        <v>462</v>
      </c>
      <c r="E325" s="4" t="s">
        <v>435</v>
      </c>
      <c r="F325" s="4" t="s">
        <v>517</v>
      </c>
      <c r="G325" s="4" t="s">
        <v>309</v>
      </c>
      <c r="H325" s="4" t="s">
        <v>521</v>
      </c>
    </row>
    <row r="326" ht="15.75" customHeight="1">
      <c r="A326" s="29">
        <v>46316.583524965274</v>
      </c>
      <c r="B326" s="30">
        <v>3796947.0</v>
      </c>
      <c r="C326" s="4" t="s">
        <v>423</v>
      </c>
      <c r="D326" s="4" t="s">
        <v>425</v>
      </c>
      <c r="E326" s="4" t="s">
        <v>357</v>
      </c>
      <c r="F326" s="4" t="s">
        <v>538</v>
      </c>
      <c r="G326" s="4" t="s">
        <v>519</v>
      </c>
    </row>
    <row r="327" ht="15.75" customHeight="1">
      <c r="A327" s="29">
        <v>46316.58393123843</v>
      </c>
      <c r="B327" s="30">
        <v>71348.0</v>
      </c>
      <c r="C327" s="4" t="s">
        <v>385</v>
      </c>
      <c r="D327" s="4" t="s">
        <v>386</v>
      </c>
      <c r="E327" s="4" t="s">
        <v>357</v>
      </c>
      <c r="F327" s="4" t="s">
        <v>538</v>
      </c>
      <c r="G327" s="4" t="s">
        <v>519</v>
      </c>
    </row>
    <row r="328" ht="15.75" customHeight="1">
      <c r="A328" s="29">
        <v>46317.37124245371</v>
      </c>
      <c r="B328" s="30">
        <v>6019028.0</v>
      </c>
      <c r="C328" s="4" t="s">
        <v>432</v>
      </c>
      <c r="D328" s="4" t="s">
        <v>434</v>
      </c>
      <c r="E328" s="4" t="s">
        <v>435</v>
      </c>
      <c r="F328" s="4" t="s">
        <v>557</v>
      </c>
      <c r="G328" s="4" t="s">
        <v>559</v>
      </c>
    </row>
    <row r="329" ht="15.75" customHeight="1">
      <c r="A329" s="32"/>
      <c r="B329" s="24"/>
      <c r="F329" s="25"/>
      <c r="G329" s="25"/>
    </row>
    <row r="330" ht="15.75" customHeight="1">
      <c r="A330" s="32"/>
      <c r="B330" s="24"/>
      <c r="F330" s="25"/>
      <c r="G330" s="25"/>
    </row>
    <row r="331" ht="15.75" customHeight="1">
      <c r="A331" s="32"/>
      <c r="B331" s="24"/>
      <c r="F331" s="25"/>
      <c r="G331" s="25"/>
    </row>
    <row r="332" ht="15.75" customHeight="1">
      <c r="A332" s="32"/>
      <c r="B332" s="24"/>
      <c r="F332" s="25"/>
      <c r="G332" s="25"/>
    </row>
    <row r="333" ht="15.75" customHeight="1">
      <c r="A333" s="32"/>
      <c r="B333" s="24"/>
      <c r="F333" s="25"/>
      <c r="G333" s="25"/>
    </row>
    <row r="334" ht="15.75" customHeight="1">
      <c r="A334" s="32"/>
      <c r="B334" s="24"/>
      <c r="F334" s="25"/>
      <c r="G334" s="25"/>
    </row>
    <row r="335" ht="15.75" customHeight="1">
      <c r="A335" s="32"/>
      <c r="B335" s="24"/>
      <c r="F335" s="25"/>
      <c r="G335" s="25"/>
    </row>
    <row r="336" ht="15.75" customHeight="1">
      <c r="A336" s="32"/>
      <c r="B336" s="24"/>
      <c r="F336" s="25"/>
      <c r="G336" s="25"/>
    </row>
    <row r="337" ht="15.75" customHeight="1">
      <c r="A337" s="32"/>
      <c r="B337" s="24"/>
      <c r="F337" s="25"/>
      <c r="G337" s="25"/>
    </row>
    <row r="338" ht="15.75" customHeight="1">
      <c r="A338" s="32"/>
      <c r="B338" s="24"/>
      <c r="F338" s="25"/>
      <c r="G338" s="25"/>
    </row>
    <row r="339" ht="15.75" customHeight="1">
      <c r="A339" s="32"/>
      <c r="B339" s="24"/>
      <c r="F339" s="25"/>
      <c r="G339" s="25"/>
    </row>
    <row r="340" ht="15.75" customHeight="1">
      <c r="A340" s="32"/>
      <c r="B340" s="24"/>
      <c r="F340" s="25"/>
      <c r="G340" s="25"/>
    </row>
    <row r="341" ht="15.75" customHeight="1">
      <c r="A341" s="32"/>
      <c r="B341" s="24"/>
      <c r="F341" s="25"/>
      <c r="G341" s="25"/>
    </row>
    <row r="342" ht="15.75" customHeight="1">
      <c r="A342" s="32"/>
      <c r="B342" s="24"/>
      <c r="F342" s="25"/>
      <c r="G342" s="25"/>
    </row>
    <row r="343" ht="15.75" customHeight="1">
      <c r="A343" s="32"/>
      <c r="B343" s="24"/>
      <c r="F343" s="25"/>
      <c r="G343" s="25"/>
    </row>
    <row r="344" ht="15.75" customHeight="1">
      <c r="A344" s="32"/>
      <c r="B344" s="24"/>
      <c r="F344" s="25"/>
      <c r="G344" s="25"/>
    </row>
    <row r="345" ht="15.75" customHeight="1">
      <c r="A345" s="32"/>
      <c r="B345" s="24"/>
      <c r="F345" s="25"/>
      <c r="G345" s="25"/>
    </row>
    <row r="346" ht="15.75" customHeight="1">
      <c r="A346" s="32"/>
      <c r="B346" s="24"/>
      <c r="F346" s="25"/>
      <c r="G346" s="25"/>
    </row>
    <row r="347" ht="15.75" customHeight="1">
      <c r="A347" s="32"/>
      <c r="B347" s="24"/>
      <c r="F347" s="25"/>
      <c r="G347" s="25"/>
    </row>
    <row r="348" ht="15.75" customHeight="1">
      <c r="A348" s="32"/>
      <c r="B348" s="24"/>
      <c r="F348" s="25"/>
      <c r="G348" s="25"/>
    </row>
    <row r="349" ht="15.75" customHeight="1">
      <c r="A349" s="32"/>
      <c r="B349" s="24"/>
      <c r="F349" s="25"/>
      <c r="G349" s="25"/>
    </row>
    <row r="350" ht="15.75" customHeight="1">
      <c r="A350" s="32"/>
      <c r="B350" s="24"/>
      <c r="F350" s="25"/>
      <c r="G350" s="25"/>
    </row>
    <row r="351" ht="15.75" customHeight="1">
      <c r="A351" s="32"/>
      <c r="B351" s="24"/>
      <c r="F351" s="25"/>
      <c r="G351" s="25"/>
    </row>
    <row r="352" ht="15.75" customHeight="1">
      <c r="A352" s="32"/>
      <c r="B352" s="24"/>
      <c r="F352" s="25"/>
      <c r="G352" s="25"/>
    </row>
    <row r="353" ht="15.75" customHeight="1">
      <c r="A353" s="32"/>
      <c r="B353" s="24"/>
      <c r="F353" s="25"/>
      <c r="G353" s="25"/>
    </row>
    <row r="354" ht="15.75" customHeight="1">
      <c r="A354" s="32"/>
      <c r="B354" s="24"/>
      <c r="F354" s="25"/>
      <c r="G354" s="25"/>
    </row>
    <row r="355" ht="15.75" customHeight="1">
      <c r="A355" s="32"/>
      <c r="B355" s="24"/>
      <c r="F355" s="25"/>
      <c r="G355" s="25"/>
    </row>
    <row r="356" ht="15.75" customHeight="1">
      <c r="A356" s="32"/>
      <c r="B356" s="24"/>
      <c r="F356" s="25"/>
      <c r="G356" s="25"/>
    </row>
    <row r="357" ht="15.75" customHeight="1">
      <c r="A357" s="32"/>
      <c r="B357" s="24"/>
      <c r="F357" s="25"/>
      <c r="G357" s="25"/>
    </row>
    <row r="358" ht="15.75" customHeight="1">
      <c r="A358" s="32"/>
      <c r="B358" s="24"/>
      <c r="F358" s="25"/>
      <c r="G358" s="25"/>
    </row>
    <row r="359" ht="15.75" customHeight="1">
      <c r="A359" s="32"/>
      <c r="B359" s="24"/>
      <c r="F359" s="25"/>
      <c r="G359" s="25"/>
    </row>
    <row r="360" ht="15.75" customHeight="1">
      <c r="A360" s="32"/>
      <c r="B360" s="24"/>
      <c r="F360" s="25"/>
      <c r="G360" s="25"/>
    </row>
    <row r="361" ht="15.75" customHeight="1">
      <c r="A361" s="32"/>
      <c r="B361" s="24"/>
      <c r="F361" s="25"/>
      <c r="G361" s="25"/>
    </row>
    <row r="362" ht="15.75" customHeight="1">
      <c r="A362" s="32"/>
      <c r="B362" s="24"/>
      <c r="F362" s="25"/>
      <c r="G362" s="25"/>
    </row>
    <row r="363" ht="15.75" customHeight="1">
      <c r="A363" s="32"/>
      <c r="B363" s="24"/>
      <c r="F363" s="25"/>
      <c r="G363" s="25"/>
    </row>
    <row r="364" ht="15.75" customHeight="1">
      <c r="A364" s="32"/>
      <c r="B364" s="24"/>
      <c r="F364" s="25"/>
      <c r="G364" s="25"/>
    </row>
    <row r="365" ht="15.75" customHeight="1">
      <c r="A365" s="32"/>
      <c r="B365" s="24"/>
      <c r="F365" s="25"/>
      <c r="G365" s="25"/>
    </row>
    <row r="366" ht="15.75" customHeight="1">
      <c r="A366" s="32"/>
      <c r="B366" s="24"/>
      <c r="F366" s="25"/>
      <c r="G366" s="25"/>
    </row>
    <row r="367" ht="15.75" customHeight="1">
      <c r="A367" s="32"/>
      <c r="B367" s="24"/>
      <c r="F367" s="25"/>
      <c r="G367" s="25"/>
    </row>
    <row r="368" ht="15.75" customHeight="1">
      <c r="A368" s="32"/>
      <c r="B368" s="24"/>
      <c r="F368" s="25"/>
      <c r="G368" s="25"/>
    </row>
    <row r="369" ht="15.75" customHeight="1">
      <c r="A369" s="32"/>
      <c r="B369" s="24"/>
      <c r="F369" s="25"/>
      <c r="G369" s="25"/>
    </row>
    <row r="370" ht="15.75" customHeight="1">
      <c r="A370" s="32"/>
      <c r="B370" s="24"/>
      <c r="F370" s="25"/>
      <c r="G370" s="25"/>
    </row>
    <row r="371" ht="15.75" customHeight="1">
      <c r="A371" s="32"/>
      <c r="B371" s="24"/>
      <c r="F371" s="25"/>
      <c r="G371" s="25"/>
    </row>
    <row r="372" ht="15.75" customHeight="1">
      <c r="A372" s="32"/>
      <c r="B372" s="24"/>
      <c r="F372" s="25"/>
      <c r="G372" s="25"/>
    </row>
    <row r="373" ht="15.75" customHeight="1">
      <c r="A373" s="32"/>
      <c r="B373" s="24"/>
      <c r="F373" s="25"/>
      <c r="G373" s="25"/>
    </row>
    <row r="374" ht="15.75" customHeight="1">
      <c r="A374" s="32"/>
      <c r="B374" s="24"/>
      <c r="F374" s="25"/>
      <c r="G374" s="25"/>
    </row>
    <row r="375" ht="15.75" customHeight="1">
      <c r="A375" s="32"/>
      <c r="B375" s="24"/>
      <c r="F375" s="25"/>
      <c r="G375" s="25"/>
    </row>
    <row r="376" ht="15.75" customHeight="1">
      <c r="A376" s="32"/>
      <c r="B376" s="24"/>
      <c r="F376" s="25"/>
      <c r="G376" s="25"/>
    </row>
    <row r="377" ht="15.75" customHeight="1">
      <c r="A377" s="32"/>
      <c r="B377" s="24"/>
      <c r="F377" s="25"/>
      <c r="G377" s="25"/>
    </row>
    <row r="378" ht="15.75" customHeight="1">
      <c r="A378" s="32"/>
      <c r="B378" s="24"/>
      <c r="F378" s="25"/>
      <c r="G378" s="25"/>
    </row>
    <row r="379" ht="15.75" customHeight="1">
      <c r="A379" s="32"/>
      <c r="B379" s="24"/>
      <c r="F379" s="25"/>
      <c r="G379" s="25"/>
    </row>
    <row r="380" ht="15.75" customHeight="1">
      <c r="A380" s="32"/>
      <c r="B380" s="24"/>
      <c r="F380" s="25"/>
      <c r="G380" s="25"/>
    </row>
    <row r="381" ht="15.75" customHeight="1">
      <c r="A381" s="32"/>
      <c r="B381" s="24"/>
      <c r="F381" s="25"/>
      <c r="G381" s="25"/>
    </row>
    <row r="382" ht="15.75" customHeight="1">
      <c r="A382" s="32"/>
      <c r="B382" s="24"/>
      <c r="F382" s="25"/>
      <c r="G382" s="25"/>
    </row>
    <row r="383" ht="15.75" customHeight="1">
      <c r="A383" s="32"/>
      <c r="B383" s="24"/>
      <c r="F383" s="25"/>
      <c r="G383" s="25"/>
    </row>
    <row r="384" ht="15.75" customHeight="1">
      <c r="A384" s="32"/>
      <c r="B384" s="24"/>
      <c r="F384" s="25"/>
      <c r="G384" s="25"/>
    </row>
    <row r="385" ht="15.75" customHeight="1">
      <c r="A385" s="32"/>
      <c r="B385" s="24"/>
      <c r="F385" s="25"/>
      <c r="G385" s="25"/>
    </row>
    <row r="386" ht="15.75" customHeight="1">
      <c r="A386" s="32"/>
      <c r="B386" s="24"/>
      <c r="F386" s="25"/>
      <c r="G386" s="25"/>
    </row>
    <row r="387" ht="15.75" customHeight="1">
      <c r="A387" s="32"/>
      <c r="B387" s="24"/>
      <c r="F387" s="25"/>
      <c r="G387" s="25"/>
    </row>
    <row r="388" ht="15.75" customHeight="1">
      <c r="A388" s="32"/>
      <c r="B388" s="24"/>
      <c r="F388" s="25"/>
      <c r="G388" s="25"/>
    </row>
    <row r="389" ht="15.75" customHeight="1">
      <c r="A389" s="32"/>
      <c r="B389" s="24"/>
      <c r="F389" s="25"/>
      <c r="G389" s="25"/>
    </row>
    <row r="390" ht="15.75" customHeight="1">
      <c r="A390" s="32"/>
      <c r="B390" s="24"/>
      <c r="F390" s="25"/>
      <c r="G390" s="25"/>
    </row>
    <row r="391" ht="15.75" customHeight="1">
      <c r="A391" s="32"/>
      <c r="B391" s="24"/>
      <c r="F391" s="25"/>
      <c r="G391" s="25"/>
    </row>
    <row r="392" ht="15.75" customHeight="1">
      <c r="A392" s="32"/>
      <c r="B392" s="24"/>
      <c r="F392" s="25"/>
      <c r="G392" s="25"/>
    </row>
    <row r="393" ht="15.75" customHeight="1">
      <c r="A393" s="32"/>
      <c r="B393" s="24"/>
      <c r="F393" s="25"/>
      <c r="G393" s="25"/>
    </row>
    <row r="394" ht="15.75" customHeight="1">
      <c r="A394" s="32"/>
      <c r="B394" s="24"/>
      <c r="F394" s="25"/>
      <c r="G394" s="25"/>
    </row>
    <row r="395" ht="15.75" customHeight="1">
      <c r="A395" s="32"/>
      <c r="B395" s="24"/>
      <c r="F395" s="25"/>
      <c r="G395" s="25"/>
    </row>
    <row r="396" ht="15.75" customHeight="1">
      <c r="A396" s="32"/>
      <c r="B396" s="24"/>
      <c r="F396" s="25"/>
      <c r="G396" s="25"/>
    </row>
    <row r="397" ht="15.75" customHeight="1">
      <c r="A397" s="32"/>
      <c r="B397" s="24"/>
      <c r="F397" s="25"/>
      <c r="G397" s="25"/>
    </row>
    <row r="398" ht="15.75" customHeight="1">
      <c r="A398" s="32"/>
      <c r="B398" s="24"/>
      <c r="F398" s="25"/>
      <c r="G398" s="25"/>
    </row>
    <row r="399" ht="15.75" customHeight="1">
      <c r="A399" s="32"/>
      <c r="B399" s="24"/>
      <c r="F399" s="25"/>
      <c r="G399" s="25"/>
    </row>
    <row r="400" ht="15.75" customHeight="1">
      <c r="A400" s="32"/>
      <c r="B400" s="24"/>
      <c r="F400" s="25"/>
      <c r="G400" s="25"/>
    </row>
    <row r="401" ht="15.75" customHeight="1">
      <c r="A401" s="32"/>
      <c r="B401" s="24"/>
      <c r="F401" s="25"/>
      <c r="G401" s="25"/>
    </row>
    <row r="402" ht="15.75" customHeight="1">
      <c r="A402" s="32"/>
      <c r="B402" s="24"/>
      <c r="F402" s="25"/>
      <c r="G402" s="25"/>
    </row>
    <row r="403" ht="15.75" customHeight="1">
      <c r="A403" s="32"/>
      <c r="B403" s="24"/>
      <c r="F403" s="25"/>
      <c r="G403" s="25"/>
    </row>
    <row r="404" ht="15.75" customHeight="1">
      <c r="A404" s="32"/>
      <c r="B404" s="24"/>
      <c r="F404" s="25"/>
      <c r="G404" s="25"/>
    </row>
    <row r="405" ht="15.75" customHeight="1">
      <c r="A405" s="32"/>
      <c r="B405" s="24"/>
      <c r="F405" s="25"/>
      <c r="G405" s="25"/>
    </row>
    <row r="406" ht="15.75" customHeight="1">
      <c r="A406" s="32"/>
      <c r="B406" s="24"/>
      <c r="F406" s="25"/>
      <c r="G406" s="25"/>
    </row>
    <row r="407" ht="15.75" customHeight="1">
      <c r="A407" s="32"/>
      <c r="B407" s="24"/>
      <c r="F407" s="25"/>
      <c r="G407" s="25"/>
    </row>
    <row r="408" ht="15.75" customHeight="1">
      <c r="A408" s="32"/>
      <c r="B408" s="24"/>
      <c r="F408" s="25"/>
      <c r="G408" s="25"/>
    </row>
    <row r="409" ht="15.75" customHeight="1">
      <c r="A409" s="32"/>
      <c r="B409" s="24"/>
      <c r="F409" s="25"/>
      <c r="G409" s="25"/>
    </row>
    <row r="410" ht="15.75" customHeight="1">
      <c r="A410" s="32"/>
      <c r="B410" s="24"/>
      <c r="F410" s="25"/>
      <c r="G410" s="25"/>
    </row>
    <row r="411" ht="15.75" customHeight="1">
      <c r="A411" s="32"/>
      <c r="B411" s="24"/>
      <c r="F411" s="25"/>
      <c r="G411" s="25"/>
    </row>
    <row r="412" ht="15.75" customHeight="1">
      <c r="A412" s="32"/>
      <c r="B412" s="24"/>
      <c r="F412" s="25"/>
      <c r="G412" s="25"/>
    </row>
    <row r="413" ht="15.75" customHeight="1">
      <c r="A413" s="32"/>
      <c r="B413" s="24"/>
      <c r="F413" s="25"/>
      <c r="G413" s="25"/>
    </row>
    <row r="414" ht="15.75" customHeight="1">
      <c r="A414" s="32"/>
      <c r="B414" s="24"/>
      <c r="F414" s="25"/>
      <c r="G414" s="25"/>
    </row>
    <row r="415" ht="15.75" customHeight="1">
      <c r="A415" s="32"/>
      <c r="B415" s="24"/>
      <c r="F415" s="25"/>
      <c r="G415" s="25"/>
    </row>
    <row r="416" ht="15.75" customHeight="1">
      <c r="A416" s="32"/>
      <c r="B416" s="24"/>
      <c r="F416" s="25"/>
      <c r="G416" s="25"/>
    </row>
    <row r="417" ht="15.75" customHeight="1">
      <c r="A417" s="32"/>
      <c r="B417" s="24"/>
      <c r="F417" s="25"/>
      <c r="G417" s="25"/>
    </row>
    <row r="418" ht="15.75" customHeight="1">
      <c r="A418" s="32"/>
      <c r="B418" s="24"/>
      <c r="F418" s="25"/>
      <c r="G418" s="25"/>
    </row>
    <row r="419" ht="15.75" customHeight="1">
      <c r="A419" s="32"/>
      <c r="B419" s="24"/>
      <c r="F419" s="25"/>
      <c r="G419" s="25"/>
    </row>
    <row r="420" ht="15.75" customHeight="1">
      <c r="A420" s="32"/>
      <c r="B420" s="24"/>
      <c r="F420" s="25"/>
      <c r="G420" s="25"/>
    </row>
    <row r="421" ht="15.75" customHeight="1">
      <c r="A421" s="32"/>
      <c r="B421" s="24"/>
      <c r="F421" s="25"/>
      <c r="G421" s="25"/>
    </row>
    <row r="422" ht="15.75" customHeight="1">
      <c r="A422" s="32"/>
      <c r="B422" s="24"/>
      <c r="F422" s="25"/>
      <c r="G422" s="25"/>
    </row>
    <row r="423" ht="15.75" customHeight="1">
      <c r="A423" s="32"/>
      <c r="B423" s="24"/>
      <c r="F423" s="25"/>
      <c r="G423" s="25"/>
    </row>
    <row r="424" ht="15.75" customHeight="1">
      <c r="A424" s="32"/>
      <c r="B424" s="24"/>
      <c r="F424" s="25"/>
      <c r="G424" s="25"/>
    </row>
    <row r="425" ht="15.75" customHeight="1">
      <c r="A425" s="32"/>
      <c r="B425" s="24"/>
      <c r="F425" s="25"/>
      <c r="G425" s="25"/>
    </row>
    <row r="426" ht="15.75" customHeight="1">
      <c r="A426" s="32"/>
      <c r="B426" s="24"/>
      <c r="F426" s="25"/>
      <c r="G426" s="25"/>
    </row>
    <row r="427" ht="15.75" customHeight="1">
      <c r="A427" s="32"/>
      <c r="B427" s="24"/>
      <c r="F427" s="25"/>
      <c r="G427" s="25"/>
    </row>
    <row r="428" ht="15.75" customHeight="1">
      <c r="A428" s="32"/>
      <c r="B428" s="24"/>
      <c r="F428" s="25"/>
      <c r="G428" s="25"/>
    </row>
    <row r="429" ht="15.75" customHeight="1">
      <c r="A429" s="32"/>
      <c r="B429" s="24"/>
      <c r="F429" s="25"/>
      <c r="G429" s="25"/>
    </row>
    <row r="430" ht="15.75" customHeight="1">
      <c r="A430" s="32"/>
      <c r="B430" s="24"/>
      <c r="F430" s="25"/>
      <c r="G430" s="25"/>
    </row>
    <row r="431" ht="15.75" customHeight="1">
      <c r="A431" s="32"/>
      <c r="B431" s="24"/>
      <c r="F431" s="25"/>
      <c r="G431" s="25"/>
    </row>
    <row r="432" ht="15.75" customHeight="1">
      <c r="A432" s="32"/>
      <c r="B432" s="24"/>
      <c r="F432" s="25"/>
      <c r="G432" s="25"/>
    </row>
    <row r="433" ht="15.75" customHeight="1">
      <c r="A433" s="32"/>
      <c r="B433" s="24"/>
      <c r="F433" s="25"/>
      <c r="G433" s="25"/>
    </row>
    <row r="434" ht="15.75" customHeight="1">
      <c r="A434" s="32"/>
      <c r="B434" s="24"/>
      <c r="F434" s="25"/>
      <c r="G434" s="25"/>
    </row>
    <row r="435" ht="15.75" customHeight="1">
      <c r="A435" s="32"/>
      <c r="B435" s="24"/>
      <c r="F435" s="25"/>
      <c r="G435" s="25"/>
    </row>
    <row r="436" ht="15.75" customHeight="1">
      <c r="A436" s="32"/>
      <c r="B436" s="24"/>
      <c r="F436" s="25"/>
      <c r="G436" s="25"/>
    </row>
    <row r="437" ht="15.75" customHeight="1">
      <c r="A437" s="32"/>
      <c r="B437" s="24"/>
      <c r="F437" s="25"/>
      <c r="G437" s="25"/>
    </row>
    <row r="438" ht="15.75" customHeight="1">
      <c r="A438" s="32"/>
      <c r="B438" s="24"/>
      <c r="F438" s="25"/>
      <c r="G438" s="25"/>
    </row>
    <row r="439" ht="15.75" customHeight="1">
      <c r="A439" s="32"/>
      <c r="B439" s="24"/>
      <c r="F439" s="25"/>
      <c r="G439" s="25"/>
    </row>
    <row r="440" ht="15.75" customHeight="1">
      <c r="A440" s="32"/>
      <c r="B440" s="24"/>
      <c r="F440" s="25"/>
      <c r="G440" s="25"/>
    </row>
    <row r="441" ht="15.75" customHeight="1">
      <c r="A441" s="32"/>
      <c r="B441" s="24"/>
      <c r="F441" s="25"/>
      <c r="G441" s="25"/>
    </row>
    <row r="442" ht="15.75" customHeight="1">
      <c r="A442" s="32"/>
      <c r="B442" s="24"/>
      <c r="F442" s="25"/>
      <c r="G442" s="25"/>
    </row>
    <row r="443" ht="15.75" customHeight="1">
      <c r="A443" s="32"/>
      <c r="B443" s="24"/>
      <c r="F443" s="25"/>
      <c r="G443" s="25"/>
    </row>
    <row r="444" ht="15.75" customHeight="1">
      <c r="A444" s="32"/>
      <c r="B444" s="24"/>
      <c r="F444" s="25"/>
      <c r="G444" s="25"/>
    </row>
    <row r="445" ht="15.75" customHeight="1">
      <c r="A445" s="32"/>
      <c r="B445" s="24"/>
      <c r="F445" s="25"/>
      <c r="G445" s="25"/>
    </row>
    <row r="446" ht="15.75" customHeight="1">
      <c r="A446" s="32"/>
      <c r="B446" s="24"/>
      <c r="F446" s="25"/>
      <c r="G446" s="25"/>
    </row>
    <row r="447" ht="15.75" customHeight="1">
      <c r="A447" s="32"/>
      <c r="B447" s="24"/>
      <c r="F447" s="25"/>
      <c r="G447" s="25"/>
    </row>
    <row r="448" ht="15.75" customHeight="1">
      <c r="A448" s="32"/>
      <c r="B448" s="24"/>
      <c r="F448" s="25"/>
      <c r="G448" s="25"/>
    </row>
    <row r="449" ht="15.75" customHeight="1">
      <c r="A449" s="32"/>
      <c r="B449" s="24"/>
      <c r="F449" s="25"/>
      <c r="G449" s="25"/>
    </row>
    <row r="450" ht="15.75" customHeight="1">
      <c r="A450" s="32"/>
      <c r="B450" s="24"/>
      <c r="F450" s="25"/>
      <c r="G450" s="25"/>
    </row>
    <row r="451" ht="15.75" customHeight="1">
      <c r="A451" s="32"/>
      <c r="B451" s="24"/>
      <c r="F451" s="25"/>
      <c r="G451" s="25"/>
    </row>
    <row r="452" ht="15.75" customHeight="1">
      <c r="A452" s="32"/>
      <c r="B452" s="24"/>
      <c r="F452" s="25"/>
      <c r="G452" s="25"/>
    </row>
    <row r="453" ht="15.75" customHeight="1">
      <c r="A453" s="32"/>
      <c r="B453" s="24"/>
      <c r="F453" s="25"/>
      <c r="G453" s="25"/>
    </row>
    <row r="454" ht="15.75" customHeight="1">
      <c r="A454" s="32"/>
      <c r="B454" s="24"/>
      <c r="F454" s="25"/>
      <c r="G454" s="25"/>
    </row>
    <row r="455" ht="15.75" customHeight="1">
      <c r="A455" s="32"/>
      <c r="B455" s="24"/>
      <c r="F455" s="25"/>
      <c r="G455" s="25"/>
    </row>
    <row r="456" ht="15.75" customHeight="1">
      <c r="A456" s="32"/>
      <c r="B456" s="24"/>
      <c r="F456" s="25"/>
      <c r="G456" s="25"/>
    </row>
    <row r="457" ht="15.75" customHeight="1">
      <c r="A457" s="32"/>
      <c r="B457" s="24"/>
      <c r="F457" s="25"/>
      <c r="G457" s="25"/>
    </row>
    <row r="458" ht="15.75" customHeight="1">
      <c r="A458" s="32"/>
      <c r="B458" s="24"/>
      <c r="F458" s="25"/>
      <c r="G458" s="25"/>
    </row>
    <row r="459" ht="15.75" customHeight="1">
      <c r="A459" s="32"/>
      <c r="B459" s="24"/>
      <c r="F459" s="25"/>
      <c r="G459" s="25"/>
    </row>
    <row r="460" ht="15.75" customHeight="1">
      <c r="A460" s="32"/>
      <c r="B460" s="24"/>
      <c r="F460" s="25"/>
      <c r="G460" s="25"/>
    </row>
    <row r="461" ht="15.75" customHeight="1">
      <c r="A461" s="32"/>
      <c r="B461" s="24"/>
      <c r="F461" s="25"/>
      <c r="G461" s="25"/>
    </row>
    <row r="462" ht="15.75" customHeight="1">
      <c r="A462" s="32"/>
      <c r="B462" s="24"/>
      <c r="F462" s="25"/>
      <c r="G462" s="25"/>
    </row>
    <row r="463" ht="15.75" customHeight="1">
      <c r="A463" s="32"/>
      <c r="B463" s="24"/>
      <c r="F463" s="25"/>
      <c r="G463" s="25"/>
    </row>
    <row r="464" ht="15.75" customHeight="1">
      <c r="A464" s="32"/>
      <c r="B464" s="24"/>
      <c r="F464" s="25"/>
      <c r="G464" s="25"/>
    </row>
    <row r="465" ht="15.75" customHeight="1">
      <c r="A465" s="32"/>
      <c r="B465" s="24"/>
      <c r="F465" s="25"/>
      <c r="G465" s="25"/>
    </row>
    <row r="466" ht="15.75" customHeight="1">
      <c r="A466" s="32"/>
      <c r="B466" s="24"/>
      <c r="F466" s="25"/>
      <c r="G466" s="25"/>
    </row>
    <row r="467" ht="15.75" customHeight="1">
      <c r="A467" s="32"/>
      <c r="B467" s="24"/>
      <c r="F467" s="25"/>
      <c r="G467" s="25"/>
    </row>
    <row r="468" ht="15.75" customHeight="1">
      <c r="A468" s="32"/>
      <c r="B468" s="24"/>
      <c r="F468" s="25"/>
      <c r="G468" s="25"/>
    </row>
    <row r="469" ht="15.75" customHeight="1">
      <c r="A469" s="32"/>
      <c r="B469" s="24"/>
      <c r="F469" s="25"/>
      <c r="G469" s="25"/>
    </row>
    <row r="470" ht="15.75" customHeight="1">
      <c r="A470" s="32"/>
      <c r="B470" s="24"/>
      <c r="F470" s="25"/>
      <c r="G470" s="25"/>
    </row>
    <row r="471" ht="15.75" customHeight="1">
      <c r="A471" s="32"/>
      <c r="B471" s="24"/>
      <c r="F471" s="25"/>
      <c r="G471" s="25"/>
    </row>
    <row r="472" ht="15.75" customHeight="1">
      <c r="A472" s="32"/>
      <c r="B472" s="24"/>
      <c r="F472" s="25"/>
      <c r="G472" s="25"/>
    </row>
    <row r="473" ht="15.75" customHeight="1">
      <c r="A473" s="32"/>
      <c r="B473" s="24"/>
      <c r="F473" s="25"/>
      <c r="G473" s="25"/>
    </row>
    <row r="474" ht="15.75" customHeight="1">
      <c r="A474" s="32"/>
      <c r="B474" s="24"/>
      <c r="F474" s="25"/>
      <c r="G474" s="25"/>
    </row>
    <row r="475" ht="15.75" customHeight="1">
      <c r="A475" s="32"/>
      <c r="B475" s="24"/>
      <c r="F475" s="25"/>
      <c r="G475" s="25"/>
    </row>
    <row r="476" ht="15.75" customHeight="1">
      <c r="A476" s="32"/>
      <c r="B476" s="24"/>
      <c r="F476" s="25"/>
      <c r="G476" s="25"/>
    </row>
    <row r="477" ht="15.75" customHeight="1">
      <c r="A477" s="32"/>
      <c r="B477" s="24"/>
      <c r="F477" s="25"/>
      <c r="G477" s="25"/>
    </row>
    <row r="478" ht="15.75" customHeight="1">
      <c r="A478" s="32"/>
      <c r="B478" s="24"/>
      <c r="F478" s="25"/>
      <c r="G478" s="25"/>
    </row>
    <row r="479" ht="15.75" customHeight="1">
      <c r="A479" s="32"/>
      <c r="B479" s="24"/>
      <c r="F479" s="25"/>
      <c r="G479" s="25"/>
    </row>
    <row r="480" ht="15.75" customHeight="1">
      <c r="A480" s="32"/>
      <c r="B480" s="24"/>
      <c r="F480" s="25"/>
      <c r="G480" s="25"/>
    </row>
    <row r="481" ht="15.75" customHeight="1">
      <c r="A481" s="32"/>
      <c r="B481" s="24"/>
      <c r="F481" s="25"/>
      <c r="G481" s="25"/>
    </row>
    <row r="482" ht="15.75" customHeight="1">
      <c r="A482" s="32"/>
      <c r="B482" s="24"/>
      <c r="F482" s="25"/>
      <c r="G482" s="25"/>
    </row>
    <row r="483" ht="15.75" customHeight="1">
      <c r="A483" s="32"/>
      <c r="B483" s="24"/>
      <c r="F483" s="25"/>
      <c r="G483" s="25"/>
    </row>
    <row r="484" ht="15.75" customHeight="1">
      <c r="A484" s="32"/>
      <c r="B484" s="24"/>
      <c r="F484" s="25"/>
      <c r="G484" s="25"/>
    </row>
    <row r="485" ht="15.75" customHeight="1">
      <c r="A485" s="32"/>
      <c r="B485" s="24"/>
      <c r="F485" s="25"/>
      <c r="G485" s="25"/>
    </row>
    <row r="486" ht="15.75" customHeight="1">
      <c r="A486" s="32"/>
      <c r="B486" s="24"/>
      <c r="F486" s="25"/>
      <c r="G486" s="25"/>
    </row>
    <row r="487" ht="15.75" customHeight="1">
      <c r="A487" s="32"/>
      <c r="B487" s="24"/>
      <c r="F487" s="25"/>
      <c r="G487" s="25"/>
    </row>
    <row r="488" ht="15.75" customHeight="1">
      <c r="A488" s="32"/>
      <c r="B488" s="24"/>
      <c r="F488" s="25"/>
      <c r="G488" s="25"/>
    </row>
    <row r="489" ht="15.75" customHeight="1">
      <c r="A489" s="32"/>
      <c r="B489" s="24"/>
      <c r="F489" s="25"/>
      <c r="G489" s="25"/>
    </row>
    <row r="490" ht="15.75" customHeight="1">
      <c r="A490" s="32"/>
      <c r="B490" s="24"/>
      <c r="F490" s="25"/>
      <c r="G490" s="25"/>
    </row>
    <row r="491" ht="15.75" customHeight="1">
      <c r="A491" s="32"/>
      <c r="B491" s="24"/>
      <c r="F491" s="25"/>
      <c r="G491" s="25"/>
    </row>
    <row r="492" ht="15.75" customHeight="1">
      <c r="A492" s="32"/>
      <c r="B492" s="24"/>
      <c r="F492" s="25"/>
      <c r="G492" s="25"/>
    </row>
    <row r="493" ht="15.75" customHeight="1">
      <c r="A493" s="32"/>
      <c r="B493" s="24"/>
      <c r="F493" s="25"/>
      <c r="G493" s="25"/>
    </row>
    <row r="494" ht="15.75" customHeight="1">
      <c r="A494" s="32"/>
      <c r="B494" s="24"/>
      <c r="F494" s="25"/>
      <c r="G494" s="25"/>
    </row>
    <row r="495" ht="15.75" customHeight="1">
      <c r="A495" s="32"/>
      <c r="B495" s="24"/>
      <c r="F495" s="25"/>
      <c r="G495" s="25"/>
    </row>
    <row r="496" ht="15.75" customHeight="1">
      <c r="A496" s="32"/>
      <c r="B496" s="24"/>
      <c r="F496" s="25"/>
      <c r="G496" s="25"/>
    </row>
    <row r="497" ht="15.75" customHeight="1">
      <c r="A497" s="32"/>
      <c r="B497" s="24"/>
      <c r="F497" s="25"/>
      <c r="G497" s="25"/>
    </row>
    <row r="498" ht="15.75" customHeight="1">
      <c r="A498" s="32"/>
      <c r="B498" s="24"/>
      <c r="F498" s="25"/>
      <c r="G498" s="25"/>
    </row>
    <row r="499" ht="15.75" customHeight="1">
      <c r="A499" s="32"/>
      <c r="B499" s="24"/>
      <c r="F499" s="25"/>
      <c r="G499" s="25"/>
    </row>
    <row r="500" ht="15.75" customHeight="1">
      <c r="A500" s="32"/>
      <c r="B500" s="24"/>
      <c r="F500" s="25"/>
      <c r="G500" s="25"/>
    </row>
    <row r="501" ht="15.75" customHeight="1">
      <c r="A501" s="32"/>
      <c r="B501" s="24"/>
    </row>
    <row r="502" ht="15.75" customHeight="1">
      <c r="A502" s="32"/>
      <c r="B502" s="24"/>
    </row>
    <row r="503" ht="15.75" customHeight="1">
      <c r="A503" s="32"/>
      <c r="B503" s="24"/>
    </row>
    <row r="504" ht="15.75" customHeight="1">
      <c r="A504" s="32"/>
      <c r="B504" s="24"/>
    </row>
    <row r="505" ht="15.75" customHeight="1">
      <c r="A505" s="32"/>
      <c r="B505" s="24"/>
    </row>
    <row r="506" ht="15.75" customHeight="1">
      <c r="A506" s="32"/>
      <c r="B506" s="24"/>
    </row>
    <row r="507" ht="15.75" customHeight="1">
      <c r="A507" s="32"/>
      <c r="B507" s="24"/>
    </row>
    <row r="508" ht="15.75" customHeight="1">
      <c r="A508" s="32"/>
      <c r="B508" s="24"/>
    </row>
    <row r="509" ht="15.75" customHeight="1">
      <c r="A509" s="32"/>
      <c r="B509" s="24"/>
    </row>
    <row r="510" ht="15.75" customHeight="1">
      <c r="A510" s="32"/>
      <c r="B510" s="24"/>
    </row>
    <row r="511" ht="15.75" customHeight="1">
      <c r="A511" s="32"/>
      <c r="B511" s="24"/>
    </row>
    <row r="512" ht="15.75" customHeight="1">
      <c r="A512" s="32"/>
      <c r="B512" s="24"/>
    </row>
    <row r="513" ht="15.75" customHeight="1">
      <c r="A513" s="32"/>
      <c r="B513" s="24"/>
    </row>
    <row r="514" ht="15.75" customHeight="1">
      <c r="A514" s="32"/>
      <c r="B514" s="24"/>
    </row>
    <row r="515" ht="15.75" customHeight="1">
      <c r="A515" s="32"/>
      <c r="B515" s="24"/>
    </row>
    <row r="516" ht="15.75" customHeight="1">
      <c r="A516" s="32"/>
      <c r="B516" s="24"/>
    </row>
    <row r="517" ht="15.75" customHeight="1">
      <c r="A517" s="32"/>
      <c r="B517" s="24"/>
    </row>
    <row r="518" ht="15.75" customHeight="1">
      <c r="A518" s="32"/>
      <c r="B518" s="24"/>
    </row>
    <row r="519" ht="15.75" customHeight="1">
      <c r="A519" s="32"/>
      <c r="B519" s="24"/>
    </row>
    <row r="520" ht="15.75" customHeight="1">
      <c r="A520" s="32"/>
      <c r="B520" s="24"/>
    </row>
    <row r="521" ht="15.75" customHeight="1">
      <c r="A521" s="32"/>
      <c r="B521" s="24"/>
    </row>
    <row r="522" ht="15.75" customHeight="1">
      <c r="A522" s="32"/>
      <c r="B522" s="24"/>
    </row>
    <row r="523" ht="15.75" customHeight="1">
      <c r="A523" s="32"/>
      <c r="B523" s="24"/>
    </row>
    <row r="524" ht="15.75" customHeight="1">
      <c r="A524" s="32"/>
      <c r="B524" s="24"/>
    </row>
    <row r="525" ht="15.75" customHeight="1">
      <c r="A525" s="32"/>
      <c r="B525" s="24"/>
    </row>
    <row r="526" ht="15.75" customHeight="1">
      <c r="A526" s="32"/>
      <c r="B526" s="24"/>
    </row>
    <row r="527" ht="15.75" customHeight="1">
      <c r="A527" s="32"/>
      <c r="B527" s="24"/>
    </row>
    <row r="528" ht="15.75" customHeight="1">
      <c r="A528" s="32"/>
      <c r="B528" s="24"/>
    </row>
    <row r="529" ht="15.75" customHeight="1">
      <c r="A529" s="32"/>
      <c r="B529" s="24"/>
    </row>
    <row r="530" ht="15.75" customHeight="1">
      <c r="A530" s="32"/>
      <c r="B530" s="24"/>
    </row>
    <row r="531" ht="15.75" customHeight="1">
      <c r="A531" s="32"/>
      <c r="B531" s="24"/>
    </row>
    <row r="532" ht="15.75" customHeight="1">
      <c r="A532" s="32"/>
      <c r="B532" s="24"/>
    </row>
    <row r="533" ht="15.75" customHeight="1">
      <c r="A533" s="32"/>
      <c r="B533" s="24"/>
    </row>
    <row r="534" ht="15.75" customHeight="1">
      <c r="A534" s="32"/>
      <c r="B534" s="24"/>
    </row>
    <row r="535" ht="15.75" customHeight="1">
      <c r="A535" s="32"/>
      <c r="B535" s="24"/>
    </row>
    <row r="536" ht="15.75" customHeight="1">
      <c r="A536" s="32"/>
      <c r="B536" s="24"/>
    </row>
    <row r="537" ht="15.75" customHeight="1">
      <c r="A537" s="32"/>
      <c r="B537" s="24"/>
    </row>
    <row r="538" ht="15.75" customHeight="1">
      <c r="A538" s="32"/>
      <c r="B538" s="24"/>
    </row>
    <row r="539" ht="15.75" customHeight="1">
      <c r="A539" s="32"/>
      <c r="B539" s="24"/>
    </row>
    <row r="540" ht="15.75" customHeight="1">
      <c r="A540" s="32"/>
      <c r="B540" s="24"/>
    </row>
    <row r="541" ht="15.75" customHeight="1">
      <c r="A541" s="32"/>
      <c r="B541" s="24"/>
    </row>
    <row r="542" ht="15.75" customHeight="1">
      <c r="A542" s="32"/>
      <c r="B542" s="24"/>
    </row>
    <row r="543" ht="15.75" customHeight="1">
      <c r="A543" s="32"/>
      <c r="B543" s="24"/>
    </row>
    <row r="544" ht="15.75" customHeight="1">
      <c r="A544" s="32"/>
      <c r="B544" s="24"/>
    </row>
    <row r="545" ht="15.75" customHeight="1">
      <c r="A545" s="32"/>
      <c r="B545" s="24"/>
    </row>
    <row r="546" ht="15.75" customHeight="1">
      <c r="A546" s="32"/>
      <c r="B546" s="24"/>
    </row>
    <row r="547" ht="15.75" customHeight="1">
      <c r="A547" s="32"/>
      <c r="B547" s="24"/>
    </row>
    <row r="548" ht="15.75" customHeight="1">
      <c r="A548" s="32"/>
      <c r="B548" s="24"/>
    </row>
    <row r="549" ht="15.75" customHeight="1">
      <c r="A549" s="32"/>
      <c r="B549" s="24"/>
    </row>
    <row r="550" ht="15.75" customHeight="1">
      <c r="A550" s="32"/>
      <c r="B550" s="24"/>
    </row>
    <row r="551" ht="15.75" customHeight="1">
      <c r="A551" s="32"/>
      <c r="B551" s="24"/>
    </row>
    <row r="552" ht="15.75" customHeight="1">
      <c r="A552" s="32"/>
      <c r="B552" s="24"/>
    </row>
    <row r="553" ht="15.75" customHeight="1">
      <c r="A553" s="32"/>
      <c r="B553" s="24"/>
    </row>
    <row r="554" ht="15.75" customHeight="1">
      <c r="A554" s="32"/>
      <c r="B554" s="24"/>
    </row>
    <row r="555" ht="15.75" customHeight="1">
      <c r="A555" s="32"/>
      <c r="B555" s="24"/>
    </row>
    <row r="556" ht="15.75" customHeight="1">
      <c r="A556" s="32"/>
      <c r="B556" s="24"/>
    </row>
    <row r="557" ht="15.75" customHeight="1">
      <c r="A557" s="32"/>
      <c r="B557" s="24"/>
    </row>
    <row r="558" ht="15.75" customHeight="1">
      <c r="A558" s="32"/>
      <c r="B558" s="24"/>
    </row>
    <row r="559" ht="15.75" customHeight="1">
      <c r="A559" s="32"/>
      <c r="B559" s="24"/>
    </row>
    <row r="560" ht="15.75" customHeight="1">
      <c r="A560" s="32"/>
      <c r="B560" s="24"/>
    </row>
    <row r="561" ht="15.75" customHeight="1">
      <c r="A561" s="32"/>
      <c r="B561" s="24"/>
    </row>
    <row r="562" ht="15.75" customHeight="1">
      <c r="A562" s="32"/>
      <c r="B562" s="24"/>
    </row>
    <row r="563" ht="15.75" customHeight="1">
      <c r="A563" s="32"/>
      <c r="B563" s="24"/>
    </row>
    <row r="564" ht="15.75" customHeight="1">
      <c r="A564" s="32"/>
      <c r="B564" s="24"/>
    </row>
    <row r="565" ht="15.75" customHeight="1">
      <c r="A565" s="32"/>
      <c r="B565" s="24"/>
    </row>
    <row r="566" ht="15.75" customHeight="1">
      <c r="A566" s="32"/>
      <c r="B566" s="24"/>
    </row>
    <row r="567" ht="15.75" customHeight="1">
      <c r="A567" s="32"/>
      <c r="B567" s="24"/>
    </row>
    <row r="568" ht="15.75" customHeight="1">
      <c r="A568" s="32"/>
      <c r="B568" s="24"/>
    </row>
    <row r="569" ht="15.75" customHeight="1">
      <c r="A569" s="32"/>
      <c r="B569" s="24"/>
    </row>
    <row r="570" ht="15.75" customHeight="1">
      <c r="A570" s="32"/>
      <c r="B570" s="24"/>
    </row>
    <row r="571" ht="15.75" customHeight="1">
      <c r="A571" s="32"/>
      <c r="B571" s="24"/>
    </row>
    <row r="572" ht="15.75" customHeight="1">
      <c r="A572" s="32"/>
      <c r="B572" s="24"/>
    </row>
    <row r="573" ht="15.75" customHeight="1">
      <c r="A573" s="32"/>
      <c r="B573" s="24"/>
    </row>
    <row r="574" ht="15.75" customHeight="1">
      <c r="A574" s="32"/>
      <c r="B574" s="24"/>
    </row>
    <row r="575" ht="15.75" customHeight="1">
      <c r="A575" s="32"/>
      <c r="B575" s="24"/>
    </row>
    <row r="576" ht="15.75" customHeight="1">
      <c r="A576" s="32"/>
      <c r="B576" s="24"/>
    </row>
    <row r="577" ht="15.75" customHeight="1">
      <c r="A577" s="32"/>
      <c r="B577" s="24"/>
    </row>
    <row r="578" ht="15.75" customHeight="1">
      <c r="A578" s="32"/>
      <c r="B578" s="24"/>
    </row>
    <row r="579" ht="15.75" customHeight="1">
      <c r="A579" s="32"/>
      <c r="B579" s="24"/>
    </row>
    <row r="580" ht="15.75" customHeight="1">
      <c r="A580" s="32"/>
      <c r="B580" s="24"/>
    </row>
    <row r="581" ht="15.75" customHeight="1">
      <c r="A581" s="32"/>
      <c r="B581" s="24"/>
    </row>
    <row r="582" ht="15.75" customHeight="1">
      <c r="A582" s="32"/>
      <c r="B582" s="24"/>
    </row>
    <row r="583" ht="15.75" customHeight="1">
      <c r="A583" s="32"/>
      <c r="B583" s="24"/>
    </row>
    <row r="584" ht="15.75" customHeight="1">
      <c r="A584" s="32"/>
      <c r="B584" s="24"/>
    </row>
    <row r="585" ht="15.75" customHeight="1">
      <c r="A585" s="32"/>
      <c r="B585" s="24"/>
    </row>
    <row r="586" ht="15.75" customHeight="1">
      <c r="A586" s="32"/>
      <c r="B586" s="24"/>
    </row>
    <row r="587" ht="15.75" customHeight="1">
      <c r="A587" s="32"/>
      <c r="B587" s="24"/>
    </row>
    <row r="588" ht="15.75" customHeight="1">
      <c r="A588" s="32"/>
      <c r="B588" s="24"/>
    </row>
    <row r="589" ht="15.75" customHeight="1">
      <c r="A589" s="32"/>
      <c r="B589" s="24"/>
    </row>
    <row r="590" ht="15.75" customHeight="1">
      <c r="A590" s="32"/>
      <c r="B590" s="24"/>
    </row>
    <row r="591" ht="15.75" customHeight="1">
      <c r="A591" s="32"/>
      <c r="B591" s="24"/>
    </row>
    <row r="592" ht="15.75" customHeight="1">
      <c r="A592" s="32"/>
      <c r="B592" s="24"/>
    </row>
    <row r="593" ht="15.75" customHeight="1">
      <c r="A593" s="32"/>
      <c r="B593" s="24"/>
    </row>
    <row r="594" ht="15.75" customHeight="1">
      <c r="A594" s="32"/>
      <c r="B594" s="24"/>
    </row>
    <row r="595" ht="15.75" customHeight="1">
      <c r="A595" s="32"/>
      <c r="B595" s="24"/>
    </row>
    <row r="596" ht="15.75" customHeight="1">
      <c r="A596" s="32"/>
      <c r="B596" s="24"/>
    </row>
    <row r="597" ht="15.75" customHeight="1">
      <c r="A597" s="32"/>
      <c r="B597" s="24"/>
    </row>
    <row r="598" ht="15.75" customHeight="1">
      <c r="A598" s="32"/>
      <c r="B598" s="24"/>
    </row>
    <row r="599" ht="15.75" customHeight="1">
      <c r="A599" s="32"/>
      <c r="B599" s="24"/>
    </row>
    <row r="600" ht="15.75" customHeight="1">
      <c r="A600" s="32"/>
      <c r="B600" s="24"/>
    </row>
    <row r="601" ht="15.75" customHeight="1">
      <c r="A601" s="32"/>
      <c r="B601" s="24"/>
    </row>
    <row r="602" ht="15.75" customHeight="1">
      <c r="A602" s="32"/>
      <c r="B602" s="24"/>
    </row>
    <row r="603" ht="15.75" customHeight="1">
      <c r="A603" s="32"/>
      <c r="B603" s="24"/>
    </row>
    <row r="604" ht="15.75" customHeight="1">
      <c r="A604" s="32"/>
      <c r="B604" s="24"/>
    </row>
    <row r="605" ht="15.75" customHeight="1">
      <c r="A605" s="32"/>
      <c r="B605" s="24"/>
    </row>
    <row r="606" ht="15.75" customHeight="1">
      <c r="A606" s="32"/>
      <c r="B606" s="24"/>
    </row>
    <row r="607" ht="15.75" customHeight="1">
      <c r="A607" s="32"/>
      <c r="B607" s="24"/>
    </row>
    <row r="608" ht="15.75" customHeight="1">
      <c r="A608" s="32"/>
      <c r="B608" s="24"/>
    </row>
    <row r="609" ht="15.75" customHeight="1">
      <c r="A609" s="32"/>
      <c r="B609" s="24"/>
    </row>
    <row r="610" ht="15.75" customHeight="1">
      <c r="A610" s="32"/>
      <c r="B610" s="24"/>
    </row>
    <row r="611" ht="15.75" customHeight="1">
      <c r="A611" s="32"/>
      <c r="B611" s="24"/>
    </row>
    <row r="612" ht="15.75" customHeight="1">
      <c r="A612" s="32"/>
      <c r="B612" s="24"/>
    </row>
    <row r="613" ht="15.75" customHeight="1">
      <c r="A613" s="32"/>
      <c r="B613" s="24"/>
    </row>
    <row r="614" ht="15.75" customHeight="1">
      <c r="A614" s="32"/>
      <c r="B614" s="24"/>
    </row>
    <row r="615" ht="15.75" customHeight="1">
      <c r="A615" s="32"/>
      <c r="B615" s="24"/>
    </row>
    <row r="616" ht="15.75" customHeight="1">
      <c r="A616" s="32"/>
      <c r="B616" s="24"/>
    </row>
    <row r="617" ht="15.75" customHeight="1">
      <c r="A617" s="32"/>
      <c r="B617" s="24"/>
    </row>
    <row r="618" ht="15.75" customHeight="1">
      <c r="A618" s="32"/>
      <c r="B618" s="24"/>
    </row>
    <row r="619" ht="15.75" customHeight="1">
      <c r="A619" s="32"/>
      <c r="B619" s="24"/>
    </row>
    <row r="620" ht="15.75" customHeight="1">
      <c r="A620" s="32"/>
      <c r="B620" s="24"/>
    </row>
    <row r="621" ht="15.75" customHeight="1">
      <c r="A621" s="32"/>
      <c r="B621" s="24"/>
    </row>
    <row r="622" ht="15.75" customHeight="1">
      <c r="A622" s="32"/>
      <c r="B622" s="24"/>
    </row>
    <row r="623" ht="15.75" customHeight="1">
      <c r="A623" s="32"/>
      <c r="B623" s="24"/>
    </row>
    <row r="624" ht="15.75" customHeight="1">
      <c r="A624" s="32"/>
      <c r="B624" s="24"/>
    </row>
    <row r="625" ht="15.75" customHeight="1">
      <c r="A625" s="32"/>
      <c r="B625" s="24"/>
    </row>
    <row r="626" ht="15.75" customHeight="1">
      <c r="A626" s="32"/>
      <c r="B626" s="24"/>
    </row>
    <row r="627" ht="15.75" customHeight="1">
      <c r="A627" s="32"/>
      <c r="B627" s="24"/>
    </row>
    <row r="628" ht="15.75" customHeight="1">
      <c r="A628" s="32"/>
      <c r="B628" s="24"/>
    </row>
    <row r="629" ht="15.75" customHeight="1">
      <c r="A629" s="32"/>
      <c r="B629" s="24"/>
    </row>
    <row r="630" ht="15.75" customHeight="1">
      <c r="A630" s="32"/>
      <c r="B630" s="24"/>
    </row>
    <row r="631" ht="15.75" customHeight="1">
      <c r="A631" s="32"/>
      <c r="B631" s="24"/>
    </row>
    <row r="632" ht="15.75" customHeight="1">
      <c r="A632" s="32"/>
      <c r="B632" s="24"/>
    </row>
    <row r="633" ht="15.75" customHeight="1">
      <c r="A633" s="32"/>
      <c r="B633" s="24"/>
    </row>
    <row r="634" ht="15.75" customHeight="1">
      <c r="A634" s="32"/>
      <c r="B634" s="24"/>
    </row>
    <row r="635" ht="15.75" customHeight="1">
      <c r="A635" s="32"/>
      <c r="B635" s="24"/>
    </row>
    <row r="636" ht="15.75" customHeight="1">
      <c r="A636" s="32"/>
      <c r="B636" s="24"/>
    </row>
    <row r="637" ht="15.75" customHeight="1">
      <c r="A637" s="32"/>
      <c r="B637" s="24"/>
    </row>
    <row r="638" ht="15.75" customHeight="1">
      <c r="A638" s="32"/>
      <c r="B638" s="24"/>
    </row>
    <row r="639" ht="15.75" customHeight="1">
      <c r="A639" s="32"/>
      <c r="B639" s="24"/>
    </row>
    <row r="640" ht="15.75" customHeight="1">
      <c r="A640" s="32"/>
      <c r="B640" s="24"/>
    </row>
    <row r="641" ht="15.75" customHeight="1">
      <c r="A641" s="32"/>
      <c r="B641" s="24"/>
    </row>
    <row r="642" ht="15.75" customHeight="1">
      <c r="A642" s="32"/>
      <c r="B642" s="24"/>
    </row>
    <row r="643" ht="15.75" customHeight="1">
      <c r="A643" s="32"/>
      <c r="B643" s="24"/>
    </row>
    <row r="644" ht="15.75" customHeight="1">
      <c r="A644" s="32"/>
      <c r="B644" s="24"/>
    </row>
    <row r="645" ht="15.75" customHeight="1">
      <c r="A645" s="32"/>
      <c r="B645" s="24"/>
    </row>
    <row r="646" ht="15.75" customHeight="1">
      <c r="A646" s="32"/>
      <c r="B646" s="24"/>
    </row>
    <row r="647" ht="15.75" customHeight="1">
      <c r="A647" s="32"/>
      <c r="B647" s="24"/>
    </row>
    <row r="648" ht="15.75" customHeight="1">
      <c r="A648" s="32"/>
      <c r="B648" s="24"/>
    </row>
    <row r="649" ht="15.75" customHeight="1">
      <c r="A649" s="32"/>
      <c r="B649" s="24"/>
    </row>
    <row r="650" ht="15.75" customHeight="1">
      <c r="A650" s="32"/>
      <c r="B650" s="24"/>
    </row>
    <row r="651" ht="15.75" customHeight="1">
      <c r="A651" s="32"/>
      <c r="B651" s="24"/>
    </row>
    <row r="652" ht="15.75" customHeight="1">
      <c r="A652" s="32"/>
      <c r="B652" s="24"/>
    </row>
    <row r="653" ht="15.75" customHeight="1">
      <c r="A653" s="32"/>
      <c r="B653" s="24"/>
    </row>
    <row r="654" ht="15.75" customHeight="1">
      <c r="A654" s="32"/>
      <c r="B654" s="24"/>
    </row>
    <row r="655" ht="15.75" customHeight="1">
      <c r="A655" s="32"/>
      <c r="B655" s="24"/>
    </row>
    <row r="656" ht="15.75" customHeight="1">
      <c r="A656" s="32"/>
      <c r="B656" s="24"/>
    </row>
    <row r="657" ht="15.75" customHeight="1">
      <c r="A657" s="32"/>
      <c r="B657" s="24"/>
    </row>
    <row r="658" ht="15.75" customHeight="1">
      <c r="A658" s="32"/>
      <c r="B658" s="24"/>
    </row>
    <row r="659" ht="15.75" customHeight="1">
      <c r="A659" s="32"/>
      <c r="B659" s="24"/>
    </row>
    <row r="660" ht="15.75" customHeight="1">
      <c r="A660" s="32"/>
      <c r="B660" s="24"/>
    </row>
    <row r="661" ht="15.75" customHeight="1">
      <c r="A661" s="32"/>
      <c r="B661" s="24"/>
    </row>
    <row r="662" ht="15.75" customHeight="1">
      <c r="A662" s="32"/>
      <c r="B662" s="24"/>
    </row>
    <row r="663" ht="15.75" customHeight="1">
      <c r="A663" s="32"/>
      <c r="B663" s="24"/>
    </row>
    <row r="664" ht="15.75" customHeight="1">
      <c r="A664" s="32"/>
      <c r="B664" s="24"/>
    </row>
    <row r="665" ht="15.75" customHeight="1">
      <c r="A665" s="32"/>
      <c r="B665" s="24"/>
    </row>
    <row r="666" ht="15.75" customHeight="1">
      <c r="A666" s="32"/>
      <c r="B666" s="24"/>
    </row>
    <row r="667" ht="15.75" customHeight="1">
      <c r="A667" s="32"/>
      <c r="B667" s="24"/>
    </row>
    <row r="668" ht="15.75" customHeight="1">
      <c r="A668" s="32"/>
      <c r="B668" s="24"/>
    </row>
    <row r="669" ht="15.75" customHeight="1">
      <c r="A669" s="32"/>
      <c r="B669" s="24"/>
    </row>
    <row r="670" ht="15.75" customHeight="1">
      <c r="A670" s="32"/>
      <c r="B670" s="24"/>
    </row>
    <row r="671" ht="15.75" customHeight="1">
      <c r="A671" s="32"/>
      <c r="B671" s="24"/>
    </row>
    <row r="672" ht="15.75" customHeight="1">
      <c r="A672" s="32"/>
      <c r="B672" s="24"/>
    </row>
    <row r="673" ht="15.75" customHeight="1">
      <c r="A673" s="32"/>
      <c r="B673" s="24"/>
    </row>
    <row r="674" ht="15.75" customHeight="1">
      <c r="A674" s="32"/>
      <c r="B674" s="24"/>
    </row>
    <row r="675" ht="15.75" customHeight="1">
      <c r="A675" s="32"/>
      <c r="B675" s="24"/>
    </row>
    <row r="676" ht="15.75" customHeight="1">
      <c r="A676" s="32"/>
      <c r="B676" s="24"/>
    </row>
    <row r="677" ht="15.75" customHeight="1">
      <c r="A677" s="32"/>
      <c r="B677" s="24"/>
    </row>
    <row r="678" ht="15.75" customHeight="1">
      <c r="A678" s="32"/>
      <c r="B678" s="24"/>
    </row>
    <row r="679" ht="15.75" customHeight="1">
      <c r="A679" s="32"/>
      <c r="B679" s="24"/>
    </row>
    <row r="680" ht="15.75" customHeight="1">
      <c r="A680" s="32"/>
      <c r="B680" s="24"/>
    </row>
    <row r="681" ht="15.75" customHeight="1">
      <c r="A681" s="32"/>
      <c r="B681" s="24"/>
    </row>
    <row r="682" ht="15.75" customHeight="1">
      <c r="A682" s="32"/>
      <c r="B682" s="24"/>
    </row>
    <row r="683" ht="15.75" customHeight="1">
      <c r="A683" s="32"/>
      <c r="B683" s="24"/>
    </row>
    <row r="684" ht="15.75" customHeight="1">
      <c r="A684" s="32"/>
      <c r="B684" s="24"/>
    </row>
    <row r="685" ht="15.75" customHeight="1">
      <c r="A685" s="32"/>
      <c r="B685" s="24"/>
    </row>
    <row r="686" ht="15.75" customHeight="1">
      <c r="A686" s="32"/>
      <c r="B686" s="24"/>
    </row>
    <row r="687" ht="15.75" customHeight="1">
      <c r="A687" s="32"/>
      <c r="B687" s="24"/>
    </row>
    <row r="688" ht="15.75" customHeight="1">
      <c r="A688" s="32"/>
      <c r="B688" s="24"/>
    </row>
    <row r="689" ht="15.75" customHeight="1">
      <c r="A689" s="32"/>
      <c r="B689" s="24"/>
    </row>
    <row r="690" ht="15.75" customHeight="1">
      <c r="A690" s="32"/>
      <c r="B690" s="24"/>
    </row>
    <row r="691" ht="15.75" customHeight="1">
      <c r="A691" s="32"/>
      <c r="B691" s="24"/>
    </row>
    <row r="692" ht="15.75" customHeight="1">
      <c r="A692" s="32"/>
      <c r="B692" s="24"/>
    </row>
    <row r="693" ht="15.75" customHeight="1">
      <c r="A693" s="32"/>
      <c r="B693" s="24"/>
    </row>
    <row r="694" ht="15.75" customHeight="1">
      <c r="A694" s="32"/>
      <c r="B694" s="24"/>
    </row>
    <row r="695" ht="15.75" customHeight="1">
      <c r="A695" s="32"/>
      <c r="B695" s="24"/>
    </row>
    <row r="696" ht="15.75" customHeight="1">
      <c r="A696" s="32"/>
      <c r="B696" s="24"/>
    </row>
    <row r="697" ht="15.75" customHeight="1">
      <c r="A697" s="32"/>
      <c r="B697" s="24"/>
    </row>
    <row r="698" ht="15.75" customHeight="1">
      <c r="A698" s="32"/>
      <c r="B698" s="24"/>
    </row>
    <row r="699" ht="15.75" customHeight="1">
      <c r="A699" s="32"/>
      <c r="B699" s="24"/>
    </row>
    <row r="700" ht="15.75" customHeight="1">
      <c r="A700" s="32"/>
      <c r="B700" s="24"/>
    </row>
    <row r="701" ht="15.75" customHeight="1">
      <c r="A701" s="32"/>
      <c r="B701" s="24"/>
    </row>
    <row r="702" ht="15.75" customHeight="1">
      <c r="A702" s="32"/>
      <c r="B702" s="24"/>
    </row>
    <row r="703" ht="15.75" customHeight="1">
      <c r="A703" s="32"/>
      <c r="B703" s="24"/>
    </row>
    <row r="704" ht="15.75" customHeight="1">
      <c r="A704" s="32"/>
      <c r="B704" s="24"/>
    </row>
    <row r="705" ht="15.75" customHeight="1">
      <c r="A705" s="32"/>
      <c r="B705" s="24"/>
    </row>
    <row r="706" ht="15.75" customHeight="1">
      <c r="A706" s="32"/>
      <c r="B706" s="24"/>
    </row>
    <row r="707" ht="15.75" customHeight="1">
      <c r="A707" s="32"/>
      <c r="B707" s="24"/>
    </row>
    <row r="708" ht="15.75" customHeight="1">
      <c r="A708" s="32"/>
      <c r="B708" s="24"/>
    </row>
    <row r="709" ht="15.75" customHeight="1">
      <c r="A709" s="32"/>
      <c r="B709" s="24"/>
    </row>
    <row r="710" ht="15.75" customHeight="1">
      <c r="A710" s="32"/>
      <c r="B710" s="24"/>
    </row>
    <row r="711" ht="15.75" customHeight="1">
      <c r="A711" s="32"/>
      <c r="B711" s="24"/>
    </row>
    <row r="712" ht="15.75" customHeight="1">
      <c r="A712" s="32"/>
      <c r="B712" s="24"/>
    </row>
    <row r="713" ht="15.75" customHeight="1">
      <c r="A713" s="32"/>
      <c r="B713" s="24"/>
    </row>
    <row r="714" ht="15.75" customHeight="1">
      <c r="A714" s="32"/>
      <c r="B714" s="24"/>
    </row>
    <row r="715" ht="15.75" customHeight="1">
      <c r="A715" s="32"/>
      <c r="B715" s="24"/>
    </row>
    <row r="716" ht="15.75" customHeight="1">
      <c r="A716" s="32"/>
      <c r="B716" s="24"/>
    </row>
    <row r="717" ht="15.75" customHeight="1">
      <c r="A717" s="32"/>
      <c r="B717" s="24"/>
    </row>
    <row r="718" ht="15.75" customHeight="1">
      <c r="A718" s="32"/>
      <c r="B718" s="24"/>
    </row>
    <row r="719" ht="15.75" customHeight="1">
      <c r="A719" s="32"/>
      <c r="B719" s="24"/>
    </row>
    <row r="720" ht="15.75" customHeight="1">
      <c r="A720" s="32"/>
      <c r="B720" s="24"/>
    </row>
    <row r="721" ht="15.75" customHeight="1">
      <c r="A721" s="32"/>
      <c r="B721" s="24"/>
    </row>
    <row r="722" ht="15.75" customHeight="1">
      <c r="A722" s="32"/>
      <c r="B722" s="24"/>
    </row>
    <row r="723" ht="15.75" customHeight="1">
      <c r="A723" s="32"/>
      <c r="B723" s="24"/>
    </row>
    <row r="724" ht="15.75" customHeight="1">
      <c r="A724" s="32"/>
      <c r="B724" s="24"/>
    </row>
    <row r="725" ht="15.75" customHeight="1">
      <c r="A725" s="32"/>
      <c r="B725" s="24"/>
    </row>
    <row r="726" ht="15.75" customHeight="1">
      <c r="A726" s="32"/>
      <c r="B726" s="24"/>
    </row>
    <row r="727" ht="15.75" customHeight="1">
      <c r="A727" s="32"/>
      <c r="B727" s="24"/>
    </row>
    <row r="728" ht="15.75" customHeight="1">
      <c r="A728" s="32"/>
      <c r="B728" s="24"/>
    </row>
    <row r="729" ht="15.75" customHeight="1">
      <c r="A729" s="32"/>
      <c r="B729" s="24"/>
    </row>
    <row r="730" ht="15.75" customHeight="1">
      <c r="A730" s="32"/>
      <c r="B730" s="24"/>
    </row>
    <row r="731" ht="15.75" customHeight="1">
      <c r="A731" s="32"/>
      <c r="B731" s="24"/>
    </row>
    <row r="732" ht="15.75" customHeight="1">
      <c r="A732" s="32"/>
      <c r="B732" s="24"/>
    </row>
    <row r="733" ht="15.75" customHeight="1">
      <c r="A733" s="32"/>
      <c r="B733" s="24"/>
    </row>
    <row r="734" ht="15.75" customHeight="1">
      <c r="A734" s="32"/>
      <c r="B734" s="24"/>
    </row>
    <row r="735" ht="15.75" customHeight="1">
      <c r="A735" s="32"/>
      <c r="B735" s="24"/>
    </row>
    <row r="736" ht="15.75" customHeight="1">
      <c r="A736" s="32"/>
      <c r="B736" s="24"/>
    </row>
    <row r="737" ht="15.75" customHeight="1">
      <c r="A737" s="32"/>
      <c r="B737" s="24"/>
    </row>
    <row r="738" ht="15.75" customHeight="1">
      <c r="A738" s="32"/>
      <c r="B738" s="24"/>
    </row>
    <row r="739" ht="15.75" customHeight="1">
      <c r="A739" s="32"/>
      <c r="B739" s="24"/>
    </row>
    <row r="740" ht="15.75" customHeight="1">
      <c r="A740" s="32"/>
      <c r="B740" s="24"/>
    </row>
    <row r="741" ht="15.75" customHeight="1">
      <c r="A741" s="32"/>
      <c r="B741" s="24"/>
    </row>
    <row r="742" ht="15.75" customHeight="1">
      <c r="A742" s="32"/>
      <c r="B742" s="24"/>
    </row>
    <row r="743" ht="15.75" customHeight="1">
      <c r="A743" s="32"/>
      <c r="B743" s="24"/>
    </row>
    <row r="744" ht="15.75" customHeight="1">
      <c r="A744" s="32"/>
      <c r="B744" s="24"/>
    </row>
    <row r="745" ht="15.75" customHeight="1">
      <c r="A745" s="32"/>
      <c r="B745" s="24"/>
    </row>
    <row r="746" ht="15.75" customHeight="1">
      <c r="A746" s="32"/>
      <c r="B746" s="24"/>
    </row>
    <row r="747" ht="15.75" customHeight="1">
      <c r="A747" s="32"/>
      <c r="B747" s="24"/>
    </row>
    <row r="748" ht="15.75" customHeight="1">
      <c r="A748" s="32"/>
      <c r="B748" s="24"/>
    </row>
    <row r="749" ht="15.75" customHeight="1">
      <c r="A749" s="32"/>
      <c r="B749" s="24"/>
    </row>
    <row r="750" ht="15.75" customHeight="1">
      <c r="A750" s="32"/>
      <c r="B750" s="24"/>
    </row>
    <row r="751" ht="15.75" customHeight="1">
      <c r="A751" s="32"/>
      <c r="B751" s="24"/>
    </row>
    <row r="752" ht="15.75" customHeight="1">
      <c r="A752" s="32"/>
      <c r="B752" s="24"/>
    </row>
    <row r="753" ht="15.75" customHeight="1">
      <c r="A753" s="32"/>
      <c r="B753" s="24"/>
    </row>
    <row r="754" ht="15.75" customHeight="1">
      <c r="A754" s="32"/>
      <c r="B754" s="24"/>
    </row>
    <row r="755" ht="15.75" customHeight="1">
      <c r="A755" s="32"/>
      <c r="B755" s="24"/>
    </row>
    <row r="756" ht="15.75" customHeight="1">
      <c r="A756" s="32"/>
      <c r="B756" s="24"/>
    </row>
    <row r="757" ht="15.75" customHeight="1">
      <c r="A757" s="32"/>
      <c r="B757" s="24"/>
    </row>
    <row r="758" ht="15.75" customHeight="1">
      <c r="A758" s="32"/>
      <c r="B758" s="24"/>
    </row>
    <row r="759" ht="15.75" customHeight="1">
      <c r="A759" s="32"/>
      <c r="B759" s="24"/>
    </row>
    <row r="760" ht="15.75" customHeight="1">
      <c r="A760" s="32"/>
      <c r="B760" s="24"/>
    </row>
    <row r="761" ht="15.75" customHeight="1">
      <c r="A761" s="32"/>
      <c r="B761" s="24"/>
    </row>
    <row r="762" ht="15.75" customHeight="1">
      <c r="A762" s="32"/>
      <c r="B762" s="24"/>
    </row>
    <row r="763" ht="15.75" customHeight="1">
      <c r="A763" s="32"/>
      <c r="B763" s="24"/>
    </row>
    <row r="764" ht="15.75" customHeight="1">
      <c r="A764" s="32"/>
      <c r="B764" s="24"/>
    </row>
    <row r="765" ht="15.75" customHeight="1">
      <c r="A765" s="32"/>
      <c r="B765" s="24"/>
    </row>
    <row r="766" ht="15.75" customHeight="1">
      <c r="A766" s="32"/>
      <c r="B766" s="24"/>
    </row>
    <row r="767" ht="15.75" customHeight="1">
      <c r="A767" s="32"/>
      <c r="B767" s="24"/>
    </row>
    <row r="768" ht="15.75" customHeight="1">
      <c r="A768" s="32"/>
      <c r="B768" s="24"/>
    </row>
    <row r="769" ht="15.75" customHeight="1">
      <c r="A769" s="32"/>
      <c r="B769" s="24"/>
    </row>
    <row r="770" ht="15.75" customHeight="1">
      <c r="A770" s="32"/>
      <c r="B770" s="24"/>
    </row>
    <row r="771" ht="15.75" customHeight="1">
      <c r="A771" s="32"/>
      <c r="B771" s="24"/>
    </row>
    <row r="772" ht="15.75" customHeight="1">
      <c r="A772" s="32"/>
      <c r="B772" s="24"/>
    </row>
    <row r="773" ht="15.75" customHeight="1">
      <c r="A773" s="32"/>
      <c r="B773" s="24"/>
    </row>
    <row r="774" ht="15.75" customHeight="1">
      <c r="A774" s="32"/>
      <c r="B774" s="24"/>
    </row>
    <row r="775" ht="15.75" customHeight="1">
      <c r="A775" s="32"/>
      <c r="B775" s="24"/>
    </row>
    <row r="776" ht="15.75" customHeight="1">
      <c r="A776" s="32"/>
      <c r="B776" s="24"/>
    </row>
    <row r="777" ht="15.75" customHeight="1">
      <c r="A777" s="32"/>
      <c r="B777" s="24"/>
    </row>
    <row r="778" ht="15.75" customHeight="1">
      <c r="A778" s="32"/>
      <c r="B778" s="24"/>
    </row>
    <row r="779" ht="15.75" customHeight="1">
      <c r="A779" s="32"/>
      <c r="B779" s="24"/>
    </row>
    <row r="780" ht="15.75" customHeight="1">
      <c r="A780" s="32"/>
      <c r="B780" s="24"/>
    </row>
    <row r="781" ht="15.75" customHeight="1">
      <c r="A781" s="32"/>
      <c r="B781" s="24"/>
    </row>
    <row r="782" ht="15.75" customHeight="1">
      <c r="A782" s="32"/>
      <c r="B782" s="24"/>
    </row>
    <row r="783" ht="15.75" customHeight="1">
      <c r="A783" s="32"/>
      <c r="B783" s="24"/>
    </row>
    <row r="784" ht="15.75" customHeight="1">
      <c r="A784" s="32"/>
      <c r="B784" s="24"/>
    </row>
    <row r="785" ht="15.75" customHeight="1">
      <c r="A785" s="32"/>
      <c r="B785" s="24"/>
    </row>
    <row r="786" ht="15.75" customHeight="1">
      <c r="A786" s="32"/>
      <c r="B786" s="24"/>
    </row>
    <row r="787" ht="15.75" customHeight="1">
      <c r="A787" s="32"/>
      <c r="B787" s="24"/>
    </row>
    <row r="788" ht="15.75" customHeight="1">
      <c r="A788" s="32"/>
      <c r="B788" s="24"/>
    </row>
    <row r="789" ht="15.75" customHeight="1">
      <c r="A789" s="32"/>
      <c r="B789" s="24"/>
    </row>
    <row r="790" ht="15.75" customHeight="1">
      <c r="A790" s="32"/>
      <c r="B790" s="24"/>
    </row>
    <row r="791" ht="15.75" customHeight="1">
      <c r="A791" s="32"/>
      <c r="B791" s="24"/>
    </row>
    <row r="792" ht="15.75" customHeight="1">
      <c r="A792" s="32"/>
      <c r="B792" s="24"/>
    </row>
    <row r="793" ht="15.75" customHeight="1">
      <c r="A793" s="32"/>
      <c r="B793" s="24"/>
    </row>
    <row r="794" ht="15.75" customHeight="1">
      <c r="A794" s="32"/>
      <c r="B794" s="24"/>
    </row>
    <row r="795" ht="15.75" customHeight="1">
      <c r="A795" s="32"/>
      <c r="B795" s="24"/>
    </row>
    <row r="796" ht="15.75" customHeight="1">
      <c r="A796" s="32"/>
      <c r="B796" s="24"/>
    </row>
    <row r="797" ht="15.75" customHeight="1">
      <c r="A797" s="32"/>
      <c r="B797" s="24"/>
    </row>
    <row r="798" ht="15.75" customHeight="1">
      <c r="A798" s="32"/>
      <c r="B798" s="24"/>
    </row>
    <row r="799" ht="15.75" customHeight="1">
      <c r="A799" s="32"/>
      <c r="B799" s="24"/>
    </row>
    <row r="800" ht="15.75" customHeight="1">
      <c r="A800" s="32"/>
      <c r="B800" s="24"/>
    </row>
    <row r="801" ht="15.75" customHeight="1">
      <c r="A801" s="32"/>
      <c r="B801" s="24"/>
    </row>
    <row r="802" ht="15.75" customHeight="1">
      <c r="A802" s="32"/>
      <c r="B802" s="24"/>
    </row>
    <row r="803" ht="15.75" customHeight="1">
      <c r="A803" s="32"/>
      <c r="B803" s="24"/>
    </row>
    <row r="804" ht="15.75" customHeight="1">
      <c r="A804" s="32"/>
      <c r="B804" s="24"/>
    </row>
    <row r="805" ht="15.75" customHeight="1">
      <c r="A805" s="32"/>
      <c r="B805" s="24"/>
    </row>
    <row r="806" ht="15.75" customHeight="1">
      <c r="A806" s="32"/>
      <c r="B806" s="24"/>
    </row>
    <row r="807" ht="15.75" customHeight="1">
      <c r="A807" s="32"/>
      <c r="B807" s="24"/>
    </row>
    <row r="808" ht="15.75" customHeight="1">
      <c r="A808" s="32"/>
      <c r="B808" s="24"/>
    </row>
    <row r="809" ht="15.75" customHeight="1">
      <c r="A809" s="32"/>
      <c r="B809" s="24"/>
    </row>
    <row r="810" ht="15.75" customHeight="1">
      <c r="A810" s="32"/>
      <c r="B810" s="24"/>
    </row>
    <row r="811" ht="15.75" customHeight="1">
      <c r="A811" s="32"/>
      <c r="B811" s="24"/>
    </row>
    <row r="812" ht="15.75" customHeight="1">
      <c r="A812" s="32"/>
      <c r="B812" s="24"/>
    </row>
    <row r="813" ht="15.75" customHeight="1">
      <c r="A813" s="32"/>
      <c r="B813" s="24"/>
    </row>
    <row r="814" ht="15.75" customHeight="1">
      <c r="A814" s="32"/>
      <c r="B814" s="24"/>
    </row>
    <row r="815" ht="15.75" customHeight="1">
      <c r="A815" s="32"/>
      <c r="B815" s="24"/>
    </row>
    <row r="816" ht="15.75" customHeight="1">
      <c r="A816" s="32"/>
      <c r="B816" s="24"/>
    </row>
    <row r="817" ht="15.75" customHeight="1">
      <c r="A817" s="32"/>
      <c r="B817" s="24"/>
    </row>
    <row r="818" ht="15.75" customHeight="1">
      <c r="A818" s="32"/>
      <c r="B818" s="24"/>
    </row>
    <row r="819" ht="15.75" customHeight="1">
      <c r="A819" s="32"/>
      <c r="B819" s="24"/>
    </row>
    <row r="820" ht="15.75" customHeight="1">
      <c r="A820" s="32"/>
      <c r="B820" s="24"/>
    </row>
    <row r="821" ht="15.75" customHeight="1">
      <c r="A821" s="32"/>
      <c r="B821" s="24"/>
    </row>
    <row r="822" ht="15.75" customHeight="1">
      <c r="A822" s="32"/>
      <c r="B822" s="24"/>
    </row>
    <row r="823" ht="15.75" customHeight="1">
      <c r="A823" s="32"/>
      <c r="B823" s="24"/>
    </row>
    <row r="824" ht="15.75" customHeight="1">
      <c r="A824" s="32"/>
      <c r="B824" s="24"/>
    </row>
    <row r="825" ht="15.75" customHeight="1">
      <c r="A825" s="32"/>
      <c r="B825" s="24"/>
    </row>
    <row r="826" ht="15.75" customHeight="1">
      <c r="A826" s="32"/>
      <c r="B826" s="24"/>
    </row>
    <row r="827" ht="15.75" customHeight="1">
      <c r="A827" s="32"/>
      <c r="B827" s="24"/>
    </row>
    <row r="828" ht="15.75" customHeight="1">
      <c r="A828" s="32"/>
      <c r="B828" s="24"/>
    </row>
    <row r="829" ht="15.75" customHeight="1">
      <c r="A829" s="32"/>
      <c r="B829" s="24"/>
    </row>
    <row r="830" ht="15.75" customHeight="1">
      <c r="A830" s="32"/>
      <c r="B830" s="24"/>
    </row>
    <row r="831" ht="15.75" customHeight="1">
      <c r="A831" s="32"/>
      <c r="B831" s="24"/>
    </row>
    <row r="832" ht="15.75" customHeight="1">
      <c r="A832" s="32"/>
      <c r="B832" s="24"/>
    </row>
    <row r="833" ht="15.75" customHeight="1">
      <c r="A833" s="32"/>
      <c r="B833" s="24"/>
    </row>
    <row r="834" ht="15.75" customHeight="1">
      <c r="A834" s="32"/>
      <c r="B834" s="24"/>
    </row>
    <row r="835" ht="15.75" customHeight="1">
      <c r="A835" s="32"/>
      <c r="B835" s="24"/>
    </row>
    <row r="836" ht="15.75" customHeight="1">
      <c r="A836" s="32"/>
      <c r="B836" s="24"/>
    </row>
    <row r="837" ht="15.75" customHeight="1">
      <c r="A837" s="32"/>
      <c r="B837" s="24"/>
    </row>
    <row r="838" ht="15.75" customHeight="1">
      <c r="A838" s="32"/>
      <c r="B838" s="24"/>
    </row>
    <row r="839" ht="15.75" customHeight="1">
      <c r="A839" s="32"/>
      <c r="B839" s="24"/>
    </row>
    <row r="840" ht="15.75" customHeight="1">
      <c r="A840" s="32"/>
      <c r="B840" s="24"/>
    </row>
    <row r="841" ht="15.75" customHeight="1">
      <c r="A841" s="32"/>
      <c r="B841" s="24"/>
    </row>
    <row r="842" ht="15.75" customHeight="1">
      <c r="A842" s="32"/>
      <c r="B842" s="24"/>
    </row>
    <row r="843" ht="15.75" customHeight="1">
      <c r="A843" s="32"/>
      <c r="B843" s="24"/>
    </row>
    <row r="844" ht="15.75" customHeight="1">
      <c r="A844" s="32"/>
      <c r="B844" s="24"/>
    </row>
    <row r="845" ht="15.75" customHeight="1">
      <c r="A845" s="32"/>
      <c r="B845" s="24"/>
    </row>
    <row r="846" ht="15.75" customHeight="1">
      <c r="A846" s="32"/>
      <c r="B846" s="24"/>
    </row>
    <row r="847" ht="15.75" customHeight="1">
      <c r="A847" s="32"/>
      <c r="B847" s="24"/>
    </row>
    <row r="848" ht="15.75" customHeight="1">
      <c r="A848" s="32"/>
      <c r="B848" s="24"/>
    </row>
    <row r="849" ht="15.75" customHeight="1">
      <c r="A849" s="32"/>
      <c r="B849" s="24"/>
    </row>
    <row r="850" ht="15.75" customHeight="1">
      <c r="A850" s="32"/>
      <c r="B850" s="24"/>
    </row>
    <row r="851" ht="15.75" customHeight="1">
      <c r="A851" s="32"/>
      <c r="B851" s="24"/>
    </row>
    <row r="852" ht="15.75" customHeight="1">
      <c r="A852" s="32"/>
      <c r="B852" s="24"/>
    </row>
    <row r="853" ht="15.75" customHeight="1">
      <c r="A853" s="32"/>
      <c r="B853" s="24"/>
    </row>
    <row r="854" ht="15.75" customHeight="1">
      <c r="A854" s="32"/>
      <c r="B854" s="24"/>
    </row>
    <row r="855" ht="15.75" customHeight="1">
      <c r="A855" s="32"/>
      <c r="B855" s="24"/>
    </row>
    <row r="856" ht="15.75" customHeight="1">
      <c r="A856" s="32"/>
      <c r="B856" s="24"/>
    </row>
    <row r="857" ht="15.75" customHeight="1">
      <c r="A857" s="32"/>
      <c r="B857" s="24"/>
    </row>
    <row r="858" ht="15.75" customHeight="1">
      <c r="A858" s="32"/>
      <c r="B858" s="24"/>
    </row>
    <row r="859" ht="15.75" customHeight="1">
      <c r="A859" s="32"/>
      <c r="B859" s="24"/>
    </row>
    <row r="860" ht="15.75" customHeight="1">
      <c r="A860" s="32"/>
      <c r="B860" s="24"/>
    </row>
    <row r="861" ht="15.75" customHeight="1">
      <c r="A861" s="32"/>
      <c r="B861" s="24"/>
    </row>
    <row r="862" ht="15.75" customHeight="1">
      <c r="A862" s="32"/>
      <c r="B862" s="24"/>
    </row>
    <row r="863" ht="15.75" customHeight="1">
      <c r="A863" s="32"/>
      <c r="B863" s="24"/>
    </row>
    <row r="864" ht="15.75" customHeight="1">
      <c r="A864" s="32"/>
      <c r="B864" s="24"/>
    </row>
    <row r="865" ht="15.75" customHeight="1">
      <c r="A865" s="32"/>
      <c r="B865" s="24"/>
    </row>
    <row r="866" ht="15.75" customHeight="1">
      <c r="A866" s="32"/>
      <c r="B866" s="24"/>
    </row>
    <row r="867" ht="15.75" customHeight="1">
      <c r="A867" s="32"/>
      <c r="B867" s="24"/>
    </row>
    <row r="868" ht="15.75" customHeight="1">
      <c r="A868" s="32"/>
      <c r="B868" s="24"/>
    </row>
    <row r="869" ht="15.75" customHeight="1">
      <c r="A869" s="32"/>
      <c r="B869" s="24"/>
    </row>
    <row r="870" ht="15.75" customHeight="1">
      <c r="A870" s="32"/>
      <c r="B870" s="24"/>
    </row>
    <row r="871" ht="15.75" customHeight="1">
      <c r="A871" s="32"/>
      <c r="B871" s="24"/>
    </row>
    <row r="872" ht="15.75" customHeight="1">
      <c r="A872" s="32"/>
      <c r="B872" s="24"/>
    </row>
    <row r="873" ht="15.75" customHeight="1">
      <c r="A873" s="32"/>
      <c r="B873" s="24"/>
    </row>
    <row r="874" ht="15.75" customHeight="1">
      <c r="A874" s="32"/>
      <c r="B874" s="24"/>
    </row>
    <row r="875" ht="15.75" customHeight="1">
      <c r="A875" s="32"/>
      <c r="B875" s="24"/>
    </row>
    <row r="876" ht="15.75" customHeight="1">
      <c r="A876" s="32"/>
      <c r="B876" s="24"/>
    </row>
    <row r="877" ht="15.75" customHeight="1">
      <c r="A877" s="32"/>
      <c r="B877" s="24"/>
    </row>
    <row r="878" ht="15.75" customHeight="1">
      <c r="A878" s="32"/>
      <c r="B878" s="24"/>
    </row>
    <row r="879" ht="15.75" customHeight="1">
      <c r="A879" s="32"/>
      <c r="B879" s="24"/>
    </row>
    <row r="880" ht="15.75" customHeight="1">
      <c r="A880" s="32"/>
      <c r="B880" s="24"/>
    </row>
    <row r="881" ht="15.75" customHeight="1">
      <c r="A881" s="32"/>
      <c r="B881" s="24"/>
    </row>
    <row r="882" ht="15.75" customHeight="1">
      <c r="A882" s="32"/>
      <c r="B882" s="24"/>
    </row>
    <row r="883" ht="15.75" customHeight="1">
      <c r="A883" s="32"/>
      <c r="B883" s="24"/>
    </row>
    <row r="884" ht="15.75" customHeight="1">
      <c r="A884" s="32"/>
      <c r="B884" s="24"/>
    </row>
    <row r="885" ht="15.75" customHeight="1">
      <c r="A885" s="32"/>
      <c r="B885" s="24"/>
    </row>
    <row r="886" ht="15.75" customHeight="1">
      <c r="A886" s="32"/>
      <c r="B886" s="24"/>
    </row>
    <row r="887" ht="15.75" customHeight="1">
      <c r="A887" s="32"/>
      <c r="B887" s="24"/>
    </row>
    <row r="888" ht="15.75" customHeight="1">
      <c r="A888" s="32"/>
      <c r="B888" s="24"/>
    </row>
    <row r="889" ht="15.75" customHeight="1">
      <c r="A889" s="32"/>
      <c r="B889" s="24"/>
    </row>
    <row r="890" ht="15.75" customHeight="1">
      <c r="A890" s="32"/>
      <c r="B890" s="24"/>
    </row>
    <row r="891" ht="15.75" customHeight="1">
      <c r="A891" s="32"/>
      <c r="B891" s="24"/>
    </row>
    <row r="892" ht="15.75" customHeight="1">
      <c r="A892" s="32"/>
      <c r="B892" s="24"/>
    </row>
    <row r="893" ht="15.75" customHeight="1">
      <c r="A893" s="32"/>
      <c r="B893" s="24"/>
    </row>
    <row r="894" ht="15.75" customHeight="1">
      <c r="A894" s="32"/>
      <c r="B894" s="24"/>
    </row>
    <row r="895" ht="15.75" customHeight="1">
      <c r="A895" s="32"/>
      <c r="B895" s="24"/>
    </row>
    <row r="896" ht="15.75" customHeight="1">
      <c r="A896" s="32"/>
      <c r="B896" s="24"/>
    </row>
    <row r="897" ht="15.75" customHeight="1">
      <c r="A897" s="32"/>
      <c r="B897" s="24"/>
    </row>
    <row r="898" ht="15.75" customHeight="1">
      <c r="A898" s="32"/>
      <c r="B898" s="24"/>
    </row>
    <row r="899" ht="15.75" customHeight="1">
      <c r="A899" s="32"/>
      <c r="B899" s="24"/>
    </row>
    <row r="900" ht="15.75" customHeight="1">
      <c r="A900" s="32"/>
      <c r="B900" s="24"/>
    </row>
    <row r="901" ht="15.75" customHeight="1">
      <c r="A901" s="32"/>
      <c r="B901" s="24"/>
    </row>
    <row r="902" ht="15.75" customHeight="1">
      <c r="A902" s="32"/>
      <c r="B902" s="24"/>
    </row>
    <row r="903" ht="15.75" customHeight="1">
      <c r="A903" s="32"/>
      <c r="B903" s="24"/>
    </row>
    <row r="904" ht="15.75" customHeight="1">
      <c r="A904" s="32"/>
      <c r="B904" s="24"/>
    </row>
    <row r="905" ht="15.75" customHeight="1">
      <c r="A905" s="32"/>
      <c r="B905" s="24"/>
    </row>
    <row r="906" ht="15.75" customHeight="1">
      <c r="A906" s="32"/>
      <c r="B906" s="24"/>
    </row>
    <row r="907" ht="15.75" customHeight="1">
      <c r="A907" s="32"/>
      <c r="B907" s="24"/>
    </row>
    <row r="908" ht="15.75" customHeight="1">
      <c r="A908" s="32"/>
      <c r="B908" s="24"/>
    </row>
    <row r="909" ht="15.75" customHeight="1">
      <c r="A909" s="32"/>
      <c r="B909" s="24"/>
    </row>
    <row r="910" ht="15.75" customHeight="1">
      <c r="A910" s="32"/>
      <c r="B910" s="24"/>
    </row>
    <row r="911" ht="15.75" customHeight="1">
      <c r="A911" s="32"/>
      <c r="B911" s="24"/>
    </row>
    <row r="912" ht="15.75" customHeight="1">
      <c r="A912" s="32"/>
      <c r="B912" s="24"/>
    </row>
    <row r="913" ht="15.75" customHeight="1">
      <c r="A913" s="32"/>
      <c r="B913" s="24"/>
    </row>
    <row r="914" ht="15.75" customHeight="1">
      <c r="A914" s="32"/>
      <c r="B914" s="24"/>
    </row>
    <row r="915" ht="15.75" customHeight="1">
      <c r="A915" s="32"/>
      <c r="B915" s="24"/>
    </row>
    <row r="916" ht="15.75" customHeight="1">
      <c r="A916" s="32"/>
      <c r="B916" s="24"/>
    </row>
    <row r="917" ht="15.75" customHeight="1">
      <c r="A917" s="32"/>
      <c r="B917" s="24"/>
    </row>
    <row r="918" ht="15.75" customHeight="1">
      <c r="A918" s="32"/>
      <c r="B918" s="24"/>
    </row>
    <row r="919" ht="15.75" customHeight="1">
      <c r="A919" s="32"/>
      <c r="B919" s="24"/>
    </row>
    <row r="920" ht="15.75" customHeight="1">
      <c r="A920" s="32"/>
      <c r="B920" s="24"/>
    </row>
    <row r="921" ht="15.75" customHeight="1">
      <c r="A921" s="32"/>
      <c r="B921" s="24"/>
    </row>
    <row r="922" ht="15.75" customHeight="1">
      <c r="A922" s="32"/>
      <c r="B922" s="24"/>
    </row>
    <row r="923" ht="15.75" customHeight="1">
      <c r="A923" s="32"/>
      <c r="B923" s="24"/>
    </row>
    <row r="924" ht="15.75" customHeight="1">
      <c r="A924" s="32"/>
      <c r="B924" s="24"/>
    </row>
    <row r="925" ht="15.75" customHeight="1">
      <c r="A925" s="32"/>
      <c r="B925" s="24"/>
    </row>
    <row r="926" ht="15.75" customHeight="1">
      <c r="A926" s="32"/>
      <c r="B926" s="24"/>
    </row>
    <row r="927" ht="15.75" customHeight="1">
      <c r="A927" s="32"/>
      <c r="B927" s="24"/>
    </row>
    <row r="928" ht="15.75" customHeight="1">
      <c r="A928" s="32"/>
      <c r="B928" s="24"/>
    </row>
    <row r="929" ht="15.75" customHeight="1">
      <c r="A929" s="32"/>
      <c r="B929" s="24"/>
    </row>
    <row r="930" ht="15.75" customHeight="1">
      <c r="A930" s="32"/>
      <c r="B930" s="24"/>
    </row>
    <row r="931" ht="15.75" customHeight="1">
      <c r="A931" s="32"/>
      <c r="B931" s="24"/>
    </row>
    <row r="932" ht="15.75" customHeight="1">
      <c r="A932" s="32"/>
      <c r="B932" s="24"/>
    </row>
    <row r="933" ht="15.75" customHeight="1">
      <c r="A933" s="32"/>
      <c r="B933" s="24"/>
    </row>
    <row r="934" ht="15.75" customHeight="1">
      <c r="A934" s="32"/>
      <c r="B934" s="24"/>
    </row>
    <row r="935" ht="15.75" customHeight="1">
      <c r="A935" s="32"/>
      <c r="B935" s="24"/>
    </row>
    <row r="936" ht="15.75" customHeight="1">
      <c r="A936" s="32"/>
      <c r="B936" s="24"/>
    </row>
    <row r="937" ht="15.75" customHeight="1">
      <c r="A937" s="32"/>
      <c r="B937" s="24"/>
    </row>
    <row r="938" ht="15.75" customHeight="1">
      <c r="A938" s="32"/>
      <c r="B938" s="24"/>
    </row>
    <row r="939" ht="15.75" customHeight="1">
      <c r="A939" s="32"/>
      <c r="B939" s="24"/>
    </row>
    <row r="940" ht="15.75" customHeight="1">
      <c r="A940" s="32"/>
      <c r="B940" s="24"/>
    </row>
    <row r="941" ht="15.75" customHeight="1">
      <c r="A941" s="32"/>
      <c r="B941" s="24"/>
    </row>
    <row r="942" ht="15.75" customHeight="1">
      <c r="A942" s="32"/>
      <c r="B942" s="24"/>
    </row>
    <row r="943" ht="15.75" customHeight="1">
      <c r="A943" s="32"/>
      <c r="B943" s="24"/>
    </row>
    <row r="944" ht="15.75" customHeight="1">
      <c r="A944" s="32"/>
      <c r="B944" s="24"/>
    </row>
    <row r="945" ht="15.75" customHeight="1">
      <c r="A945" s="32"/>
      <c r="B945" s="24"/>
    </row>
    <row r="946" ht="15.75" customHeight="1">
      <c r="A946" s="32"/>
      <c r="B946" s="24"/>
    </row>
    <row r="947" ht="15.75" customHeight="1">
      <c r="A947" s="32"/>
      <c r="B947" s="24"/>
    </row>
    <row r="948" ht="15.75" customHeight="1">
      <c r="A948" s="32"/>
      <c r="B948" s="24"/>
    </row>
    <row r="949" ht="15.75" customHeight="1">
      <c r="A949" s="32"/>
      <c r="B949" s="24"/>
    </row>
    <row r="950" ht="15.75" customHeight="1">
      <c r="A950" s="32"/>
      <c r="B950" s="24"/>
    </row>
    <row r="951" ht="15.75" customHeight="1">
      <c r="A951" s="32"/>
      <c r="B951" s="24"/>
    </row>
    <row r="952" ht="15.75" customHeight="1">
      <c r="A952" s="32"/>
      <c r="B952" s="24"/>
    </row>
    <row r="953" ht="15.75" customHeight="1">
      <c r="A953" s="32"/>
      <c r="B953" s="24"/>
    </row>
    <row r="954" ht="15.75" customHeight="1">
      <c r="A954" s="32"/>
      <c r="B954" s="24"/>
    </row>
    <row r="955" ht="15.75" customHeight="1">
      <c r="A955" s="32"/>
      <c r="B955" s="24"/>
    </row>
    <row r="956" ht="15.75" customHeight="1">
      <c r="A956" s="32"/>
      <c r="B956" s="24"/>
    </row>
    <row r="957" ht="15.75" customHeight="1">
      <c r="A957" s="32"/>
      <c r="B957" s="24"/>
    </row>
    <row r="958" ht="15.75" customHeight="1">
      <c r="A958" s="32"/>
      <c r="B958" s="24"/>
    </row>
    <row r="959" ht="15.75" customHeight="1">
      <c r="A959" s="32"/>
      <c r="B959" s="24"/>
    </row>
    <row r="960" ht="15.75" customHeight="1">
      <c r="A960" s="32"/>
      <c r="B960" s="24"/>
    </row>
    <row r="961" ht="15.75" customHeight="1">
      <c r="A961" s="32"/>
      <c r="B961" s="24"/>
    </row>
    <row r="962" ht="15.75" customHeight="1">
      <c r="A962" s="32"/>
      <c r="B962" s="24"/>
    </row>
    <row r="963" ht="15.75" customHeight="1">
      <c r="A963" s="32"/>
      <c r="B963" s="24"/>
    </row>
    <row r="964" ht="15.75" customHeight="1">
      <c r="A964" s="32"/>
      <c r="B964" s="24"/>
    </row>
    <row r="965" ht="15.75" customHeight="1">
      <c r="A965" s="32"/>
      <c r="B965" s="24"/>
    </row>
    <row r="966" ht="15.75" customHeight="1">
      <c r="A966" s="32"/>
      <c r="B966" s="24"/>
    </row>
    <row r="967" ht="15.75" customHeight="1">
      <c r="A967" s="32"/>
      <c r="B967" s="24"/>
    </row>
    <row r="968" ht="15.75" customHeight="1">
      <c r="A968" s="32"/>
      <c r="B968" s="24"/>
    </row>
    <row r="969" ht="15.75" customHeight="1">
      <c r="A969" s="32"/>
      <c r="B969" s="24"/>
    </row>
    <row r="970" ht="15.75" customHeight="1">
      <c r="A970" s="32"/>
      <c r="B970" s="24"/>
    </row>
    <row r="971" ht="15.75" customHeight="1">
      <c r="A971" s="32"/>
      <c r="B971" s="24"/>
    </row>
    <row r="972" ht="15.75" customHeight="1">
      <c r="A972" s="32"/>
      <c r="B972" s="24"/>
    </row>
    <row r="973" ht="15.75" customHeight="1">
      <c r="A973" s="32"/>
      <c r="B973" s="24"/>
    </row>
    <row r="974" ht="15.75" customHeight="1">
      <c r="A974" s="32"/>
      <c r="B974" s="24"/>
    </row>
    <row r="975" ht="15.75" customHeight="1">
      <c r="A975" s="32"/>
      <c r="B975" s="24"/>
    </row>
    <row r="976" ht="15.75" customHeight="1">
      <c r="A976" s="32"/>
      <c r="B976" s="24"/>
    </row>
    <row r="977" ht="15.75" customHeight="1">
      <c r="A977" s="32"/>
      <c r="B977" s="24"/>
    </row>
    <row r="978" ht="15.75" customHeight="1">
      <c r="A978" s="32"/>
      <c r="B978" s="24"/>
    </row>
    <row r="979" ht="15.75" customHeight="1">
      <c r="A979" s="32"/>
      <c r="B979" s="24"/>
    </row>
    <row r="980" ht="15.75" customHeight="1">
      <c r="A980" s="32"/>
      <c r="B980" s="24"/>
    </row>
    <row r="981" ht="15.75" customHeight="1">
      <c r="A981" s="32"/>
      <c r="B981" s="24"/>
    </row>
    <row r="982" ht="15.75" customHeight="1">
      <c r="A982" s="32"/>
      <c r="B982" s="24"/>
    </row>
    <row r="983" ht="15.75" customHeight="1">
      <c r="A983" s="32"/>
      <c r="B983" s="24"/>
    </row>
    <row r="984" ht="15.75" customHeight="1">
      <c r="A984" s="32"/>
      <c r="B984" s="24"/>
    </row>
    <row r="985" ht="15.75" customHeight="1">
      <c r="A985" s="32"/>
      <c r="B985" s="24"/>
    </row>
    <row r="986" ht="15.75" customHeight="1">
      <c r="A986" s="32"/>
      <c r="B986" s="24"/>
    </row>
    <row r="987" ht="15.75" customHeight="1">
      <c r="A987" s="32"/>
      <c r="B987" s="24"/>
    </row>
    <row r="988" ht="15.75" customHeight="1">
      <c r="A988" s="32"/>
      <c r="B988" s="24"/>
    </row>
    <row r="989" ht="15.75" customHeight="1">
      <c r="A989" s="32"/>
      <c r="B989" s="24"/>
    </row>
    <row r="990" ht="15.75" customHeight="1">
      <c r="A990" s="32"/>
      <c r="B990" s="24"/>
    </row>
    <row r="991" ht="15.75" customHeight="1">
      <c r="A991" s="32"/>
      <c r="B991" s="24"/>
    </row>
    <row r="992" ht="15.75" customHeight="1">
      <c r="A992" s="32"/>
      <c r="B992" s="24"/>
    </row>
    <row r="993" ht="15.75" customHeight="1">
      <c r="A993" s="32"/>
      <c r="B993" s="24"/>
    </row>
    <row r="994" ht="15.75" customHeight="1">
      <c r="A994" s="32"/>
      <c r="B994" s="24"/>
    </row>
    <row r="995" ht="15.75" customHeight="1">
      <c r="A995" s="32"/>
      <c r="B995" s="24"/>
    </row>
    <row r="996" ht="15.75" customHeight="1">
      <c r="A996" s="32"/>
      <c r="B996" s="24"/>
    </row>
    <row r="997" ht="15.75" customHeight="1">
      <c r="A997" s="32"/>
      <c r="B997" s="24"/>
    </row>
    <row r="998" ht="15.75" customHeight="1">
      <c r="A998" s="32"/>
      <c r="B998" s="24"/>
    </row>
    <row r="999" ht="15.75" customHeight="1">
      <c r="A999" s="32"/>
      <c r="B999" s="24"/>
    </row>
    <row r="1000" ht="15.75" customHeight="1">
      <c r="A1000" s="32"/>
      <c r="B1000" s="24"/>
    </row>
  </sheetData>
  <autoFilter ref="$A$1:$H$328"/>
  <dataValidations>
    <dataValidation type="list" allowBlank="1" sqref="G2:G500">
      <formula1>"OK,BP no coincide,Correo no coincide,Usuario inactivo,Usuario no registrado"</formula1>
    </dataValidation>
    <dataValidation type="list" allowBlank="1" sqref="F2:F500">
      <formula1>"Ingreso,Salida,Intento fallido"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8.0"/>
    <col customWidth="1" min="3" max="3" width="15.0"/>
    <col customWidth="1" min="4" max="4" width="16.0"/>
    <col customWidth="1" min="5" max="5" width="20.0"/>
    <col customWidth="1" min="6" max="6" width="22.0"/>
    <col customWidth="1" min="7" max="7" width="16.0"/>
    <col customWidth="1" min="8" max="8" width="18.0"/>
    <col customWidth="1" min="9" max="26" width="8.71"/>
  </cols>
  <sheetData>
    <row r="1" ht="31.5" customHeight="1">
      <c r="A1" s="18" t="s">
        <v>186</v>
      </c>
      <c r="B1" s="18" t="s">
        <v>222</v>
      </c>
      <c r="C1" s="18" t="s">
        <v>3</v>
      </c>
      <c r="D1" s="18" t="s">
        <v>594</v>
      </c>
      <c r="E1" s="18" t="s">
        <v>595</v>
      </c>
      <c r="F1" s="18" t="s">
        <v>596</v>
      </c>
      <c r="G1" s="18" t="s">
        <v>597</v>
      </c>
      <c r="H1" s="18" t="s">
        <v>598</v>
      </c>
    </row>
    <row r="2">
      <c r="A2" s="19" t="str">
        <f>IF(Usuarios!$A2="","",Usuarios!$A2)</f>
        <v>2713993</v>
      </c>
      <c r="B2" s="20" t="str">
        <f>IF($A2="","",Usuarios!$B2)</f>
        <v>Fiorella Ruiz</v>
      </c>
      <c r="C2" s="20" t="str">
        <f>IF($A2="","",Usuarios!$E2)</f>
        <v>Instructor</v>
      </c>
      <c r="D2" s="20">
        <f>IF($A2="","",COUNTIFS(Registro!$B:$B,$A2,Registro!$F:$F,"Ingreso"))</f>
        <v>0</v>
      </c>
      <c r="E2" s="33" t="str">
        <f>IF($A2="","",IF($D2=0,"",MAXIFS(Registro!$A:$A,Registro!$B:$B,$A2,Registro!$F:$F,"Ingreso")))</f>
        <v/>
      </c>
      <c r="F2" s="33" t="str">
        <f>IF($A2="","",IF(COUNTIFS(Registro!$B:$B,$A2,Registro!$F:$F,"Salida")=0,"",MAXIFS(Registro!$A:$A,Registro!$B:$B,$A2,Registro!$F:$F,"Salida")))</f>
        <v/>
      </c>
      <c r="G2" s="20">
        <f>IF($A2="","",COUNTIFS(Registro!$B:$B,$A2,Registro!$F:$F,"Intento fallido"))</f>
        <v>0</v>
      </c>
      <c r="H2" s="34" t="str">
        <f t="shared" ref="H2:H41" si="1">IF($E2="","",TODAY()-INT($E2))</f>
        <v/>
      </c>
    </row>
    <row r="3">
      <c r="A3" s="19" t="str">
        <f>IF(Usuarios!$A3="","",Usuarios!$A3)</f>
        <v>2396710</v>
      </c>
      <c r="B3" s="20" t="str">
        <f>IF($A3="","",Usuarios!$B3)</f>
        <v>Sebastian Correa</v>
      </c>
      <c r="C3" s="20" t="str">
        <f>IF($A3="","",Usuarios!$E3)</f>
        <v>Instructor</v>
      </c>
      <c r="D3" s="20">
        <f>IF($A3="","",COUNTIFS(Registro!$B:$B,$A3,Registro!$F:$F,"Ingreso"))</f>
        <v>3</v>
      </c>
      <c r="E3" s="33">
        <f>IF($A3="","",IF($D3=0,"",MAXIFS(Registro!$A:$A,Registro!$B:$B,$A3,Registro!$F:$F,"Ingreso")))</f>
        <v>46313.86709</v>
      </c>
      <c r="F3" s="33" t="str">
        <f>IF($A3="","",IF(COUNTIFS(Registro!$B:$B,$A3,Registro!$F:$F,"Salida")=0,"",MAXIFS(Registro!$A:$A,Registro!$B:$B,$A3,Registro!$F:$F,"Salida")))</f>
        <v/>
      </c>
      <c r="G3" s="20">
        <f>IF($A3="","",COUNTIFS(Registro!$B:$B,$A3,Registro!$F:$F,"Intento fallido"))</f>
        <v>0</v>
      </c>
      <c r="H3" s="34">
        <f t="shared" si="1"/>
        <v>5</v>
      </c>
    </row>
    <row r="4">
      <c r="A4" s="19" t="str">
        <f>IF(Usuarios!$A4="","",Usuarios!$A4)</f>
        <v>1271571</v>
      </c>
      <c r="B4" s="20" t="str">
        <f>IF($A4="","",Usuarios!$B4)</f>
        <v>Christian Rondon</v>
      </c>
      <c r="C4" s="20" t="str">
        <f>IF($A4="","",Usuarios!$E4)</f>
        <v>Instructor</v>
      </c>
      <c r="D4" s="20">
        <f>IF($A4="","",COUNTIFS(Registro!$B:$B,$A4,Registro!$F:$F,"Ingreso"))</f>
        <v>10</v>
      </c>
      <c r="E4" s="33">
        <f>IF($A4="","",IF($D4=0,"",MAXIFS(Registro!$A:$A,Registro!$B:$B,$A4,Registro!$F:$F,"Ingreso")))</f>
        <v>46311.45198</v>
      </c>
      <c r="F4" s="33">
        <f>IF($A4="","",IF(COUNTIFS(Registro!$B:$B,$A4,Registro!$F:$F,"Salida")=0,"",MAXIFS(Registro!$A:$A,Registro!$B:$B,$A4,Registro!$F:$F,"Salida")))</f>
        <v>46311.45481</v>
      </c>
      <c r="G4" s="20">
        <f>IF($A4="","",COUNTIFS(Registro!$B:$B,$A4,Registro!$F:$F,"Intento fallido"))</f>
        <v>1</v>
      </c>
      <c r="H4" s="34">
        <f t="shared" si="1"/>
        <v>7</v>
      </c>
    </row>
    <row r="5">
      <c r="A5" s="19" t="str">
        <f>IF(Usuarios!$A5="","",Usuarios!$A5)</f>
        <v>2843319</v>
      </c>
      <c r="B5" s="20" t="str">
        <f>IF($A5="","",Usuarios!$B5)</f>
        <v>Karen Santa Cruz</v>
      </c>
      <c r="C5" s="20" t="str">
        <f>IF($A5="","",Usuarios!$E5)</f>
        <v>Instructor</v>
      </c>
      <c r="D5" s="20">
        <f>IF($A5="","",COUNTIFS(Registro!$B:$B,$A5,Registro!$F:$F,"Ingreso"))</f>
        <v>0</v>
      </c>
      <c r="E5" s="33" t="str">
        <f>IF($A5="","",IF($D5=0,"",MAXIFS(Registro!$A:$A,Registro!$B:$B,$A5,Registro!$F:$F,"Ingreso")))</f>
        <v/>
      </c>
      <c r="F5" s="33" t="str">
        <f>IF($A5="","",IF(COUNTIFS(Registro!$B:$B,$A5,Registro!$F:$F,"Salida")=0,"",MAXIFS(Registro!$A:$A,Registro!$B:$B,$A5,Registro!$F:$F,"Salida")))</f>
        <v/>
      </c>
      <c r="G5" s="20">
        <f>IF($A5="","",COUNTIFS(Registro!$B:$B,$A5,Registro!$F:$F,"Intento fallido"))</f>
        <v>0</v>
      </c>
      <c r="H5" s="34" t="str">
        <f t="shared" si="1"/>
        <v/>
      </c>
    </row>
    <row r="6">
      <c r="A6" s="19" t="str">
        <f>IF(Usuarios!$A6="","",Usuarios!$A6)</f>
        <v>3779550</v>
      </c>
      <c r="B6" s="20" t="str">
        <f>IF($A6="","",Usuarios!$B6)</f>
        <v>Jennifert Acurio</v>
      </c>
      <c r="C6" s="20" t="str">
        <f>IF($A6="","",Usuarios!$E6)</f>
        <v>Instructor</v>
      </c>
      <c r="D6" s="20">
        <f>IF($A6="","",COUNTIFS(Registro!$B:$B,$A6,Registro!$F:$F,"Ingreso"))</f>
        <v>1</v>
      </c>
      <c r="E6" s="33">
        <f>IF($A6="","",IF($D6=0,"",MAXIFS(Registro!$A:$A,Registro!$B:$B,$A6,Registro!$F:$F,"Ingreso")))</f>
        <v>46311.55312</v>
      </c>
      <c r="F6" s="33" t="str">
        <f>IF($A6="","",IF(COUNTIFS(Registro!$B:$B,$A6,Registro!$F:$F,"Salida")=0,"",MAXIFS(Registro!$A:$A,Registro!$B:$B,$A6,Registro!$F:$F,"Salida")))</f>
        <v/>
      </c>
      <c r="G6" s="20">
        <f>IF($A6="","",COUNTIFS(Registro!$B:$B,$A6,Registro!$F:$F,"Intento fallido"))</f>
        <v>3</v>
      </c>
      <c r="H6" s="34">
        <f t="shared" si="1"/>
        <v>7</v>
      </c>
    </row>
    <row r="7">
      <c r="A7" s="19" t="str">
        <f>IF(Usuarios!$A7="","",Usuarios!$A7)</f>
        <v>29530</v>
      </c>
      <c r="B7" s="20" t="str">
        <f>IF($A7="","",Usuarios!$B7)</f>
        <v>Jazmin Guerra</v>
      </c>
      <c r="C7" s="20" t="str">
        <f>IF($A7="","",Usuarios!$E7)</f>
        <v>Instructor</v>
      </c>
      <c r="D7" s="20">
        <f>IF($A7="","",COUNTIFS(Registro!$B:$B,$A7,Registro!$F:$F,"Ingreso"))</f>
        <v>1</v>
      </c>
      <c r="E7" s="33">
        <f>IF($A7="","",IF($D7=0,"",MAXIFS(Registro!$A:$A,Registro!$B:$B,$A7,Registro!$F:$F,"Ingreso")))</f>
        <v>46311.54988</v>
      </c>
      <c r="F7" s="33" t="str">
        <f>IF($A7="","",IF(COUNTIFS(Registro!$B:$B,$A7,Registro!$F:$F,"Salida")=0,"",MAXIFS(Registro!$A:$A,Registro!$B:$B,$A7,Registro!$F:$F,"Salida")))</f>
        <v/>
      </c>
      <c r="G7" s="20">
        <f>IF($A7="","",COUNTIFS(Registro!$B:$B,$A7,Registro!$F:$F,"Intento fallido"))</f>
        <v>1</v>
      </c>
      <c r="H7" s="34">
        <f t="shared" si="1"/>
        <v>7</v>
      </c>
    </row>
    <row r="8">
      <c r="A8" s="19" t="str">
        <f>IF(Usuarios!$A8="","",Usuarios!$A8)</f>
        <v>3217561</v>
      </c>
      <c r="B8" s="20" t="str">
        <f>IF($A8="","",Usuarios!$B8)</f>
        <v>Claudia Flores</v>
      </c>
      <c r="C8" s="20" t="str">
        <f>IF($A8="","",Usuarios!$E8)</f>
        <v>Instructor</v>
      </c>
      <c r="D8" s="20">
        <f>IF($A8="","",COUNTIFS(Registro!$B:$B,$A8,Registro!$F:$F,"Ingreso"))</f>
        <v>2</v>
      </c>
      <c r="E8" s="33">
        <f>IF($A8="","",IF($D8=0,"",MAXIFS(Registro!$A:$A,Registro!$B:$B,$A8,Registro!$F:$F,"Ingreso")))</f>
        <v>46314.689</v>
      </c>
      <c r="F8" s="33">
        <f>IF($A8="","",IF(COUNTIFS(Registro!$B:$B,$A8,Registro!$F:$F,"Salida")=0,"",MAXIFS(Registro!$A:$A,Registro!$B:$B,$A8,Registro!$F:$F,"Salida")))</f>
        <v>46308.58239</v>
      </c>
      <c r="G8" s="20">
        <f>IF($A8="","",COUNTIFS(Registro!$B:$B,$A8,Registro!$F:$F,"Intento fallido"))</f>
        <v>2</v>
      </c>
      <c r="H8" s="34">
        <f t="shared" si="1"/>
        <v>4</v>
      </c>
    </row>
    <row r="9">
      <c r="A9" s="19" t="str">
        <f>IF(Usuarios!$A9="","",Usuarios!$A9)</f>
        <v>71348</v>
      </c>
      <c r="B9" s="20" t="str">
        <f>IF($A9="","",Usuarios!$B9)</f>
        <v>Karla Moz</v>
      </c>
      <c r="C9" s="20" t="str">
        <f>IF($A9="","",Usuarios!$E9)</f>
        <v>Instructor</v>
      </c>
      <c r="D9" s="20">
        <f>IF($A9="","",COUNTIFS(Registro!$B:$B,$A9,Registro!$F:$F,"Ingreso"))</f>
        <v>0</v>
      </c>
      <c r="E9" s="33" t="str">
        <f>IF($A9="","",IF($D9=0,"",MAXIFS(Registro!$A:$A,Registro!$B:$B,$A9,Registro!$F:$F,"Ingreso")))</f>
        <v/>
      </c>
      <c r="F9" s="33" t="str">
        <f>IF($A9="","",IF(COUNTIFS(Registro!$B:$B,$A9,Registro!$F:$F,"Salida")=0,"",MAXIFS(Registro!$A:$A,Registro!$B:$B,$A9,Registro!$F:$F,"Salida")))</f>
        <v/>
      </c>
      <c r="G9" s="20">
        <f>IF($A9="","",COUNTIFS(Registro!$B:$B,$A9,Registro!$F:$F,"Intento fallido"))</f>
        <v>0</v>
      </c>
      <c r="H9" s="34" t="str">
        <f t="shared" si="1"/>
        <v/>
      </c>
    </row>
    <row r="10">
      <c r="A10" s="19" t="str">
        <f>IF(Usuarios!$A10="","",Usuarios!$A10)</f>
        <v>967092</v>
      </c>
      <c r="B10" s="20" t="str">
        <f>IF($A10="","",Usuarios!$B10)</f>
        <v>Erika Dávila</v>
      </c>
      <c r="C10" s="20" t="str">
        <f>IF($A10="","",Usuarios!$E10)</f>
        <v>Instructor</v>
      </c>
      <c r="D10" s="20">
        <f>IF($A10="","",COUNTIFS(Registro!$B:$B,$A10,Registro!$F:$F,"Ingreso"))</f>
        <v>1</v>
      </c>
      <c r="E10" s="33">
        <f>IF($A10="","",IF($D10=0,"",MAXIFS(Registro!$A:$A,Registro!$B:$B,$A10,Registro!$F:$F,"Ingreso")))</f>
        <v>46311.55516</v>
      </c>
      <c r="F10" s="33" t="str">
        <f>IF($A10="","",IF(COUNTIFS(Registro!$B:$B,$A10,Registro!$F:$F,"Salida")=0,"",MAXIFS(Registro!$A:$A,Registro!$B:$B,$A10,Registro!$F:$F,"Salida")))</f>
        <v/>
      </c>
      <c r="G10" s="20">
        <f>IF($A10="","",COUNTIFS(Registro!$B:$B,$A10,Registro!$F:$F,"Intento fallido"))</f>
        <v>0</v>
      </c>
      <c r="H10" s="34">
        <f t="shared" si="1"/>
        <v>7</v>
      </c>
    </row>
    <row r="11">
      <c r="A11" s="19" t="str">
        <f>IF(Usuarios!$A11="","",Usuarios!$A11)</f>
        <v>2369641</v>
      </c>
      <c r="B11" s="20" t="str">
        <f>IF($A11="","",Usuarios!$B11)</f>
        <v>Elizabeth Torres</v>
      </c>
      <c r="C11" s="20" t="str">
        <f>IF($A11="","",Usuarios!$E11)</f>
        <v>Instructor</v>
      </c>
      <c r="D11" s="20">
        <f>IF($A11="","",COUNTIFS(Registro!$B:$B,$A11,Registro!$F:$F,"Ingreso"))</f>
        <v>2</v>
      </c>
      <c r="E11" s="33">
        <f>IF($A11="","",IF($D11=0,"",MAXIFS(Registro!$A:$A,Registro!$B:$B,$A11,Registro!$F:$F,"Ingreso")))</f>
        <v>46314.68911</v>
      </c>
      <c r="F11" s="33" t="str">
        <f>IF($A11="","",IF(COUNTIFS(Registro!$B:$B,$A11,Registro!$F:$F,"Salida")=0,"",MAXIFS(Registro!$A:$A,Registro!$B:$B,$A11,Registro!$F:$F,"Salida")))</f>
        <v/>
      </c>
      <c r="G11" s="20">
        <f>IF($A11="","",COUNTIFS(Registro!$B:$B,$A11,Registro!$F:$F,"Intento fallido"))</f>
        <v>1</v>
      </c>
      <c r="H11" s="34">
        <f t="shared" si="1"/>
        <v>4</v>
      </c>
    </row>
    <row r="12">
      <c r="A12" s="19" t="str">
        <f>IF(Usuarios!$A12="","",Usuarios!$A12)</f>
        <v>2369624</v>
      </c>
      <c r="B12" s="20" t="str">
        <f>IF($A12="","",Usuarios!$B12)</f>
        <v>Patricia Najar</v>
      </c>
      <c r="C12" s="20" t="str">
        <f>IF($A12="","",Usuarios!$E12)</f>
        <v>Instructor</v>
      </c>
      <c r="D12" s="20">
        <f>IF($A12="","",COUNTIFS(Registro!$B:$B,$A12,Registro!$F:$F,"Ingreso"))</f>
        <v>1</v>
      </c>
      <c r="E12" s="33">
        <f>IF($A12="","",IF($D12=0,"",MAXIFS(Registro!$A:$A,Registro!$B:$B,$A12,Registro!$F:$F,"Ingreso")))</f>
        <v>46314.54369</v>
      </c>
      <c r="F12" s="33" t="str">
        <f>IF($A12="","",IF(COUNTIFS(Registro!$B:$B,$A12,Registro!$F:$F,"Salida")=0,"",MAXIFS(Registro!$A:$A,Registro!$B:$B,$A12,Registro!$F:$F,"Salida")))</f>
        <v/>
      </c>
      <c r="G12" s="20">
        <f>IF($A12="","",COUNTIFS(Registro!$B:$B,$A12,Registro!$F:$F,"Intento fallido"))</f>
        <v>1</v>
      </c>
      <c r="H12" s="34">
        <f t="shared" si="1"/>
        <v>4</v>
      </c>
    </row>
    <row r="13">
      <c r="A13" s="19" t="str">
        <f>IF(Usuarios!$A13="","",Usuarios!$A13)</f>
        <v>3134911</v>
      </c>
      <c r="B13" s="20" t="str">
        <f>IF($A13="","",Usuarios!$B13)</f>
        <v>Javier Zapata</v>
      </c>
      <c r="C13" s="20" t="str">
        <f>IF($A13="","",Usuarios!$E13)</f>
        <v>Instructor</v>
      </c>
      <c r="D13" s="20">
        <f>IF($A13="","",COUNTIFS(Registro!$B:$B,$A13,Registro!$F:$F,"Ingreso"))</f>
        <v>0</v>
      </c>
      <c r="E13" s="33" t="str">
        <f>IF($A13="","",IF($D13=0,"",MAXIFS(Registro!$A:$A,Registro!$B:$B,$A13,Registro!$F:$F,"Ingreso")))</f>
        <v/>
      </c>
      <c r="F13" s="33" t="str">
        <f>IF($A13="","",IF(COUNTIFS(Registro!$B:$B,$A13,Registro!$F:$F,"Salida")=0,"",MAXIFS(Registro!$A:$A,Registro!$B:$B,$A13,Registro!$F:$F,"Salida")))</f>
        <v/>
      </c>
      <c r="G13" s="20">
        <f>IF($A13="","",COUNTIFS(Registro!$B:$B,$A13,Registro!$F:$F,"Intento fallido"))</f>
        <v>0</v>
      </c>
      <c r="H13" s="34" t="str">
        <f t="shared" si="1"/>
        <v/>
      </c>
    </row>
    <row r="14">
      <c r="A14" s="19" t="str">
        <f>IF(Usuarios!$A14="","",Usuarios!$A14)</f>
        <v>3750335</v>
      </c>
      <c r="B14" s="20" t="str">
        <f>IF($A14="","",Usuarios!$B14)</f>
        <v>Jefferson Mendez</v>
      </c>
      <c r="C14" s="20" t="str">
        <f>IF($A14="","",Usuarios!$E14)</f>
        <v>Instructor</v>
      </c>
      <c r="D14" s="20">
        <f>IF($A14="","",COUNTIFS(Registro!$B:$B,$A14,Registro!$F:$F,"Ingreso"))</f>
        <v>1</v>
      </c>
      <c r="E14" s="33">
        <f>IF($A14="","",IF($D14=0,"",MAXIFS(Registro!$A:$A,Registro!$B:$B,$A14,Registro!$F:$F,"Ingreso")))</f>
        <v>46311.55256</v>
      </c>
      <c r="F14" s="33" t="str">
        <f>IF($A14="","",IF(COUNTIFS(Registro!$B:$B,$A14,Registro!$F:$F,"Salida")=0,"",MAXIFS(Registro!$A:$A,Registro!$B:$B,$A14,Registro!$F:$F,"Salida")))</f>
        <v/>
      </c>
      <c r="G14" s="20">
        <f>IF($A14="","",COUNTIFS(Registro!$B:$B,$A14,Registro!$F:$F,"Intento fallido"))</f>
        <v>0</v>
      </c>
      <c r="H14" s="34">
        <f t="shared" si="1"/>
        <v>7</v>
      </c>
    </row>
    <row r="15">
      <c r="A15" s="19" t="str">
        <f>IF(Usuarios!$A15="","",Usuarios!$A15)</f>
        <v>3852423</v>
      </c>
      <c r="B15" s="20" t="str">
        <f>IF($A15="","",Usuarios!$B15)</f>
        <v>Gabriela Ungaro</v>
      </c>
      <c r="C15" s="20" t="str">
        <f>IF($A15="","",Usuarios!$E15)</f>
        <v>Instructor</v>
      </c>
      <c r="D15" s="20">
        <f>IF($A15="","",COUNTIFS(Registro!$B:$B,$A15,Registro!$F:$F,"Ingreso"))</f>
        <v>1</v>
      </c>
      <c r="E15" s="33">
        <f>IF($A15="","",IF($D15=0,"",MAXIFS(Registro!$A:$A,Registro!$B:$B,$A15,Registro!$F:$F,"Ingreso")))</f>
        <v>46314.51152</v>
      </c>
      <c r="F15" s="33" t="str">
        <f>IF($A15="","",IF(COUNTIFS(Registro!$B:$B,$A15,Registro!$F:$F,"Salida")=0,"",MAXIFS(Registro!$A:$A,Registro!$B:$B,$A15,Registro!$F:$F,"Salida")))</f>
        <v/>
      </c>
      <c r="G15" s="20">
        <f>IF($A15="","",COUNTIFS(Registro!$B:$B,$A15,Registro!$F:$F,"Intento fallido"))</f>
        <v>1</v>
      </c>
      <c r="H15" s="34">
        <f t="shared" si="1"/>
        <v>4</v>
      </c>
    </row>
    <row r="16">
      <c r="A16" s="19" t="str">
        <f>IF(Usuarios!$A16="","",Usuarios!$A16)</f>
        <v>2604360</v>
      </c>
      <c r="B16" s="20" t="str">
        <f>IF($A16="","",Usuarios!$B16)</f>
        <v>Mariella Carrasco</v>
      </c>
      <c r="C16" s="20" t="str">
        <f>IF($A16="","",Usuarios!$E16)</f>
        <v>Instructor</v>
      </c>
      <c r="D16" s="20">
        <f>IF($A16="","",COUNTIFS(Registro!$B:$B,$A16,Registro!$F:$F,"Ingreso"))</f>
        <v>5</v>
      </c>
      <c r="E16" s="33">
        <f>IF($A16="","",IF($D16=0,"",MAXIFS(Registro!$A:$A,Registro!$B:$B,$A16,Registro!$F:$F,"Ingreso")))</f>
        <v>46315.228</v>
      </c>
      <c r="F16" s="33" t="str">
        <f>IF($A16="","",IF(COUNTIFS(Registro!$B:$B,$A16,Registro!$F:$F,"Salida")=0,"",MAXIFS(Registro!$A:$A,Registro!$B:$B,$A16,Registro!$F:$F,"Salida")))</f>
        <v/>
      </c>
      <c r="G16" s="20">
        <f>IF($A16="","",COUNTIFS(Registro!$B:$B,$A16,Registro!$F:$F,"Intento fallido"))</f>
        <v>0</v>
      </c>
      <c r="H16" s="34">
        <f t="shared" si="1"/>
        <v>3</v>
      </c>
    </row>
    <row r="17">
      <c r="A17" s="19" t="str">
        <f>IF(Usuarios!$A17="","",Usuarios!$A17)</f>
        <v>2823133</v>
      </c>
      <c r="B17" s="20" t="str">
        <f>IF($A17="","",Usuarios!$B17)</f>
        <v>Cesar Campos</v>
      </c>
      <c r="C17" s="20" t="str">
        <f>IF($A17="","",Usuarios!$E17)</f>
        <v>Instructor</v>
      </c>
      <c r="D17" s="20">
        <f>IF($A17="","",COUNTIFS(Registro!$B:$B,$A17,Registro!$F:$F,"Ingreso"))</f>
        <v>8</v>
      </c>
      <c r="E17" s="33">
        <f>IF($A17="","",IF($D17=0,"",MAXIFS(Registro!$A:$A,Registro!$B:$B,$A17,Registro!$F:$F,"Ingreso")))</f>
        <v>46314.69265</v>
      </c>
      <c r="F17" s="33">
        <f>IF($A17="","",IF(COUNTIFS(Registro!$B:$B,$A17,Registro!$F:$F,"Salida")=0,"",MAXIFS(Registro!$A:$A,Registro!$B:$B,$A17,Registro!$F:$F,"Salida")))</f>
        <v>46307.65403</v>
      </c>
      <c r="G17" s="20">
        <f>IF($A17="","",COUNTIFS(Registro!$B:$B,$A17,Registro!$F:$F,"Intento fallido"))</f>
        <v>6</v>
      </c>
      <c r="H17" s="34">
        <f t="shared" si="1"/>
        <v>4</v>
      </c>
    </row>
    <row r="18">
      <c r="A18" s="19" t="str">
        <f>IF(Usuarios!$A18="","",Usuarios!$A18)</f>
        <v>3189967</v>
      </c>
      <c r="B18" s="20" t="str">
        <f>IF($A18="","",Usuarios!$B18)</f>
        <v>Kevin Segovia</v>
      </c>
      <c r="C18" s="20" t="str">
        <f>IF($A18="","",Usuarios!$E18)</f>
        <v>Instructor</v>
      </c>
      <c r="D18" s="20">
        <f>IF($A18="","",COUNTIFS(Registro!$B:$B,$A18,Registro!$F:$F,"Ingreso"))</f>
        <v>3</v>
      </c>
      <c r="E18" s="33">
        <f>IF($A18="","",IF($D18=0,"",MAXIFS(Registro!$A:$A,Registro!$B:$B,$A18,Registro!$F:$F,"Ingreso")))</f>
        <v>46314.35282</v>
      </c>
      <c r="F18" s="33" t="str">
        <f>IF($A18="","",IF(COUNTIFS(Registro!$B:$B,$A18,Registro!$F:$F,"Salida")=0,"",MAXIFS(Registro!$A:$A,Registro!$B:$B,$A18,Registro!$F:$F,"Salida")))</f>
        <v/>
      </c>
      <c r="G18" s="20">
        <f>IF($A18="","",COUNTIFS(Registro!$B:$B,$A18,Registro!$F:$F,"Intento fallido"))</f>
        <v>1</v>
      </c>
      <c r="H18" s="34">
        <f t="shared" si="1"/>
        <v>4</v>
      </c>
    </row>
    <row r="19">
      <c r="A19" s="19" t="str">
        <f>IF(Usuarios!$A19="","",Usuarios!$A19)</f>
        <v>2415373</v>
      </c>
      <c r="B19" s="20" t="str">
        <f>IF($A19="","",Usuarios!$B19)</f>
        <v>Milagros Salas</v>
      </c>
      <c r="C19" s="20" t="str">
        <f>IF($A19="","",Usuarios!$E19)</f>
        <v>Instructor</v>
      </c>
      <c r="D19" s="20">
        <f>IF($A19="","",COUNTIFS(Registro!$B:$B,$A19,Registro!$F:$F,"Ingreso"))</f>
        <v>9</v>
      </c>
      <c r="E19" s="33">
        <f>IF($A19="","",IF($D19=0,"",MAXIFS(Registro!$A:$A,Registro!$B:$B,$A19,Registro!$F:$F,"Ingreso")))</f>
        <v>46316.46589</v>
      </c>
      <c r="F19" s="33">
        <f>IF($A19="","",IF(COUNTIFS(Registro!$B:$B,$A19,Registro!$F:$F,"Salida")=0,"",MAXIFS(Registro!$A:$A,Registro!$B:$B,$A19,Registro!$F:$F,"Salida")))</f>
        <v>46311.37396</v>
      </c>
      <c r="G19" s="20">
        <f>IF($A19="","",COUNTIFS(Registro!$B:$B,$A19,Registro!$F:$F,"Intento fallido"))</f>
        <v>10</v>
      </c>
      <c r="H19" s="34">
        <f t="shared" si="1"/>
        <v>2</v>
      </c>
    </row>
    <row r="20">
      <c r="A20" s="19" t="str">
        <f>IF(Usuarios!$A20="","",Usuarios!$A20)</f>
        <v>2440915</v>
      </c>
      <c r="B20" s="20" t="str">
        <f>IF($A20="","",Usuarios!$B20)</f>
        <v>Judith Fernandez</v>
      </c>
      <c r="C20" s="20" t="str">
        <f>IF($A20="","",Usuarios!$E20)</f>
        <v>Instructor</v>
      </c>
      <c r="D20" s="20">
        <f>IF($A20="","",COUNTIFS(Registro!$B:$B,$A20,Registro!$F:$F,"Ingreso"))</f>
        <v>2</v>
      </c>
      <c r="E20" s="33">
        <f>IF($A20="","",IF($D20=0,"",MAXIFS(Registro!$A:$A,Registro!$B:$B,$A20,Registro!$F:$F,"Ingreso")))</f>
        <v>46315.67404</v>
      </c>
      <c r="F20" s="33" t="str">
        <f>IF($A20="","",IF(COUNTIFS(Registro!$B:$B,$A20,Registro!$F:$F,"Salida")=0,"",MAXIFS(Registro!$A:$A,Registro!$B:$B,$A20,Registro!$F:$F,"Salida")))</f>
        <v/>
      </c>
      <c r="G20" s="20">
        <f>IF($A20="","",COUNTIFS(Registro!$B:$B,$A20,Registro!$F:$F,"Intento fallido"))</f>
        <v>0</v>
      </c>
      <c r="H20" s="34">
        <f t="shared" si="1"/>
        <v>3</v>
      </c>
    </row>
    <row r="21" ht="15.75" customHeight="1">
      <c r="A21" s="19" t="str">
        <f>IF(Usuarios!$A21="","",Usuarios!$A21)</f>
        <v>3796947</v>
      </c>
      <c r="B21" s="20" t="str">
        <f>IF($A21="","",Usuarios!$B21)</f>
        <v>Rafael Nieto</v>
      </c>
      <c r="C21" s="20" t="str">
        <f>IF($A21="","",Usuarios!$E21)</f>
        <v>Instructor</v>
      </c>
      <c r="D21" s="20">
        <f>IF($A21="","",COUNTIFS(Registro!$B:$B,$A21,Registro!$F:$F,"Ingreso"))</f>
        <v>1</v>
      </c>
      <c r="E21" s="33">
        <f>IF($A21="","",IF($D21=0,"",MAXIFS(Registro!$A:$A,Registro!$B:$B,$A21,Registro!$F:$F,"Ingreso")))</f>
        <v>46311.55555</v>
      </c>
      <c r="F21" s="33" t="str">
        <f>IF($A21="","",IF(COUNTIFS(Registro!$B:$B,$A21,Registro!$F:$F,"Salida")=0,"",MAXIFS(Registro!$A:$A,Registro!$B:$B,$A21,Registro!$F:$F,"Salida")))</f>
        <v/>
      </c>
      <c r="G21" s="20">
        <f>IF($A21="","",COUNTIFS(Registro!$B:$B,$A21,Registro!$F:$F,"Intento fallido"))</f>
        <v>0</v>
      </c>
      <c r="H21" s="34">
        <f t="shared" si="1"/>
        <v>7</v>
      </c>
    </row>
    <row r="22" ht="15.75" customHeight="1">
      <c r="A22" s="19" t="str">
        <f>IF(Usuarios!$A22="","",Usuarios!$A22)</f>
        <v>3841387</v>
      </c>
      <c r="B22" s="20" t="str">
        <f>IF($A22="","",Usuarios!$B22)</f>
        <v>Gianfranco Celiz</v>
      </c>
      <c r="C22" s="20" t="str">
        <f>IF($A22="","",Usuarios!$E22)</f>
        <v>Instructor</v>
      </c>
      <c r="D22" s="20">
        <f>IF($A22="","",COUNTIFS(Registro!$B:$B,$A22,Registro!$F:$F,"Ingreso"))</f>
        <v>2</v>
      </c>
      <c r="E22" s="33">
        <f>IF($A22="","",IF($D22=0,"",MAXIFS(Registro!$A:$A,Registro!$B:$B,$A22,Registro!$F:$F,"Ingreso")))</f>
        <v>46311.58823</v>
      </c>
      <c r="F22" s="33" t="str">
        <f>IF($A22="","",IF(COUNTIFS(Registro!$B:$B,$A22,Registro!$F:$F,"Salida")=0,"",MAXIFS(Registro!$A:$A,Registro!$B:$B,$A22,Registro!$F:$F,"Salida")))</f>
        <v/>
      </c>
      <c r="G22" s="20">
        <f>IF($A22="","",COUNTIFS(Registro!$B:$B,$A22,Registro!$F:$F,"Intento fallido"))</f>
        <v>0</v>
      </c>
      <c r="H22" s="34">
        <f t="shared" si="1"/>
        <v>7</v>
      </c>
    </row>
    <row r="23" ht="15.75" customHeight="1">
      <c r="A23" s="19" t="str">
        <f>IF(Usuarios!$A23="","",Usuarios!$A23)</f>
        <v>6019028</v>
      </c>
      <c r="B23" s="20" t="str">
        <f>IF($A23="","",Usuarios!$B23)</f>
        <v>Fernando Celadita</v>
      </c>
      <c r="C23" s="20" t="str">
        <f>IF($A23="","",Usuarios!$E23)</f>
        <v>Administrador</v>
      </c>
      <c r="D23" s="20">
        <f>IF($A23="","",COUNTIFS(Registro!$B:$B,$A23,Registro!$F:$F,"Ingreso"))</f>
        <v>43</v>
      </c>
      <c r="E23" s="33">
        <f>IF($A23="","",IF($D23=0,"",MAXIFS(Registro!$A:$A,Registro!$B:$B,$A23,Registro!$F:$F,"Ingreso")))</f>
        <v>46311.45483</v>
      </c>
      <c r="F23" s="33">
        <f>IF($A23="","",IF(COUNTIFS(Registro!$B:$B,$A23,Registro!$F:$F,"Salida")=0,"",MAXIFS(Registro!$A:$A,Registro!$B:$B,$A23,Registro!$F:$F,"Salida")))</f>
        <v>46311.45168</v>
      </c>
      <c r="G23" s="20">
        <f>IF($A23="","",COUNTIFS(Registro!$B:$B,$A23,Registro!$F:$F,"Intento fallido"))</f>
        <v>2</v>
      </c>
      <c r="H23" s="34">
        <f t="shared" si="1"/>
        <v>7</v>
      </c>
    </row>
    <row r="24" ht="15.75" customHeight="1">
      <c r="A24" s="19" t="str">
        <f>IF(Usuarios!$A24="","",Usuarios!$A24)</f>
        <v>6014982</v>
      </c>
      <c r="B24" s="20" t="str">
        <f>IF($A24="","",Usuarios!$B24)</f>
        <v>Mario Fernandez</v>
      </c>
      <c r="C24" s="20" t="str">
        <f>IF($A24="","",Usuarios!$E24)</f>
        <v>Administrador</v>
      </c>
      <c r="D24" s="20">
        <f>IF($A24="","",COUNTIFS(Registro!$B:$B,$A24,Registro!$F:$F,"Ingreso"))</f>
        <v>4</v>
      </c>
      <c r="E24" s="33">
        <f>IF($A24="","",IF($D24=0,"",MAXIFS(Registro!$A:$A,Registro!$B:$B,$A24,Registro!$F:$F,"Ingreso")))</f>
        <v>46311.55029</v>
      </c>
      <c r="F24" s="33">
        <f>IF($A24="","",IF(COUNTIFS(Registro!$B:$B,$A24,Registro!$F:$F,"Salida")=0,"",MAXIFS(Registro!$A:$A,Registro!$B:$B,$A24,Registro!$F:$F,"Salida")))</f>
        <v>46311.53207</v>
      </c>
      <c r="G24" s="20">
        <f>IF($A24="","",COUNTIFS(Registro!$B:$B,$A24,Registro!$F:$F,"Intento fallido"))</f>
        <v>1</v>
      </c>
      <c r="H24" s="34">
        <f t="shared" si="1"/>
        <v>7</v>
      </c>
    </row>
    <row r="25" ht="15.75" customHeight="1">
      <c r="A25" s="35" t="str">
        <f>IF(Usuarios!$A25="","",Usuarios!$A25)</f>
        <v>31096</v>
      </c>
      <c r="B25" s="20" t="str">
        <f>IF($A25="","",Usuarios!$B25)</f>
        <v>Jorge Bodero</v>
      </c>
      <c r="C25" s="20" t="str">
        <f>IF($A25="","",Usuarios!$E25)</f>
        <v>Administrador</v>
      </c>
      <c r="D25" s="20">
        <f>IF($A25="","",COUNTIFS(Registro!$B:$B,$A25,Registro!$F:$F,"Ingreso"))</f>
        <v>8</v>
      </c>
      <c r="E25" s="33">
        <f>IF($A25="","",IF($D25=0,"",MAXIFS(Registro!$A:$A,Registro!$B:$B,$A25,Registro!$F:$F,"Ingreso")))</f>
        <v>46315.55994</v>
      </c>
      <c r="F25" s="33" t="str">
        <f>IF($A25="","",IF(COUNTIFS(Registro!$B:$B,$A25,Registro!$F:$F,"Salida")=0,"",MAXIFS(Registro!$A:$A,Registro!$B:$B,$A25,Registro!$F:$F,"Salida")))</f>
        <v/>
      </c>
      <c r="G25" s="20">
        <f>IF($A25="","",COUNTIFS(Registro!$B:$B,$A25,Registro!$F:$F,"Intento fallido"))</f>
        <v>0</v>
      </c>
      <c r="H25" s="34">
        <f t="shared" si="1"/>
        <v>3</v>
      </c>
    </row>
    <row r="26" ht="15.75" customHeight="1">
      <c r="A26" s="35" t="str">
        <f>IF(Usuarios!$A26="","",Usuarios!$A26)</f>
        <v>4274543</v>
      </c>
      <c r="B26" s="20" t="str">
        <f>IF($A26="","",Usuarios!$B26)</f>
        <v>Anto C.</v>
      </c>
      <c r="C26" s="20" t="str">
        <f>IF($A26="","",Usuarios!$E26)</f>
        <v>Administrador</v>
      </c>
      <c r="D26" s="20">
        <f>IF($A26="","",COUNTIFS(Registro!$B:$B,$A26,Registro!$F:$F,"Ingreso"))</f>
        <v>2</v>
      </c>
      <c r="E26" s="33">
        <f>IF($A26="","",IF($D26=0,"",MAXIFS(Registro!$A:$A,Registro!$B:$B,$A26,Registro!$F:$F,"Ingreso")))</f>
        <v>46309.46902</v>
      </c>
      <c r="F26" s="33" t="str">
        <f>IF($A26="","",IF(COUNTIFS(Registro!$B:$B,$A26,Registro!$F:$F,"Salida")=0,"",MAXIFS(Registro!$A:$A,Registro!$B:$B,$A26,Registro!$F:$F,"Salida")))</f>
        <v/>
      </c>
      <c r="G26" s="20">
        <f>IF($A26="","",COUNTIFS(Registro!$B:$B,$A26,Registro!$F:$F,"Intento fallido"))</f>
        <v>1</v>
      </c>
      <c r="H26" s="34">
        <f t="shared" si="1"/>
        <v>9</v>
      </c>
    </row>
    <row r="27" ht="15.75" customHeight="1">
      <c r="A27" s="35" t="str">
        <f>IF(Usuarios!$A27="","",Usuarios!$A27)</f>
        <v>3194152</v>
      </c>
      <c r="B27" s="20" t="str">
        <f>IF($A27="","",Usuarios!$B27)</f>
        <v>Virginia Sullca</v>
      </c>
      <c r="C27" s="20" t="str">
        <f>IF($A27="","",Usuarios!$E27)</f>
        <v>Administrador</v>
      </c>
      <c r="D27" s="20">
        <f>IF($A27="","",COUNTIFS(Registro!$B:$B,$A27,Registro!$F:$F,"Ingreso"))</f>
        <v>2</v>
      </c>
      <c r="E27" s="33">
        <f>IF($A27="","",IF($D27=0,"",MAXIFS(Registro!$A:$A,Registro!$B:$B,$A27,Registro!$F:$F,"Ingreso")))</f>
        <v>46316.57069</v>
      </c>
      <c r="F27" s="33" t="str">
        <f>IF($A27="","",IF(COUNTIFS(Registro!$B:$B,$A27,Registro!$F:$F,"Salida")=0,"",MAXIFS(Registro!$A:$A,Registro!$B:$B,$A27,Registro!$F:$F,"Salida")))</f>
        <v/>
      </c>
      <c r="G27" s="20">
        <f>IF($A27="","",COUNTIFS(Registro!$B:$B,$A27,Registro!$F:$F,"Intento fallido"))</f>
        <v>0</v>
      </c>
      <c r="H27" s="34">
        <f t="shared" si="1"/>
        <v>2</v>
      </c>
    </row>
    <row r="28" ht="15.75" customHeight="1">
      <c r="A28" s="20" t="str">
        <f>IF(Usuarios!$A28="","",Usuarios!$A28)</f>
        <v/>
      </c>
      <c r="B28" s="20" t="str">
        <f>IF($A28="","",Usuarios!$B28)</f>
        <v/>
      </c>
      <c r="C28" s="20" t="str">
        <f>IF($A28="","",Usuarios!$E28)</f>
        <v/>
      </c>
      <c r="D28" s="20" t="str">
        <f>IF($A28="","",COUNTIFS(Registro!$B:$B,$A28,Registro!$F:$F,"Ingreso"))</f>
        <v/>
      </c>
      <c r="E28" s="33" t="str">
        <f>IF($A28="","",IF($D28=0,"",MAXIFS(Registro!$A:$A,Registro!$B:$B,$A28,Registro!$F:$F,"Ingreso")))</f>
        <v/>
      </c>
      <c r="F28" s="33" t="str">
        <f>IF($A28="","",IF(COUNTIFS(Registro!$B:$B,$A28,Registro!$F:$F,"Salida")=0,"",MAXIFS(Registro!$A:$A,Registro!$B:$B,$A28,Registro!$F:$F,"Salida")))</f>
        <v/>
      </c>
      <c r="G28" s="20" t="str">
        <f>IF($A28="","",COUNTIFS(Registro!$B:$B,$A28,Registro!$F:$F,"Intento fallido"))</f>
        <v/>
      </c>
      <c r="H28" s="34" t="str">
        <f t="shared" si="1"/>
        <v/>
      </c>
    </row>
    <row r="29" ht="15.75" customHeight="1">
      <c r="A29" s="20" t="str">
        <f>IF(Usuarios!$A29="","",Usuarios!$A29)</f>
        <v/>
      </c>
      <c r="B29" s="20" t="str">
        <f>IF($A29="","",Usuarios!$B29)</f>
        <v/>
      </c>
      <c r="C29" s="20" t="str">
        <f>IF($A29="","",Usuarios!$E29)</f>
        <v/>
      </c>
      <c r="D29" s="20" t="str">
        <f>IF($A29="","",COUNTIFS(Registro!$B:$B,$A29,Registro!$F:$F,"Ingreso"))</f>
        <v/>
      </c>
      <c r="E29" s="33" t="str">
        <f>IF($A29="","",IF($D29=0,"",MAXIFS(Registro!$A:$A,Registro!$B:$B,$A29,Registro!$F:$F,"Ingreso")))</f>
        <v/>
      </c>
      <c r="F29" s="33" t="str">
        <f>IF($A29="","",IF(COUNTIFS(Registro!$B:$B,$A29,Registro!$F:$F,"Salida")=0,"",MAXIFS(Registro!$A:$A,Registro!$B:$B,$A29,Registro!$F:$F,"Salida")))</f>
        <v/>
      </c>
      <c r="G29" s="20" t="str">
        <f>IF($A29="","",COUNTIFS(Registro!$B:$B,$A29,Registro!$F:$F,"Intento fallido"))</f>
        <v/>
      </c>
      <c r="H29" s="34" t="str">
        <f t="shared" si="1"/>
        <v/>
      </c>
    </row>
    <row r="30" ht="15.75" customHeight="1">
      <c r="A30" s="20" t="str">
        <f>IF(Usuarios!$A30="","",Usuarios!$A30)</f>
        <v/>
      </c>
      <c r="B30" s="20" t="str">
        <f>IF($A30="","",Usuarios!$B30)</f>
        <v/>
      </c>
      <c r="C30" s="20" t="str">
        <f>IF($A30="","",Usuarios!$E30)</f>
        <v/>
      </c>
      <c r="D30" s="20" t="str">
        <f>IF($A30="","",COUNTIFS(Registro!$B:$B,$A30,Registro!$F:$F,"Ingreso"))</f>
        <v/>
      </c>
      <c r="E30" s="33" t="str">
        <f>IF($A30="","",IF($D30=0,"",MAXIFS(Registro!$A:$A,Registro!$B:$B,$A30,Registro!$F:$F,"Ingreso")))</f>
        <v/>
      </c>
      <c r="F30" s="33" t="str">
        <f>IF($A30="","",IF(COUNTIFS(Registro!$B:$B,$A30,Registro!$F:$F,"Salida")=0,"",MAXIFS(Registro!$A:$A,Registro!$B:$B,$A30,Registro!$F:$F,"Salida")))</f>
        <v/>
      </c>
      <c r="G30" s="20" t="str">
        <f>IF($A30="","",COUNTIFS(Registro!$B:$B,$A30,Registro!$F:$F,"Intento fallido"))</f>
        <v/>
      </c>
      <c r="H30" s="34" t="str">
        <f t="shared" si="1"/>
        <v/>
      </c>
    </row>
    <row r="31" ht="15.75" customHeight="1">
      <c r="A31" s="20" t="str">
        <f>IF(Usuarios!$A31="","",Usuarios!$A31)</f>
        <v/>
      </c>
      <c r="B31" s="20" t="str">
        <f>IF($A31="","",Usuarios!$B31)</f>
        <v/>
      </c>
      <c r="C31" s="20" t="str">
        <f>IF($A31="","",Usuarios!$E31)</f>
        <v/>
      </c>
      <c r="D31" s="20" t="str">
        <f>IF($A31="","",COUNTIFS(Registro!$B:$B,$A31,Registro!$F:$F,"Ingreso"))</f>
        <v/>
      </c>
      <c r="E31" s="33" t="str">
        <f>IF($A31="","",IF($D31=0,"",MAXIFS(Registro!$A:$A,Registro!$B:$B,$A31,Registro!$F:$F,"Ingreso")))</f>
        <v/>
      </c>
      <c r="F31" s="33" t="str">
        <f>IF($A31="","",IF(COUNTIFS(Registro!$B:$B,$A31,Registro!$F:$F,"Salida")=0,"",MAXIFS(Registro!$A:$A,Registro!$B:$B,$A31,Registro!$F:$F,"Salida")))</f>
        <v/>
      </c>
      <c r="G31" s="20" t="str">
        <f>IF($A31="","",COUNTIFS(Registro!$B:$B,$A31,Registro!$F:$F,"Intento fallido"))</f>
        <v/>
      </c>
      <c r="H31" s="34" t="str">
        <f t="shared" si="1"/>
        <v/>
      </c>
    </row>
    <row r="32" ht="15.75" customHeight="1">
      <c r="A32" s="20" t="str">
        <f>IF(Usuarios!$A32="","",Usuarios!$A32)</f>
        <v/>
      </c>
      <c r="B32" s="20" t="str">
        <f>IF($A32="","",Usuarios!$B32)</f>
        <v/>
      </c>
      <c r="C32" s="20" t="str">
        <f>IF($A32="","",Usuarios!$E32)</f>
        <v/>
      </c>
      <c r="D32" s="20" t="str">
        <f>IF($A32="","",COUNTIFS(Registro!$B:$B,$A32,Registro!$F:$F,"Ingreso"))</f>
        <v/>
      </c>
      <c r="E32" s="33" t="str">
        <f>IF($A32="","",IF($D32=0,"",MAXIFS(Registro!$A:$A,Registro!$B:$B,$A32,Registro!$F:$F,"Ingreso")))</f>
        <v/>
      </c>
      <c r="F32" s="33" t="str">
        <f>IF($A32="","",IF(COUNTIFS(Registro!$B:$B,$A32,Registro!$F:$F,"Salida")=0,"",MAXIFS(Registro!$A:$A,Registro!$B:$B,$A32,Registro!$F:$F,"Salida")))</f>
        <v/>
      </c>
      <c r="G32" s="20" t="str">
        <f>IF($A32="","",COUNTIFS(Registro!$B:$B,$A32,Registro!$F:$F,"Intento fallido"))</f>
        <v/>
      </c>
      <c r="H32" s="34" t="str">
        <f t="shared" si="1"/>
        <v/>
      </c>
    </row>
    <row r="33" ht="15.75" customHeight="1">
      <c r="A33" s="20" t="str">
        <f>IF(Usuarios!$A33="","",Usuarios!$A33)</f>
        <v/>
      </c>
      <c r="B33" s="20" t="str">
        <f>IF($A33="","",Usuarios!$B33)</f>
        <v/>
      </c>
      <c r="C33" s="20" t="str">
        <f>IF($A33="","",Usuarios!$E33)</f>
        <v/>
      </c>
      <c r="D33" s="20" t="str">
        <f>IF($A33="","",COUNTIFS(Registro!$B:$B,$A33,Registro!$F:$F,"Ingreso"))</f>
        <v/>
      </c>
      <c r="E33" s="33" t="str">
        <f>IF($A33="","",IF($D33=0,"",MAXIFS(Registro!$A:$A,Registro!$B:$B,$A33,Registro!$F:$F,"Ingreso")))</f>
        <v/>
      </c>
      <c r="F33" s="33" t="str">
        <f>IF($A33="","",IF(COUNTIFS(Registro!$B:$B,$A33,Registro!$F:$F,"Salida")=0,"",MAXIFS(Registro!$A:$A,Registro!$B:$B,$A33,Registro!$F:$F,"Salida")))</f>
        <v/>
      </c>
      <c r="G33" s="20" t="str">
        <f>IF($A33="","",COUNTIFS(Registro!$B:$B,$A33,Registro!$F:$F,"Intento fallido"))</f>
        <v/>
      </c>
      <c r="H33" s="34" t="str">
        <f t="shared" si="1"/>
        <v/>
      </c>
    </row>
    <row r="34" ht="15.75" customHeight="1">
      <c r="A34" s="20" t="str">
        <f>IF(Usuarios!$A34="","",Usuarios!$A34)</f>
        <v/>
      </c>
      <c r="B34" s="20" t="str">
        <f>IF($A34="","",Usuarios!$B34)</f>
        <v/>
      </c>
      <c r="C34" s="20" t="str">
        <f>IF($A34="","",Usuarios!$E34)</f>
        <v/>
      </c>
      <c r="D34" s="20" t="str">
        <f>IF($A34="","",COUNTIFS(Registro!$B:$B,$A34,Registro!$F:$F,"Ingreso"))</f>
        <v/>
      </c>
      <c r="E34" s="33" t="str">
        <f>IF($A34="","",IF($D34=0,"",MAXIFS(Registro!$A:$A,Registro!$B:$B,$A34,Registro!$F:$F,"Ingreso")))</f>
        <v/>
      </c>
      <c r="F34" s="33" t="str">
        <f>IF($A34="","",IF(COUNTIFS(Registro!$B:$B,$A34,Registro!$F:$F,"Salida")=0,"",MAXIFS(Registro!$A:$A,Registro!$B:$B,$A34,Registro!$F:$F,"Salida")))</f>
        <v/>
      </c>
      <c r="G34" s="20" t="str">
        <f>IF($A34="","",COUNTIFS(Registro!$B:$B,$A34,Registro!$F:$F,"Intento fallido"))</f>
        <v/>
      </c>
      <c r="H34" s="34" t="str">
        <f t="shared" si="1"/>
        <v/>
      </c>
    </row>
    <row r="35" ht="15.75" customHeight="1">
      <c r="A35" s="20" t="str">
        <f>IF(Usuarios!$A35="","",Usuarios!$A35)</f>
        <v/>
      </c>
      <c r="B35" s="20" t="str">
        <f>IF($A35="","",Usuarios!$B35)</f>
        <v/>
      </c>
      <c r="C35" s="20" t="str">
        <f>IF($A35="","",Usuarios!$E35)</f>
        <v/>
      </c>
      <c r="D35" s="20" t="str">
        <f>IF($A35="","",COUNTIFS(Registro!$B:$B,$A35,Registro!$F:$F,"Ingreso"))</f>
        <v/>
      </c>
      <c r="E35" s="33" t="str">
        <f>IF($A35="","",IF($D35=0,"",MAXIFS(Registro!$A:$A,Registro!$B:$B,$A35,Registro!$F:$F,"Ingreso")))</f>
        <v/>
      </c>
      <c r="F35" s="33" t="str">
        <f>IF($A35="","",IF(COUNTIFS(Registro!$B:$B,$A35,Registro!$F:$F,"Salida")=0,"",MAXIFS(Registro!$A:$A,Registro!$B:$B,$A35,Registro!$F:$F,"Salida")))</f>
        <v/>
      </c>
      <c r="G35" s="20" t="str">
        <f>IF($A35="","",COUNTIFS(Registro!$B:$B,$A35,Registro!$F:$F,"Intento fallido"))</f>
        <v/>
      </c>
      <c r="H35" s="34" t="str">
        <f t="shared" si="1"/>
        <v/>
      </c>
    </row>
    <row r="36" ht="15.75" customHeight="1">
      <c r="A36" s="20" t="str">
        <f>IF(Usuarios!$A36="","",Usuarios!$A36)</f>
        <v/>
      </c>
      <c r="B36" s="20" t="str">
        <f>IF($A36="","",Usuarios!$B36)</f>
        <v/>
      </c>
      <c r="C36" s="20" t="str">
        <f>IF($A36="","",Usuarios!$E36)</f>
        <v/>
      </c>
      <c r="D36" s="20" t="str">
        <f>IF($A36="","",COUNTIFS(Registro!$B:$B,$A36,Registro!$F:$F,"Ingreso"))</f>
        <v/>
      </c>
      <c r="E36" s="33" t="str">
        <f>IF($A36="","",IF($D36=0,"",MAXIFS(Registro!$A:$A,Registro!$B:$B,$A36,Registro!$F:$F,"Ingreso")))</f>
        <v/>
      </c>
      <c r="F36" s="33" t="str">
        <f>IF($A36="","",IF(COUNTIFS(Registro!$B:$B,$A36,Registro!$F:$F,"Salida")=0,"",MAXIFS(Registro!$A:$A,Registro!$B:$B,$A36,Registro!$F:$F,"Salida")))</f>
        <v/>
      </c>
      <c r="G36" s="20" t="str">
        <f>IF($A36="","",COUNTIFS(Registro!$B:$B,$A36,Registro!$F:$F,"Intento fallido"))</f>
        <v/>
      </c>
      <c r="H36" s="34" t="str">
        <f t="shared" si="1"/>
        <v/>
      </c>
    </row>
    <row r="37" ht="15.75" customHeight="1">
      <c r="A37" s="20" t="str">
        <f>IF(Usuarios!$A37="","",Usuarios!$A37)</f>
        <v/>
      </c>
      <c r="B37" s="20" t="str">
        <f>IF($A37="","",Usuarios!$B37)</f>
        <v/>
      </c>
      <c r="C37" s="20" t="str">
        <f>IF($A37="","",Usuarios!$E37)</f>
        <v/>
      </c>
      <c r="D37" s="20" t="str">
        <f>IF($A37="","",COUNTIFS(Registro!$B:$B,$A37,Registro!$F:$F,"Ingreso"))</f>
        <v/>
      </c>
      <c r="E37" s="33" t="str">
        <f>IF($A37="","",IF($D37=0,"",MAXIFS(Registro!$A:$A,Registro!$B:$B,$A37,Registro!$F:$F,"Ingreso")))</f>
        <v/>
      </c>
      <c r="F37" s="33" t="str">
        <f>IF($A37="","",IF(COUNTIFS(Registro!$B:$B,$A37,Registro!$F:$F,"Salida")=0,"",MAXIFS(Registro!$A:$A,Registro!$B:$B,$A37,Registro!$F:$F,"Salida")))</f>
        <v/>
      </c>
      <c r="G37" s="20" t="str">
        <f>IF($A37="","",COUNTIFS(Registro!$B:$B,$A37,Registro!$F:$F,"Intento fallido"))</f>
        <v/>
      </c>
      <c r="H37" s="34" t="str">
        <f t="shared" si="1"/>
        <v/>
      </c>
    </row>
    <row r="38" ht="15.75" customHeight="1">
      <c r="A38" s="20" t="str">
        <f>IF(Usuarios!$A38="","",Usuarios!$A38)</f>
        <v/>
      </c>
      <c r="B38" s="20" t="str">
        <f>IF($A38="","",Usuarios!$B38)</f>
        <v/>
      </c>
      <c r="C38" s="20" t="str">
        <f>IF($A38="","",Usuarios!$E38)</f>
        <v/>
      </c>
      <c r="D38" s="20" t="str">
        <f>IF($A38="","",COUNTIFS(Registro!$B:$B,$A38,Registro!$F:$F,"Ingreso"))</f>
        <v/>
      </c>
      <c r="E38" s="33" t="str">
        <f>IF($A38="","",IF($D38=0,"",MAXIFS(Registro!$A:$A,Registro!$B:$B,$A38,Registro!$F:$F,"Ingreso")))</f>
        <v/>
      </c>
      <c r="F38" s="33" t="str">
        <f>IF($A38="","",IF(COUNTIFS(Registro!$B:$B,$A38,Registro!$F:$F,"Salida")=0,"",MAXIFS(Registro!$A:$A,Registro!$B:$B,$A38,Registro!$F:$F,"Salida")))</f>
        <v/>
      </c>
      <c r="G38" s="20" t="str">
        <f>IF($A38="","",COUNTIFS(Registro!$B:$B,$A38,Registro!$F:$F,"Intento fallido"))</f>
        <v/>
      </c>
      <c r="H38" s="34" t="str">
        <f t="shared" si="1"/>
        <v/>
      </c>
    </row>
    <row r="39" ht="15.75" customHeight="1">
      <c r="A39" s="20" t="str">
        <f>IF(Usuarios!$A39="","",Usuarios!$A39)</f>
        <v/>
      </c>
      <c r="B39" s="20" t="str">
        <f>IF($A39="","",Usuarios!$B39)</f>
        <v/>
      </c>
      <c r="C39" s="20" t="str">
        <f>IF($A39="","",Usuarios!$E39)</f>
        <v/>
      </c>
      <c r="D39" s="20" t="str">
        <f>IF($A39="","",COUNTIFS(Registro!$B:$B,$A39,Registro!$F:$F,"Ingreso"))</f>
        <v/>
      </c>
      <c r="E39" s="33" t="str">
        <f>IF($A39="","",IF($D39=0,"",MAXIFS(Registro!$A:$A,Registro!$B:$B,$A39,Registro!$F:$F,"Ingreso")))</f>
        <v/>
      </c>
      <c r="F39" s="33" t="str">
        <f>IF($A39="","",IF(COUNTIFS(Registro!$B:$B,$A39,Registro!$F:$F,"Salida")=0,"",MAXIFS(Registro!$A:$A,Registro!$B:$B,$A39,Registro!$F:$F,"Salida")))</f>
        <v/>
      </c>
      <c r="G39" s="20" t="str">
        <f>IF($A39="","",COUNTIFS(Registro!$B:$B,$A39,Registro!$F:$F,"Intento fallido"))</f>
        <v/>
      </c>
      <c r="H39" s="34" t="str">
        <f t="shared" si="1"/>
        <v/>
      </c>
    </row>
    <row r="40" ht="15.75" customHeight="1">
      <c r="A40" s="20" t="str">
        <f>IF(Usuarios!$A40="","",Usuarios!$A40)</f>
        <v/>
      </c>
      <c r="B40" s="20" t="str">
        <f>IF($A40="","",Usuarios!$B40)</f>
        <v/>
      </c>
      <c r="C40" s="20" t="str">
        <f>IF($A40="","",Usuarios!$E40)</f>
        <v/>
      </c>
      <c r="D40" s="20" t="str">
        <f>IF($A40="","",COUNTIFS(Registro!$B:$B,$A40,Registro!$F:$F,"Ingreso"))</f>
        <v/>
      </c>
      <c r="E40" s="33" t="str">
        <f>IF($A40="","",IF($D40=0,"",MAXIFS(Registro!$A:$A,Registro!$B:$B,$A40,Registro!$F:$F,"Ingreso")))</f>
        <v/>
      </c>
      <c r="F40" s="33" t="str">
        <f>IF($A40="","",IF(COUNTIFS(Registro!$B:$B,$A40,Registro!$F:$F,"Salida")=0,"",MAXIFS(Registro!$A:$A,Registro!$B:$B,$A40,Registro!$F:$F,"Salida")))</f>
        <v/>
      </c>
      <c r="G40" s="20" t="str">
        <f>IF($A40="","",COUNTIFS(Registro!$B:$B,$A40,Registro!$F:$F,"Intento fallido"))</f>
        <v/>
      </c>
      <c r="H40" s="34" t="str">
        <f t="shared" si="1"/>
        <v/>
      </c>
    </row>
    <row r="41" ht="15.75" customHeight="1">
      <c r="A41" s="20" t="str">
        <f>IF(Usuarios!$A41="","",Usuarios!$A41)</f>
        <v/>
      </c>
      <c r="B41" s="20" t="str">
        <f>IF($A41="","",Usuarios!$B41)</f>
        <v/>
      </c>
      <c r="C41" s="20" t="str">
        <f>IF($A41="","",Usuarios!$E41)</f>
        <v/>
      </c>
      <c r="D41" s="20" t="str">
        <f>IF($A41="","",COUNTIFS(Registro!$B:$B,$A41,Registro!$F:$F,"Ingreso"))</f>
        <v/>
      </c>
      <c r="E41" s="33" t="str">
        <f>IF($A41="","",IF($D41=0,"",MAXIFS(Registro!$A:$A,Registro!$B:$B,$A41,Registro!$F:$F,"Ingreso")))</f>
        <v/>
      </c>
      <c r="F41" s="33" t="str">
        <f>IF($A41="","",IF(COUNTIFS(Registro!$B:$B,$A41,Registro!$F:$F,"Salida")=0,"",MAXIFS(Registro!$A:$A,Registro!$B:$B,$A41,Registro!$F:$F,"Salida")))</f>
        <v/>
      </c>
      <c r="G41" s="20" t="str">
        <f>IF($A41="","",COUNTIFS(Registro!$B:$B,$A41,Registro!$F:$F,"Intento fallido"))</f>
        <v/>
      </c>
      <c r="H41" s="34" t="str">
        <f t="shared" si="1"/>
        <v/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