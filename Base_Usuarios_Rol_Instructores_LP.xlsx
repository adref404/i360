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Vacaciones" sheetId="2" r:id="rId6"/>
    <sheet state="visible" name="VacacionesDias" sheetId="3" r:id="rId7"/>
    <sheet state="visible" name="VacacionesBloques" sheetId="4" r:id="rId8"/>
    <sheet state="visible" name="SolicitudesVacaciones" sheetId="5" r:id="rId9"/>
    <sheet state="visible" name="Roles" sheetId="6" r:id="rId10"/>
    <sheet state="visible" name="Respuestas" sheetId="7" r:id="rId11"/>
    <sheet state="visible" name="Usuarios" sheetId="8" r:id="rId12"/>
    <sheet state="visible" name="Fuentes" sheetId="9" r:id="rId13"/>
    <sheet state="visible" name="Solicitudes" sheetId="10" r:id="rId14"/>
    <sheet state="visible" name="Vigencias" sheetId="11" r:id="rId15"/>
    <sheet state="visible" name="Registro" sheetId="12" r:id="rId16"/>
    <sheet state="visible" name="Ultimo_Acceso" sheetId="13" r:id="rId17"/>
    <sheet state="visible" name="Permisos" sheetId="14" r:id="rId18"/>
  </sheets>
  <definedNames>
    <definedName hidden="1" localSheetId="7" name="_xlnm._FilterDatabase">Usuarios!$A$1:$J$60</definedName>
  </definedNames>
  <calcPr/>
</workbook>
</file>

<file path=xl/sharedStrings.xml><?xml version="1.0" encoding="utf-8"?>
<sst xmlns="http://schemas.openxmlformats.org/spreadsheetml/2006/main" count="1222" uniqueCount="278">
  <si>
    <t>Base de usuarios del Rol de Instructores LP</t>
  </si>
  <si>
    <t>Usuarios</t>
  </si>
  <si>
    <t>Una fila por persona. Para agregar a alguien, escribe una fila nueva debajo de la última. Las celdas amarillas de la columna Correo corporativo están por completar.</t>
  </si>
  <si>
    <t>Rol</t>
  </si>
  <si>
    <t>Instructor o Administrador. Se elige de la lista.</t>
  </si>
  <si>
    <t>Activo</t>
  </si>
  <si>
    <t>SI o NO. Para dar de baja a alguien, cambia a NO en lugar de borrar la fila, así se conserva su historial.</t>
  </si>
  <si>
    <t>Registro</t>
  </si>
  <si>
    <t>Lo llena la aplicación en cada ingreso, salida o intento fallido. No hace falta editarla a mano.</t>
  </si>
  <si>
    <t>Ultimo_Acceso</t>
  </si>
  <si>
    <t>Se calcula sola desde Usuarios y Registro. No escribir aquí.</t>
  </si>
  <si>
    <t>Permisos</t>
  </si>
  <si>
    <t>Qué vistas ve cada rol. SI muestra la vista y NO la oculta.</t>
  </si>
  <si>
    <t>Ejemplo de fila en Usuarios</t>
  </si>
  <si>
    <t>BP 1234567 | Nombre Apellido | APELLIDO APELLIDO NOMBRE | nombre.apellido@latam.com | Instructor | A319/A320/A321/B767 | JSB | INS | SI</t>
  </si>
  <si>
    <t>Ejemplo de fila en Registro</t>
  </si>
  <si>
    <t>27/09/2026 08:15:00 | 1234567 | Nombre Apellido | nombre.apellido@latam.com | Instructor | Ingreso | OK | Chrome en Windows</t>
  </si>
  <si>
    <t>Fuentes</t>
  </si>
  <si>
    <t>Un Google Sheet por mes (hoja ROL INS). Se agregan desde la app (Actualizar rol › Conectar Google Sheet) o escribiendo Mes (aaaa-mm) y el enlace. Activo = NO pausa la lectura.</t>
  </si>
  <si>
    <t>Solicitudes</t>
  </si>
  <si>
    <t>Pedidos de jefatura e instructores: BP, Nombre, Desde, Hasta, Tipo y Estado (asignado / no se asignó).</t>
  </si>
  <si>
    <t>Vigencias</t>
  </si>
  <si>
    <t>Experiencia reciente por BP (hoja BG INS). Escribe VENCIDO en la columna programada para generar una alerta.</t>
  </si>
  <si>
    <t>Acceso a la app</t>
  </si>
  <si>
    <t>Usuario = BP o correo corporativo. La primera vez, coordinación genera un código temporal (Usuarios y accesos) y la persona crea su contraseña. Las contraseñas no se guardan en este archivo.</t>
  </si>
  <si>
    <t>Vacaciones</t>
  </si>
  <si>
    <t>Una fila por instructor: fechas DGAC (inicio de su periodo), derecho 2025-26 y 2026-27 y "Programado por mes 2026" (mes:días, p. ej. 11:15; 12:7) para días sin fecha exacta.</t>
  </si>
  <si>
    <t>VacacionesDias / VacacionesBloques</t>
  </si>
  <si>
    <t>Días de vacaciones con fecha (uno por fila) y bloques programados (desde-hasta). Las solicitudes aprobadas en la app se suman solas.</t>
  </si>
  <si>
    <t>SolicitudesVacaciones</t>
  </si>
  <si>
    <t>Lo llena la app cuando un instructor pide días. Coordinación aprueba o rechaza en la pestaña Vacaciones.</t>
  </si>
  <si>
    <t>BP</t>
  </si>
  <si>
    <t>Nombre</t>
  </si>
  <si>
    <t>Fecha DGAC original</t>
  </si>
  <si>
    <t>Fecha DGAC 2025</t>
  </si>
  <si>
    <t>Fecha DGAC 2026</t>
  </si>
  <si>
    <t>Derecho 2025-26</t>
  </si>
  <si>
    <t>Derecho 2026-27</t>
  </si>
  <si>
    <t>Tomados 2025-26</t>
  </si>
  <si>
    <t>Programado por mes 2026</t>
  </si>
  <si>
    <t>GUERRA SUAREZ JAZMIN</t>
  </si>
  <si>
    <t>5:8; 6:7; 10:15; 12:11</t>
  </si>
  <si>
    <t>MOZ MONTES KARLA LISSETTE</t>
  </si>
  <si>
    <t>2:7</t>
  </si>
  <si>
    <t>DAVILA BELLO MARIA ERIKA</t>
  </si>
  <si>
    <t>1:15; 2:7; 8:24</t>
  </si>
  <si>
    <t>RONDON BARRUTIA CHRISTIAN ERIC</t>
  </si>
  <si>
    <t>2:6; 3:1; 5:7; 8:7</t>
  </si>
  <si>
    <t>NAJAR CRUZ PATRICIA DEL PILAR</t>
  </si>
  <si>
    <t>1:6; 4:7; 8:7; 9:7; 10:15</t>
  </si>
  <si>
    <t>TORRES POLO ELIZABETH DEL PILAR</t>
  </si>
  <si>
    <t>1:12; 6:8; 9:15; 11:7</t>
  </si>
  <si>
    <t>CORREA GARCIA JUAN SEBASTIAN</t>
  </si>
  <si>
    <t>4:18; 6:8; 11:5</t>
  </si>
  <si>
    <t>SALAS COSIO MILAGROS PATRICIA</t>
  </si>
  <si>
    <t>5:29; 10:15</t>
  </si>
  <si>
    <t>FERNANDEZ GARCIA JUDITH JULIET</t>
  </si>
  <si>
    <t>1:7; 2:14; 8:15; 10:8</t>
  </si>
  <si>
    <t>CARRASCO BENAVIDES ROSA MARIELLA</t>
  </si>
  <si>
    <t>2:10; 5:8; 9:15; 11:7</t>
  </si>
  <si>
    <t>RUIZ RIOJA FIORELLA DEL PILAR</t>
  </si>
  <si>
    <t>3:5; 5:2; 7:1; 10:29; 11:4</t>
  </si>
  <si>
    <t>CAMPOS CONCHE CESAR AUGUSTO</t>
  </si>
  <si>
    <t>6:15; 7:15; 12:11</t>
  </si>
  <si>
    <t>SANTA CRUZ HUAMAN KAREN</t>
  </si>
  <si>
    <t>1:14; 7:12; 10:16</t>
  </si>
  <si>
    <t>ZAPATA GARAYAR JAVIER RICARDO SALVADOR</t>
  </si>
  <si>
    <t>3:23; 10:23</t>
  </si>
  <si>
    <t>SEGOVIA TAPIA RAY KEVIN</t>
  </si>
  <si>
    <t>6:7; 8:16; 9:18</t>
  </si>
  <si>
    <t>FLORES FUENTES DAVILA CLAUDIA ALEXANDRA</t>
  </si>
  <si>
    <t>4:15; 9:15; 11:11</t>
  </si>
  <si>
    <t>MENDEZ RUCOBA JEFFERSON JOHONATAN</t>
  </si>
  <si>
    <t>4:20; 9:8; 11:7</t>
  </si>
  <si>
    <t>ACURIO DARGENT JENNIFERT MILAGROS</t>
  </si>
  <si>
    <t>4:8; 6:15; 11:15</t>
  </si>
  <si>
    <t>RAFAEL ANTONIO NIETO</t>
  </si>
  <si>
    <t>9:8</t>
  </si>
  <si>
    <t>CELIZ ROSSI GIANFRANCO PAOLO</t>
  </si>
  <si>
    <t>1:8; 6:7; 7:17; 8:7</t>
  </si>
  <si>
    <t>UNGARO GUTIERREZ SARA GABRIELA</t>
  </si>
  <si>
    <t>3:8; 5:8; 6:7; 8:16</t>
  </si>
  <si>
    <t>Fecha</t>
  </si>
  <si>
    <t>Desde</t>
  </si>
  <si>
    <t>Hasta</t>
  </si>
  <si>
    <t>Días</t>
  </si>
  <si>
    <t>Registrado</t>
  </si>
  <si>
    <t>ID</t>
  </si>
  <si>
    <t>Cantidad</t>
  </si>
  <si>
    <t>Enviada</t>
  </si>
  <si>
    <t>Estado</t>
  </si>
  <si>
    <t>Decidida</t>
  </si>
  <si>
    <t>Decidida por</t>
  </si>
  <si>
    <t>mes</t>
  </si>
  <si>
    <t>json</t>
  </si>
  <si>
    <t>actualizadoAt</t>
  </si>
  <si>
    <t>origen</t>
  </si>
  <si>
    <t>2026-01</t>
  </si>
  <si>
    <t>{"hoja":"ENERO","fuente":"10 - Rol_Instructores_LP_OCTUBRE_1.xlsx","mes":"2026-01","instructores":[{"dias":["B","LCK B767\n- LIM-BOG\n- LA 2489 (13:00-16:15 hrs)\nLCK B767\n- BOG-LIM\n- LA 2488 (17:20-20:45 hrs)","FDS","FDS","LCK B767\n- LIM-MIA\n- LA 2694 (13:30-19:30 hrs)","Blanco","Reentrenamiento B767\n- MIA-LIM\n- LA 2699 (23:10-05:00 hrs)","Reva de Servicio\n(08:30-17:30 hrs)\nDÍA 1","Reva de Servicio\n(08:30-17:30 hrs)\nDÍA 2","FDS","FDS","LCK B787\n- LIM-SCL\n- LA 2697 (09:35-13:00 hrs)\nRECALIFICACIÓN B787\n- SCL-LIM\n- LA 2696 (16:00-19:45 hrs)","RESERVA IET Tarde","LCK B787\n- LIM-SCL\n- LA 2697 (09:35-13:00 hrs)\nLCK B787\n- SCL-LIM\n- LA 2696 (16:00-19:45 hrs)","Inicial G13\nTARDE","Inicial G13","FDS","FDS","LCK B767\n- LIM-MIA\n- LA 2694 (13:30-19:30 hrs)","Blanco","Reentrenamiento B767\n- MIA-LIM\n- LA 2699 (23:10-05:00 hrs)","Inicial G3","HANDS ON B767","FDS","FDS","HO FILE","Inicial G3","CHEQUEO LATAM B787\n- LIM-SCL\n- LA 2697 (09:35-13:00 hrs)\nCHEQUEO LATAM B787\n- SCL-LIM\n- LA 2696 (16:00-19:45 hrs)","RESERVA IET Tarde","RESERVA IET","FDS"],"nombre":"Fiorella Ruiz","bp":"2713993"},{"nombre":"Sebastian Correa","dias":["DO","RESERVA IET","FDS","FDS","RESERVA IET","Habilitación B787\n- LIM-SCL\n- LA 2697 (09:35-13:00 hrs)\nPD\n- SCL-LIM\n- LA 2696 (16:00-19:45 hrs)","RESERVA IET Tarde","LCK B767\n- LIM-BOG\n- LA 2489 (13:00-16:15 hrs)\nLCK B767\n- BOG-LIM\n- LA 2488 (17:20-20:45 hrs)","RESERVA IET Tarde","FDS","FDS","TALLER VOLUNTARIO SEG","Inicial G2","RTI: PRÁCTICA\nA320F / B767 / B787\n(08:30-17:30 hrs)\nINS APOYO","Inicial G13","Inicial G2","FDS","FDS","LCK B787\n- LIM-SCL\n- LA 2697 (09:35-13:00 hrs)\nLCK B787\n- SCL-LIM\n- LA 2696 (16:00-19:45 hrs)","RESERVA IET Tarde","LCK B787\n- LIM-SCL\n- LA 2697 (09:35-13:00 hrs)\nLCK B787\n- SCL-LIM\n- LA 2696 (16:00-19:45 hrs)","RESERVA IET Tarde","RESERVA IET","FDS","FDS","CHEQUEO DGAC B787\n- LIM-SCL\n- LA 2697 (09:35-13:00 hrs)\nCHEQUEO DGAC B787\n- SCL-LIM\n- LA 2696 (16:00-19:45 hrs)","RESERVA IET Tarde","HO FILE","HANDS ON B787","CHEQUEO DGAC B787\n- LIM-SCL\n- LA 2697 (09:35-13:00 hrs)\nPD B787\n- SCL-LIM\n- LA 2696 (16:00-19:45 hrs)","FDS"],"bp":"2396710"},{"bp":"1271571","dias":["DO","TTT RRVV\nINS","FDS","FDS","LCK B787\n- LIM-SCL\n- LA 2697 (09:35-13:00 hrs)\nLCK B787\n- SCL-LIM\n- LA 2696 (16:00-19:45 hrs)","RESERVA IET Tarde","LCK B787\n- LIM-SCL\n- LA 2697 (09:35-13:00 hrs)\nLCK B787\n- SCL-LIM\n- LA 2696 (16:00-19:45 hrs)","RESERVA IET Tarde","Inicial G3","FDS","FDS","RESERVA IET","CHEQUEO LATAM B787\n- LIM-SCL\n- LA 2697 (09:35-13:00 hrs)\nCHEQUEO LATAM B787\n- SCL-LIM\n- LA 2696 (16:00-19:45 hrs)","RESERVA IET Tarde","RTI: PRÁCTICA\nA320F / B767 / B787\n(08:30-17:30 hrs)\nINS APOYO TM","Inicial G13","FDS","FDS","Blanco Recojo","LCK B767\n- LIM-MIA\n- LA 2480 (00:15-06:15 hrs)","PD\n- MIA-LIM\n- LA 2481 (15:55-21:40 hrs)","RESERVA IET Tarde","HANDS ON B787","FDS","FDS","LCK B767\n- LIM-MIA\n- LA 2694 (13:30-19:30 hrs)","Blanco","PD\n- MIA-LIM\n- LA 2699 (23:10-05:00 hrs)","HO FILE","TTT RRVV\nINS","FDS"],"nombre":"Christian Rondon"},{"dias":["DO","TTT RRVV\nALUMNO","DO","DO","Blanco Recojo","LCK B767\n- LIM-MIA\n- LA 2480 (00:15-06:15 hrs)","PD\n- MIA-LIM\n- LA 2481 (15:55-21:40 hrs)","RESERVA IET Tarde","RTI: PRÁCTICA\nA320F / B767\n(08:30-17:30 hrs)\nINS APOYO","DO","DO","HO FILE","AUDITORIA PROCAB","Inicial G13","DO","VACACIONES","VACACIONES","VACACIONES","VACACIONES","VACACIONES","VACACIONES","VACACIONES","VACACIONES","VACACIONES","VACACIONES","VACACIONES","VACACIONES","VACACIONES","VACACIONES","VACACIONES","VACACIONES"],"bp":"2843319","nombre":"Karen Santa Cruz"},{"bp":"3779550","dias":["DO","DO","DO","DO","RESERVA IET","LCK A320F\nLIM-AQP-LIM\nLA 2123 (09:20-11:00 hrs)\nLA 2124 (11:35-13:10 hrs)\nLCK A320F\nLIM-PCL-LIM\nLA 2360 (14:05-15:20 hrs)\nLA 2361 (15:55-17:10 hrs)","RESERVA IET","Inicial G3","RTI: PRÁCTICA\nA320F / B767\n(08:30-17:30 hrs)\nINS TITULAR","DO","DO","HAB B787","RESERVA IET Tarde","Inicial G13","LCK B767\n- LIM-BOG\n- LA 2489 (13:00-16:15 hrs)\nLCK B767\n- BOG-LIM\n- LA 2488 (17:20-20:45 hrs)","RESERVA IET Tarde","DO","DO","Inicial G13","Blanco Recojo","LCK B767\n- LIM-MIA\n- LA 2480 (00:15-06:15 hrs)","PD\n- MIA-LIM\n- LA 2695 (16:20-22:00 hrs)","RESERVA IET Tarde","DO","DO","HO FILE","Inicial G3","Blanco Recojo","LCK B767\n- LIM-MIA\n- LA 2480 (00:15-06:15 hrs)","Habilitación B767\n- MIA-LIM\n- LA 2481 (15:55-21:40 hrs)","DO"],"nombre":"Jennifert Acurio"},{"nombre":"Jazmin Guerra","dias":["DO","HO FILE","DO","DO","Inicial G13","Inicial G2","HAB B787","DO","DO","DO","DO","LCK B767\n- LIM-MIA\n- LA 2694 (13:30-19:30 hrs)","Blanco","PD\n- MIA-LIM\n- LA 2699 (23:10-05:00 hrs)","RTI: PRÁCTICA\nA320F / B767 / B787\n(08:30-17:30 hrs)\nINS APOYO TM","LCK B767\n- LIM-BOG\n- LA 2489 (13:00-16:15 hrs)\nLCK B767\n- BOG-LIM\n- LA 2488 (17:20-20:45 hrs)","DO","DO","Inicial G13","Inicial G13","Blanco Recojo","LCK B767\n- LIM-MIA\n- LA 2480 (00:15-06:15 hrs)","PD\n- MIA-LIM\n- LA 2481 (15:55-21:40 hrs)","DO","DO","Situaciones de Emergencia B767\nTripulación de Mando\nLP\n(08:30-17:30 hrs)","HO FILE","Ditching Presencial B767 + HANDS ON\nTripulación de Mando\nLP\n(08:30-17:30 hrs)","Reva de Servicio\n(08:30-17:30 hrs)\nDÍA 1","Reva de Servicio\n(08:30-17:30 hrs)\nDÍA 2","DO"],"bp":"29530"},{"dias":["DO","DO","DO","DO","LCK A320F\nLIM-CUZ-LIM\nLA 2007 (09:15-10:45 hrs)\nLA 2008 (11:20-12:55 hrs)\nLCK A320F\nLIM-AQP-LIM\nLA 2115 (13:55-15:25 hrs)\nLA 2114 (16:00-17:35 hrs)","RESERVA IET","LCK A320F\nLIM-TCQ-LIM\nLA 2245 (09:00-10:50 hrs)\nLA 2244 (11:25-13:15 hrs)\nLCK A320F\nLIM-TPP-LIM\nLA 2087 (14:10-15:35 hrs)\nLA 2088 (16:10-17:30 hrs)","Inicial G2","Inicial G2","DO","DO","TALLER VOLUNTARIO SEG","HANDS ON B767","Inicial G13","Inicial G2","HAB B767 (CST)","DO","DO","LCK A320F\nLIM-AQP-LIM\nLA 2123 (09:20-11:00 hrs)\nLA 2124 (11:35-13:10 hrs)\nLCK A320F\nLIM-CUZ-LIM\nLA 2075 (14:25-15:50 hrs)\nLA 2076 (16:25-18:00 hrs)","LCK ALUMNO","Inicial G3","Inicial G13","LCK A320F\nLIM-AQP-LIM\nLA 2123 (09:20-11:00 hrs)\nLA 2124 (11:35-13:10 hrs)\nLCK A320F\nLIM-CIX-LIM\nLA 2312 (14:25-15:55 hrs)\nLA 2313 (16:35-18:00 hrs)","DO","DO","LCK A320F\nLIM-CUZ-LIM\nLA 2007 (09:15-10:45 hrs)\nLA 2008 (11:20-12:55 hrs)\nLCK A320F\nLIM-AQP-LIM\nLA 2115 (13:55-15:25 hrs)\nLA 2114 (16:00-17:35 hrs)","HO FILE","LCK A320F\nLIM-AQP-LIM\nLA 2123 (09:20-11:00 hrs)\nLA 2124 (11:35-13:10 hrs)\nLCK A320F\nLIM-PCL-LIM\nLA 2360 (14:05-15:20 hrs)\nLA 2361 (15:55-17:10 hrs)","Inicial G2","LCK A320F\nLIM-AQP-LIM\nLA 2123 (09:20-11:00 hrs)\nLA 2124 (11:35-13:10 hrs)\nLCK A320F\nLIM-TPP-LIM\nLA 2087 (14:10-15:35 hrs)\nLA 2088 (16:10-17:30 hrs)","DO"],"nombre":"Claudia Flores","bp":"3217561"},{"nombre":"Luis Bacigalupo","dias":["DO","HO FILE","DO","DO","RESERVA IET","LCK A320F\nLIM-TCQ-LIM\nLA 2245 (09:00-10:50 hrs)\nLA 2244 (11:25-13:15 hrs)\nLCK A320F\nLIM-TPP-LIM\nLA 2087 (14:10-15:35 hrs)\nLA 2088 (16:10-17:30 hrs)","Inicial G2","DO","DO","DO","DO","Blanco Recojo","LCK B767\n- LIM-MIA\n- LA 2480 (00:15-06:15 hrs)","LCK B767\n- MIA-LIM\n- LA 2481 (15:55-21:40 hrs)","Inicial G13\nTARDE","Inicial G13","DO","DO","Inicial G2","Reva de Servicio\n(08:30-17:30 hrs)\nDÍA 1","Reva de Servicio\n(08:30-17:30 hrs)\nDÍA 2","LCK B767\n- LIM-BOG\n- LA 2489 (13:00-16:15 hrs)\nLCK B767\n- BOG-LIM\n- LA 2488 (17:20-20:45 hrs)","RESERVA IET Tarde","DO","DO","Inicial G13","Blanco Recojo","LCK B767\n- LIM-MIA\n- LA 2480 (00:15-06:15 hrs)","PD\n- MIA-LIM\n- LA 2695 (16:20-22:00 hrs)","RESERVA IET Tarde","DO"],"bp":"2963161"},{"dias":["LP","LP","LP","LP","LP","LP","LP","LP","LP","LP","LP","LP","LP","LP","LP","LP","LP","LP","LP","LP","LP","LP","LP","LP","LP","LP","LP","LP","LP","LP","LP"],"bp":"71348","nombre":"Karla Moz"},{"bp":"967092","dias":["VACACIONES","VACACIONES","VACACIONES","VACACIONES","VACACIONES","VACACIONES","VACACIONES","RESERVA IET","RTI: PRÁCTICA\nA320F / B767\n(08:30-17:30 hrs)\nINS APOYO TM","DO","DO","Inicial G3","RTI: VIRTUAL\nA320F / B767 / B787\n(08:30-17:30 hrs)\nINS TITULAR","RTI: PRÁCTICA\nA320F / B767 / B787\n(08:30-17:30 hrs)\nINS TITULAR","RTI: PRÁCTICA\nA320F / B767 / B787\n(08:30-17:30 hrs)\nINS TITULAR","Inicial G13","DO","DO","Inicial G13","Inicial G13","Inicial G13","Inicial G2","DO","VACACIONES","VACACIONES","VACACIONES","VACACIONES","VACACIONES","VACACIONES","VACACIONES","VACACIONES"],"nombre":"Erika Dávila"},{"dias":["VACACIONES","VACACIONES","VACACIONES","VACACIONES","VACACIONES","VACACIONES","VACACIONES","VACACIONES","VACACIONES","VACACIONES","VACACIONES","VACACIONES","Blanco Recojo","LCK B767\n- LIM-MIA\n- LA 2480 (00:15-06:15 hrs)","PD\n- MIA-LIM\n- LA 2695 (16:20-22:00 hrs)","RESERVA IET Tarde","DO","DO","HO FILE","Inicial G13","Inicial G13","HAB NB","LCK B767\n- LIM-BOG\n- LA 2489 (13:00-16:15 hrs)\nLCK B767\n- BOG-LIM\n- LA 2488 (17:20-20:45 hrs)","DO","DO","Blanco Recojo","LCK B767\n- LIM-MIA\n- LA 2480 (00:15-06:15 hrs)","PD\n- MIA-LIM\n- LA 2481 (15:55-21:40 hrs)","RESERVA IET Tarde","TTT RRVV\nALUMNO","DO"],"nombre":"Elizabeth Torres","bp":"2369641"},{"bp":"2369624","nombre":"Patricia del Pilar Najar","dias":["VACACIONES","VACACIONES","VACACIONES","VACACIONES","VACACIONES","VACACIONES","NME","NME","NME","NME","NME","NME","NME","NME","NME","NME","NME","NME","NME","NME","NME","NME","NME","NME","NME","NME","NME","NME","NME","NME","NME"]},{"nombre":"Javier Zapata","bp":"3134911","dias":["DO","Inicial G13","DO","DO","RESERVA IET","LCK ALUMNO","Inicial G3","DO","DO","DO","DO","Inicial G2","LCK B767\n- LIM-MIA\n- LA 2698 (08:25-14:20 hrs)","Blanco","PD\n- MIA-LIM\n- LA 2699 (23:10-05:00 hrs)","Inicial G13","DO","DO","Inicial G3","Inicial G3","Inicial G13","RTI: PRÁCTICA\nA320F / B767\n(08:30-17:30 hrs)\nINS APOYO TM","Inicial G13","DO","DO","RESERVA IET","HO FILE","Inicial G3","LCK B767\n- LIM-BOG\n- LA 2489 (13:00-16:15 hrs)\nLCK B767\n- BOG-LIM\n- LA 2488 (17:20-20:45 hrs)","RESERVA IET Tarde","DO"]},{"bp":"3750335","nombre":"Jefferson Mendez","dias":["DO","RESERVA IET","DO","DO","LCK A320F\nLIM-AQP-LIM\nLA 2123 (09:20-11:00 hrs)\nLA 2124 (11:35-13:10 hrs)\nLCK A320F\nLIM-TPP-LIM\nLA 2087 (14:10-15:35 hrs)\nLA 2088 (16:10-17:30 hrs)","RESERVA IET","LCK A320F\nLIM-AQP-LIM\nLA 2123 (09:20-11:00 hrs)\nLA 2124 (11:35-13:10 hrs)\nLCK A320F\nLIM-PCL-LIM\nLA 2360 (14:05-15:20 hrs)\nLA 2361 (15:55-17:10 hrs)","DO","DO","DO","DO","LCK A320F\nLIM-TCQ-LIM\nLA 2245 (09:00-10:50 hrs)\nLA 2244 (11:25-13:15 hrs)\nLCK A320F\nLIM-TPP-LIM\nLA 2087 (14:10-15:35 hrs)\nLA 2088 (16:10-17:30 hrs)","Inicial G3","Blanco Recojo","LCK B767\n- LIM-MIA\n- LA 2480 (00:15-06:15 hrs)","PD\n- MIA-LIM\n- LA 2481 (15:55-21:40 hrs)","DO","DO","TALLER VOLUNTARIO SEG","Reentrenamiento A320F\nLIM-AQP-LIM\nLA 2123 (09:20-11:00 hrs)\nLA 2124 (11:35-13:10 hrs)\nLCK A320F\nLIM-PCL-LIM\nLA 2360 (14:05-15:20 hrs)\nLA 2361 (15:55-17:10 hrs)","RESERVA IET","Inicial G13","Inicial G13","DO","DO","LCK A320F\nLIM-AQP-LIM\nLA 2123 (09:20-11:00 hrs)\nLA 2124 (11:35-13:10 hrs)\nLCK A320F\nLIM-TPP-LIM\nLA 2087 (14:10-15:35 hrs)\nLA 2088 (16:10-17:30 hrs)","Inicial G2","HO FILE","Inicial G13","LCK B767\n- LIM-BOG\n- LA 2489 (13:00-16:15 hrs)\nLCK B767\n- BOG-LIM\n- LA 2488 (17:20-20:45 hrs)","DO"]},{"nombre":"Gabriela Ungaro","dias":["DO","HO FILE","DO","DO","RESERVA IET","Reva de Servicio\n(08:30-17:30 hrs)\nDÍA 1","RESERVA IET","DO","DO","DO","DO","LCK A320F\nLIM-AQP-LIM\nLA 2123 (09:20-11:00 hrs)\nLA 2124 (11:35-13:10 hrs)\nLCK A320F\nLIM-CUZ-LIM\nLA 2075 (14:25-15:50 hrs)\nLA 2076 (16:25-18:00 hrs)","Inicial G13","Inicial G2","ACT\nRRVV","CHEQUEO DGAC A320F\nLIM-AQP-LIM\nLA 2123 (09:20-11:00 hrs)\nLA 2124 (11:35-13:10 hrs)","DO","DO","TALLER VOLUNTARIO SEG","Inicial G2","Inicial G13","LCK A320F\nLIM-AQP-LIM\nLA 2123 (09:20-11:00 hrs)\nLA 2124 (11:35-13:10 hrs)\nLCK A320F\nLIM-TPP-LIM\nLA 2087 (14:10-15:35 hrs)\nLA 2088 (16:10-17:30 hrs)","Inicial G3","DO","DO","Recalificación A320F\nLIM-CUZ-LIM\nLA 2238 (10:15-11:40 hrs)\nLA 2239 (12:15-13:45 hrs)","LCK B767\n- LIM-MIA\n- LA 2698 (08:25-14:20 hrs)","Blanco","Reentrenamiento B767\n- MIA-LIM\n- LA 2699 (23:10-05:00 hrs)","LCK A320F\nLIM-PIU-LIM\nLA 2306 (09:35-11:20 hrs)\nLA 2307 (11:55-13:25 hrs)\nLCK A320F\nLIM-CIX-LIM\nLA 2312 (14:25-15:55 hrs)\nLA 2313 (16:35-18:00 hrs)","DO"],"bp":"3852423"},{"nombre":"Mariella Carrasco","dias":["DO","DO","DO","DO","Inicial G13","Inicial G13","Reva de Servicio\n(08:30-17:30 hrs)\nDÍA 2","RESERVA IET","RESERVA IET","DO","DO","LCK A320F\nLIM-CIX-LIM\nLA 2274 (09:40-11:10 hrs)\nLA 2275 (11:45-13:05 hrs)\nLCK A320F\nLIM-AQP-LIM\nLA 2115 (13:55-15:25 hrs)\nLA 2114 (16:00-17:35 hrs)","Inicial G13","Inicial G3","ACT\nRRVV","LCK ALUMNA","DO","DO","HO FILE","LCK B767\n- LIM-MIA\n- LA 2698 (08:25-14:20 hrs)","Blanco","Recalificación B767\n- MIA-LIM\n- LA 2699 (23:10-05:00 hrs)","RESERVA IET","DO","DO","HO FILE","Reva de Servicio\n(08:30-17:30 hrs)\nDÍA 1","Reva de Servicio\n(08:30-17:30 hrs)\nDÍA 2","Inicial G3","RESERVA IET","DO"],"bp":"2604360"},{"dias":["DO","Inicial G13","DO","DO","Reentrenamiento B767\n- LIM-MIA\n- LA 2694 (13:30-19:30 hrs)","Blanco","PD\n- MIA-LIM\n- LA 2699 (23:10-05:00 hrs)","DO","DO","DO","DO","RESERVA IET","Inicial G13","HAB B767","HAB B767","HAB B767","DO","DO","Inicial G13","RTI: VIRTUAL\nA320F / B767\n(08:30-17:30 hrs)\nINS TITULAR","Inicial G2","RTI: PRÁCTICA\nA320F / B767\n(08:30-17:30 hrs)\nINS TITULAR","Inicial G2","DO","DO","HANDS ON B767","HO FILE","RESERVA IET","RTI: PRÁCTICA\nA320F / B767\n(08:30-17:30 hrs)\nINS TITULAR","Inicial G3","DO"],"bp":"2823133","nombre":"Cesar Campos"},{"bp":"3189967","nombre":"Kevin Segovia","dias":["DO","HO FILE","DO","DO","LCK ALUMNO","RESERVA IET","RTI: VIRTUAL\nA320F / B767\n(08:30-17:30 hrs)\nINS CRM","DO","DO","DO","DO","RESERVA IET","CHEQUEO LATAM A320F\nLIM-TCQ-LIM\nLA 2245 (09:00-10:50 hrs)\nLA 2244 (11:25-13:15 hrs)","Inicial G13","Inicial G3","Inicial G3","DO","DO","RESERVA IET","Inicial G13","HAB B767","HAB B767","HAB B767","DO","DO","RESERVA IET","RESERVA IET","RESERVA IET","HO FILE","RESERVA IET","DO"]},{"dias":["DO","HO FILE","DO","DO","RESERVA IET","RESERVA IET","RTI: VIRTUAL\nA320F / B767\n(08:30-17:30 hrs)\nINS TITULAR","DO","DO","DO","DO","RESERVA IET","Reva de Servicio\n(08:30-17:30 hrs)\nDÍA 1","Reva de Servicio\n(08:30-17:30 hrs)\nDÍA 2","Reva de Servicio\n(08:30-17:30 hrs)\nDÍA 1","Reva de Servicio\n(08:30-17:30 hrs)\nDÍA 2","DO","DO","Inicial G13","Inicial G13","RESERVA IET","Reva de Servicio\n(08:30-17:30 hrs)\nDÍA 1","Reva de Servicio\n(08:30-17:30 hrs)\nDÍA 2","DO","DO","HAB B767","HAB B767","HAB B767","RTI: PRÁCTICA\nA320F / B767\n(08:30-17:30 hrs)\nINS APOYO","Inicial G13","DO"],"bp":"2415373","nombre":"Milagros Salas"},{"nombre":"Judith Fernandez","dias":["VACACIONES","VACACIONES","VACACIONES","VACACIONES","VACACIONES","VACACIONES","VACACIONES","DO","DO","DO","DO","RESERVA IET","RESERVA IET","RESERVA IET","RTI: PRÁCTICA\nA320F / B767 / B787\n(08:30-17:30 hrs)\nINS APOYO","RESERVA IET","DO","DO","Inicial G13","RTI: VIRTUAL\nA320F / B767\n(08:30-17:30 hrs)\nINS CRM","RESERVA IET","RTI: PRÁCTICA\nA320F / B767\n(08:30-17:30 hrs)\nINS APOYO","RESERVA IET","DO","DO","Inicial G2","RTI: VIRTUAL\nA320F / B767\n(08:30-17:30 hrs)\nINS CRM","Inicial G2","HO FILE","DO","DO"],"bp":"2440915"},{"bp":"3796947","dias":["SICK","SICK","SICK","SICK","SICK","CUMP","CUMP","SICK","SICK","SICK","SICK","SICK","SICK","SICK","SICK","SICK","SICK","SICK","SICK","SICK","SICK","SICK","SICK","SICK","SICK","SICK","SICK","SICK","SICK","SICK","SICK"],"nombre":"Rafael Nieto"},{"dias":["DO","RESERVA IET","DO","DO","RESERVA IET","RESERVA IET","RESERVA IET","DO","DO","DO","DO","RESERVA IET","RTI: VIRTUAL\nA320F / B767 / B787\n(08:30-17:30 hrs)\nINS CRM","Inicial G13","DO","VACACIONES","VACACIONES","VACACIONES","VACACIONES","VACACIONES","VACACIONES","VACACIONES","VACACIONES","DO","DO","Inicial G3","RTI: VIRTUAL\nA320F / B767\n(08:30-17:30 hrs)\nINS TITULAR","RESERVA IET","HO FILE","Inicial G2","DO"],"bp":"3841387","nombre":"Gianfranco Celiz"}]}</t>
  </si>
  <si>
    <t>2026-02</t>
  </si>
  <si>
    <t>{"instructores":[{"dias":["FDS","Inicial G3","HO FILE","Inicial G3","Inicial G3","Inicial G2","FDS","FDS","TALLER 2026 - CONSTRUIR","HANDS ON\nB787","Inicial G4","LCK ALUMNA","REUNIÓN INSTRUCTORES\nTARDE","FDS","FDS","LCK B787\n- LIM-SCL\n- LA 2697 (09:35-13:00 hrs)\nLCK B787\n- SCL-LIM\n- LA 2696 (16:00-19:45 hrs)","RESERVA IET\nTARDE","RTI: PRÁCTICA\nA320F / B767 / B787\n(08:30-17:30 hrs)\nINS APOYO","Inicial G3","LCK B767\n- LIM-BOG\n- LA 2489 (13:00-16:15 hrs)\nLCK B767\n- BOG-LIM\n- LA 2488 (17:20-20:45 hrs)","FDS","FDS","LCK B767\n- LIM-MIA\n- LA 2694 (13:30-19:30 hrs)","Blanco","Chequeo DGAC B767\n- MIA-LIM\n- LA 2699 (23:10-05:00 hrs)","Inicial G2","Inicial G4","FDS"],"bp":"2713993","nombre":"Fiorella Ruiz"},{"bp":"2396710","dias":["FDS","LCK B767\n- LIM-MIA\n- LA 2694 (13:30-19:30 hrs)","Blanco","Chequeo LATAM B767\n- MIA-LIM\n- LA 2699 (23:10-05:00 hrs)","RTI: PRÁCTICA\nA320F / B767 / B787\n(08:30-17:30 hrs)\nINS TITULAR\nAPOYO TM","LCK A320F\nLIM-AQP-LIM\nLA 2119 (08:40-10:10 hrs)\nLA 2118 (10:45-12:10 hrs)\nLCK A320F\nLIM-PIU-LIM\nLA 2308 (13:10-14:50 hrs)\nLA 2309 (15:25-16:55 hrs)","FDS","FDS","TALLER 2026 - CONSTRUIR","LCK A320F\nLIM-CUZ-LIM\nLA 2232 (08:35-10:05 hrs)\nLA 2233 (10:40-12:15 hrs)\nLCK A320F\nLIM-CUZ-LIM\nLA 2075 (13:25-14:50 hrs)\nLA 2076 (15:25-16:45 hrs)","Blanco Recojo","LCK B767\n- LIM-MIA\n- LA 2480 (00:15-06:15 hrs)","Chequeo LATAM B767\n- MIA-LIM\n- LA 2481 (15:55-21:40 hrs)","FDS","FDS","PD\nLIM-CUZ-LIM\nLA 2232 (08:35-10:05 hrs)\nLA 2233 (10:40-12:15 hrs)\nReentrenamiento A320F\nLIM-CIX-LIM\nLA 2312 (13:25-14:50 hrs)\nLA 2313 (15:25-16:45 hrs)","Inicial G1","Inicial G4","LCK A320F\nLIM-AQP-LIM\nLA 2119 (08:40-10:10 hrs)\nLA 2118 (10:45-12:10 hrs)\nLCK A320F\nLIM-PIU-LIM\nLA 2308 (13:10-14:50 hrs)\nLA 2309 (15:25-16:55 hrs)","Chequeo BI Anual INST B767\n- LIM-BOG\n- LA 2489 (13:00-16:15 hrs)\nPD\n- BOG-LIM\n- LA 2488 (17:20-20:45 hrs)","FDS","FDS","LCK B767\n- LIM-MIA\n- LA 2698 (08:25-14:20 hrs)","Recalificación B767\n- MIA-LIM\n- LA 2481 (15:55-21:40 hrs)","HO FILE\nTARDE","LCK B787\n- LIM-SCL\n- LA 2697 (09:35-13:00 hrs)\nLCK B787\n- SCL-LIM\n- LA 2696 (16:00-19:45 hrs)","HO FILE\nTARDE","FDS"],"nombre":"Sebastian Correa"},{"dias":["FDS","RTI ALUMNO","RTI: VIRTUAL\nA320F / B767 / B787\n(08:30-17:30 hrs)\nINS TITULAR\n*Se habilita","RTI: PRÁCTICA\nA320F / B767 / B787\n(08:30-17:30 hrs)\nINS TITULAR\n*Se habilita","RTI: PRÁCTICA\nA320F / B767 / B787\n(08:30-17:30 hrs)\nINS TITULAR\n*Se habilita","RTI ALUMNO","FDS","FDS","TALLER 2026 - CONSTRUIR","HO FILE","RTI: PRÁCTICA\nA320F / B767 / B787\n(08:30-17:30 hrs)\nINS APOYO","LCK B787\n- LIM-SCL\n- LA 2697 (09:35-13:00 hrs)\nLCK B787\n- SCL-LIM\n- LA 2696 (16:00-19:45 hrs)","REUNIÓN INSTRUCTORES\nTARDE","FDS","FDS","Blanco Recojo","LCK B767\n- LIM-MIA\n- LA 2480 (00:15-06:15 hrs)","Chequeo LATAM B767\n- MIA-LIM\n- LA 2481 (15:55-21:40 hrs)","RESERVA IET\nTARDE","Chequeo BI Anual INST B767\n- LIM-BOG\n- LA 2489 (13:00-16:15 hrs)\nPD\n- BOG-LIM\n- LA 2488 (17:20-20:45 hrs)","FDS","FDS","VACACIONES","VACACIONES","VACACIONES","VACACIONES","VACACIONES","VACACIONES"],"nombre":"Christian Rondon","bp":"1271571"},{"nombre":"Karen Santa Cruz","dias":["DO","Blanco Recojo","LCK B767\n- LIM-MIA\n- LA 2480 (00:15-06:15 hrs)","Chequeo LATAM B767\n- MIA-LIM\n- LA 2481 (15:55-21:40 hrs)","RESERVA IET\nTARDE","Inicial G4","DO","DO","TALLER 2026 - CONSTRUIR","HO FILE","LCK A320F\nLIM-CUZ-LIM\nLA 2232 (08:35-10:05 hrs)\nLA 2233 (10:40-12:15 hrs)\nLCK A320F\nLIM-CIX-LIM\nLA 2312 (13:25-14:50 hrs)\nLA 2313 (15:30-16:50 hrs)","Inicial G1","Inicial G3","DO","DO","HABILITACIÓN A320","LCK B767\n- LIM-MIA\n- LA 2698 (08:25-14:20 hrs)","Blanco","Chequeo LATAM B767\n- MIA-LIM\n- LA 2699 (23:10-05:00 hrs)","Inicial G2","DO","DO","DO","DO","Inicial G2","Inicial G2","Inicial G2","DO"],"bp":"2843319"},{"dias":["DO","HO FILE","DITCHING TM\nINS","TALLER VOLUNTARIO","Inicial G13","Inicial G13","DO","DO","TALLER 2026 - CONSTRUIR","TALLER VOLUNTARIO","HABILITACIÓN A320","Inicial G4","REUNIÓN INSTRUCTORES","DO","DO","CURSO ESTANDARIZACIÓN","Blanco Recojo","LCK B767\n- LIM-MIA\n- LA 2480 (00:15-06:15 hrs)","PD\n- MIA-LIM\n- LA 2695 (16:20-22:00 hrs)","DO","DO","DO","DO","Inicial G3","Inicial G2","Inicial G2","LCK B767\n- LIM-BOG\n- LA 2489 (13:00-16:15 hrs)\nRecalificación B767\n- BOG-LIM\n- LA 2488 (17:20-20:45 hrs)","DO"],"nombre":"Jennifert Acurio","bp":"3779550"},{"dias":["DO","LCK A320F\nLIM-CUZ-LIM\nLA 2232 (08:35-10:05 hrs)\nLA 2233 (10:40-12:15 hrs)\nLCK A320F\nLIM-PIU-LIM\nLA 2308 (13:10-14:50 hrs)\nLA 2309 (15:25-16:55 hrs)","Inicial G13","HO FILE","DO","DO","DO","DO","TALLER 2026 - CONSTRUIR","LCK A320F\nLIM-AQP-LIM\nLA 2119 (08:40-10:10 hrs)\nLA 2118 (10:45-12:10 hrs)\nLCK A320F\nLIM-PIU-LIM\nLA 2308 (13:10-14:50 hrs)\nLA 2309 (15:25-16:55 hrs)","Inicial G3","LCK A320F\nLIM-AQP-LIM\nLA 2119 (08:40-10:10 hrs)\nLA 2118 (10:45-12:10 hrs)\nLCK A320F\nLIM-PIU-LIM\nLA 2308 (13:10-14:50 hrs)\nLA 2309 (15:25-16:55 hrs)","REUNIÓN INSTRUCTORES","DO","DO","HABILITACIÓN A320","Inicial G1","Blanco Recojo","LCK B767\n- LIM-MIA\n- LA 2480 (00:15-06:15 hrs)","Chequeo DGAC B767\n- MIA-LIM\n- LA 2481 (15:55-21:40 hrs)","DO","DO","Inicial G3","LCK A320F\nLIM-CUZ-LIM\nLA 2232 (08:35-10:05 hrs)\nLA 2233 (10:40-12:15 hrs)\nLCK A320F\nLIM-CUZ-LIM\nLA 2075 (13:25-14:50 hrs)\nLA 2076 (15:25-16:45 hrs)","Inicial G2","LCK B767\n- LIM-BOG\n- LA 2489 (13:00-16:15 hrs)\nChequeo DGAC B767\n- BOG-LIM\n- LA 2488 (17:20-20:45 hrs)","RESERVA IET\nTARDE","DO"],"nombre":"Jazmin Guerra","bp":"29530"},{"bp":"3217561","nombre":"Claudia Flores","dias":["DO","Inicial G2","LCK B767\n- LIM-MIA\n- LA 2698 (08:25-14:20 hrs)","Blanco","PD\n- MIA-LIM\n- LA 2699 (23:10-05:00 hrs)","HABILITACIÓN B787","DO","DO","TALLER 2026 - CONSTRUIR","LCK B767\n- LIM-MIA\n- LA 2698 (08:25-14:20 hrs)","Blanco","Chequeo LATAM B767\n- MIA-LIM\n- LA 2699 (23:10-05:00 hrs)","REUNIÓN INSTRUCTORES","DO","DO","Inicial G3","Situaciones de Emergencia A320F\nTripulación de Mando\nLP\n(08:30-17:30 hrs)","Inicial G1","Inicial G1","DO","DO","DO","DO","Reva de Servicio\n(08:30-17:30 hrs)\nDÍA 1","Reva de Servicio\n(08:30-17:30 hrs)\nDÍA 2","Inicial G2","HO FILE","DO"]},{"dias":["DO","AUDITORÍA\nNB\nIQT\n(Asignar vuelo)","Inicial G2","LCK A320F\nLIM-AQP-LIM\nLA 2119 (08:40-10:10 hrs)\nLA 2118 (10:45-12:10 hrs)\nLCK A320F\nLIM-CIX-LIM\nLA 2312 (13:25-14:50 hrs)\nLA 2313 (15:30-16:50 hrs)","Inicial G4","Chequeo INST. DGAC B787 \n- LIM-SCL\n- LA 2697 (09:35-13:00 hrs)\nPD\n- SCL-LIM\n- LA 2696 (16:00-19:45 hrs)","DO","DO","TALLER 2026 - CONSTRUIR","HABILITACIÓN A320","LCK A320F\nLIM-AQP-LIM\nLA 2119 (08:40-10:10 hrs)\nLA 2118 (10:45-12:10 hrs)\nLCK A320F\nLIM-PIU-LIM\nLA 2308 (13:10-14:50 hrs)\nLA 2309 (15:25-16:55 hrs)","RTI: PRÁCTICA\nA320F / B767 / B787\n(08:30-17:30 hrs)\nAPOYO TM","HO FILE","DO","DO","LCK A320F\nLIM-AQP-LIM\nLA 2119 (08:40-10:10 hrs)\nLA 2118 (10:45-12:10 hrs)\nLCK A320F\nLIM-PIU-LIM\nLA 2308 (13:10-14:50 hrs)\nLA 2309 (15:25-16:55 hrs)","Inicial G3","Inicial G1","LCK B767\n- LIM-BOG\n- LA 2489 (13:00-16:15 hrs)\nChequeo DGAC B767\n- BOG-LIM\n- LA 2488 (17:20-20:45 hrs)","DO","DO","DO","DO","Inicial G2","Inicial G2","Inicial G1","DO","DO"],"nombre":"Luis Bacigalupo","bp":"2963161"},{"dias":["VACACIONES","VACACIONES","VACACIONES","VACACIONES","VACACIONES","VACACIONES","VACACIONES","LP","LP","LP","LP","LP","LP","LP","LP","LP","LP","LP","LP","LP","LP","LP","LP","LP","LP","LP","LP","LP"],"bp":"71348","nombre":"Karla Moz"},{"dias":["VACACIONES","VACACIONES","VACACIONES","VACACIONES","VACACIONES","VACACIONES","VACACIONES","DO","TALLER 2026 - CONSTRUIR","RTI: VIRTUAL\nA320F / B767 / B787\n(08:30-17:30 hrs)\nINS TITULAR","RTI: PRÁCTICA\nA320F / B767 / B787\n(08:30-17:30 hrs)\nINS TITULAR","RTI: PRÁCTICA\nA320F / B767 / B787\n(08:30-17:30 hrs)\nINS TITULAR","Inicial G4","DO","DO","HO FILE","RTI: VIRTUAL\nA320F / B767 / B787\n(08:30-17:30 hrs)\nINS TITULAR","RTI: PRÁCTICA\nA320F / B767 / B787\n(08:30-17:30 hrs)\nINS TITULAR","RTI: PRÁCTICA\nA320F / B767 / B787\n(08:30-17:30 hrs)\nINS TITULAR","HABILITACIÓN B787","DO","DO","HABILITACIÓN B767","HABILITACIÓN B767","HABILITACIÓN B767","Reva de Servicio\n(08:30-17:30 hrs)\nDÍA 1","Reva de Servicio\n(08:30-17:30 hrs)\nDÍA 2","DO"],"nombre":"Erika Dávila","bp":"967092"},{"dias":["DO","LCK B767\n- LIM-MIA\n- LA 2698 (08:25-14:20 hrs)","PD\n- MIA-LIM\n- LA 2481 (15:55-21:40 hrs)","RESERVA IET\nTARDE","Inicial G2","Inicial G3","DO","DO","TALLER 2026 - CONSTRUIR","HO FILE","LCK ALUMNO","Inicial G1","Inicial G1","DO","DO","LCK B767\n- LIM-MIA\n- LA 2698 (08:25-14:20 hrs)","Chequeo LATAM B767\n- MIA-LIM\n- LA 2481 (15:55-21:40 hrs)","RESERVA IET\nTARDE","DO","DO","DO","DO","Blanco Recojo","LCK B767\n- LIM-MIA\n- LA 2480 (00:15-06:15 hrs)","Chequeo DGAC B767\n- MIA-LIM\n- LA 2481 (15:55-21:40 hrs)","RESERVA IET\nTARDE","Inicial G2","DO"],"bp":"2369641","nombre":"Elizabeth Torres"},{"nombre":"Patricia del Pilar Najar","bp":"2369624","dias":["DO","TTT RRVV\nALUMNO","Inicial G2","TALLER VOLUNTARIO","DO","DO","DO","DO","TALLER 2026 - CONSTRUIR","TALLER VOLUNTARIO","HO FILE","Inicial G3","Inicial G1","DO","DO","LCK B767\n- LIM-MIA\n- LA 2694 (13:30-19:30 hrs)","Blanco","PD\n- MIA-LIM\n- LA 2699 (23:10-05:00 hrs)","Inicial G1","Inicial G1","DO","DO","Inicial G4","LCK B767\n- LIM-MIA\n- LA 2698 (08:25-14:20 hrs)","Blanco","Chequeo DGAC B767\n- MIA-LIM\n- LA 2699 (23:10-05:00 hrs)","Inicial G2","DO"]},{"bp":"3134911","nombre":"Javier Zapata","dias":["DO","Inicial G13","Blanco Recojo","LCK B767\n- LIM-MIA\n- LA 2480 (00:15-06:15 hrs)","Chequeo DGAC B767\n- MIA-LIM\n- LA 2695 (16:20-22:00 hrs)","RESERVA IET\nTARDE","DO","DO","TALLER 2026 - CONSTRUIR","LCK A320F\nLIM-AQP-LIM\nLA 2123 (09:25-11:00 hrs)\nLA 2124 (11:35-13:10 hrs)\nLCK A320F\nLIM-PCL-LIM\nLA 2360 (14:05-15:20 hrs)\nLA 2361 (15:55-17:10 hrs)","Inicial G1","LCK A320F\nLIM-AQP-LIM\nLA 2123 (09:25-11:00 hrs)\nLA 2124 (11:35-13:10 hrs)\nLCK A320F\nLIM-TPP-LIM\nLA 2087 (14:10-15:35 hrs)\nLA 2088 (16:10-17:30 hrs)","LCK B767\n- LIM-BOG\n- LA 2489 (13:00-16:15 hrs)\nChequeo DGAC B767\n- BOG-LIM\n- LA 2488 (17:20-20:45 hrs)","DO","DO","Inicial G4","PD\nLIM-AQP-LIM\nLA 2119 (08:40-10:10 hrs)\nLA 2118 (10:45-12:10 hrs)\nLCK A320F\nLIM-PIU-LIM\nLA 2308 (13:10-14:50 hrs)\nLA 2309 (15:25-16:55 hrs)","Inicial G1","RTI: PRÁCTICA\nA320F / B767 / B787\n(08:30-17:30 hrs)\nAPOYO TM","Inicial G1","DO","DO","Inicial G2","HO FILE","DO","DO","DO","DO"]},{"nombre":"Jefferson Mendez","bp":"3750335","dias":["DO","HO FILE","LCK A320F\nLIM-CUZ-LIM\nLA 2232 (08:35-10:05 hrs)\nLA 2233 (10:40-12:15 hrs)\nLCK A320F\nLIM-PIU-LIM\nLA 2308 (13:10-14:50 hrs)\nLA 2309 (15:25-16:55 hrs)","Blanco Recojo","LCK B767\n- LIM-MIA\n- LA 2480 (00:15-06:15 hrs)","Chequeo DGAC B767\n- MIA-LIM\n- LA 2481 (15:55-21:40 hrs)","DO","DO","TALLER 2026 - CONSTRUIR","HABILITACIÓN A320\nASIGNAR VUELO LIM TPP\nWB","Situaciones de Emergencia B767\nTripulación de Mando\nLP\n(08:30-17:30 hrs)","LCK B767\n- LIM-BOG\n- LA 2489 (13:00-16:15 hrs)\nChequeo DGAC B767\n- BOG-LIM\n- LA 2488 (17:20-20:45 hrs)","REUNIÓN INSTRUCTORES\nTARDE","DO","DO","Ditching Presencial B767 + HANDS ON\nTripulación de Mando\nLP\n(08:30-17:30 hrs)","Inicial G1","LCK A320F\nLIM-AQP-LIM\nLA 2119 (08:40-10:10 hrs)\nLA 2118 (10:45-12:10 hrs)\nRecalificación A320F\nLIM-PIU-LIM\nLA 2308 (13:10-14:50 hrs)\nLA 2309 (15:25-16:55 hrs)","RESERVA IET","DO","DO","DO","DO","LCK A320F\nLIM-AQP-LIM\nLA 2119 (08:40-10:10 hrs)\nLA 2118 (10:45-12:10 hrs)\nPD\nLIM-PIU-LIM\nLA 2308 (13:10-14:50 hrs)\nLA 2309 (15:25-16:55 hrs)","REUNIÓN EMBAJADORES","LCK A320F\nLIM-AQP-LIM\nLA 2119 (08:40-10:10 hrs)\nLA 2118 (10:45-12:10 hrs)\nReentrenamiento A320F\nLIM-PIU-LIM\nLA 2308 (13:10-14:50 hrs)\nLA 2309 (15:25-16:55 hrs)","Inicial G2","DO"]},{"dias":["DO","Inicial G2","Inicial G1","Inicial G2","HO FILE","LCK B767\n- LIM-BOG\n- LA 2489 (13:00-16:15 hrs)\nLCK B767\n- BOG-LIM\n- LA 2488 (17:20-20:45 hrs)","DO","DO","TALLER 2026 - CONSTRUIR","Blanco Recojo","LCK B767\n- LIM-MIA\n- LA 2480 (00:15-06:15 hrs)","Habilitación B767\n- MIA-LIM\n- LA 2695 (16:20-22:00 hrs)","REUNIÓN INSTRUCTORES\nTARDE","DO","DO","Inicial G1","Reva de Servicio\n(08:30-17:30 hrs)\nDÍA 1","Reva de Servicio\n(08:30-17:30 hrs)\nDÍA 2","Inicial G2","DO","DO","DO","DO","Blanco Recojo","LCK B767\n- LIM-MIA\n- LA 2480 (00:15-06:15 hrs)","PD\n- MIA-LIM\n- LA 2695 (16:20-22:00 hrs)","RESERVA IET\nTARDE","DO"],"bp":"3852423","nombre":"Gabriela Ungaro"},{"bp":"2604360","nombre":"Mariella Carrasco","dias":["DO","HO FILE","Inicial G1","Inicial G13","LCK B767\n- LIM-BOG\n- LA 2489 (13:00-16:15 hrs)\nChequeo DGAC B767\n- BOG-LIM\n- LA 2488 (17:20-20:45 hrs)","DO","DO","VACACIONES","VACACIONES","VACACIONES","VACACIONES","VACACIONES","VACACIONES","VACACIONES","VACACIONES","VACACIONES","VACACIONES","Ditching Presencial A320F + HANDS ON\nTripulación de Mando\nLP\n(08:30-17:30 hrs)","Reva de Servicio\n(08:30-17:30 hrs)\nDÍA 1","Reva de Servicio\n(08:30-17:30 hrs)\nDÍA 2","DO","DO","Inicial G2","RTI: VIRTUAL\nA320F / B767\n(08:30-17:30 hrs)\nINS CRM","Blanco Recojo","LCK B767\n- LIM-MIA\n- LA 2480 (00:15-06:15 hrs)","Chequeo DGAC B767\n- MIA-LIM\n- LA 2481 (15:55-21:40 hrs)","DO"]},{"nombre":"Cesar Campos","dias":["DO","TTT RRVV\nINS","RTI: VIRTUAL\nA320F / B767 / B787\n(08:30-17:30 hrs)\nINS CRM","Inicial G2","RTI: PRÁCTICA\nA320F / B767 / B787\n(08:30-17:30 hrs)\nINS APOYO","Inicial G2","DO","DO","TALLER 2026 - CONSTRUIR","Inicial G4","Inicial G1","Reva de Servicio\n(08:30-17:30 hrs)\nDÍA 1","Reva de Servicio\n(08:30-17:30 hrs)\nDÍA 2","DO","DO","Inicial G1","HABILITACIÓN A320","Inicial G2","HO FILE","DO","DO","DO","DO","Inicial G2","RTI: VIRTUAL\nA320F / B767\n(08:30-17:30 hrs)\nINS CRM","DESAYUNO SAB\nMT","RTI: PRÁCTICA\nA320F / B767\n(08:30-17:30 hrs)\nINS APOYO","DO"],"bp":"2823133"},{"dias":["DO","Inicial G1","Reva de Servicio\n(08:30-17:30 hrs)\nDÍA 1","Reva de Servicio\n(08:30-17:30 hrs)\nDÍA 2","Inicial G2","HO FILE","DO","DO","TALLER 2026 - CONSTRUIR","RTI: VIRTUAL\nA320F / B767 / B787\n(08:30-17:30 hrs)\nINS CRM","Inicial G1","RTI: PRÁCTICA\nA320F / B767 / B787\n(08:30-17:30 hrs)\nINS APOYO","Inicial G1","DO","DO","Chequeo LATAM y Reentrenamiento B767\n- LIM-MIA\n- LA 2698 (08:25-14:20 hrs)","Reentrenamiento B767\n- MIA-LIM\n- LA 2481 (15:55-21:40 hrs)","RESERVA IET\nTARDE","Inicial G2","DO","DO","DO","DO","RTI: VIRTUAL\nA320F / B767\n(08:30-17:30 hrs)\nINS TITULAR","REUNIÓN EMBAJADORES","Inicial G4","Inicial G3","DO"],"nombre":"Kevin Segovia","bp":"3189967"},{"dias":["DO","Inicial G1","DITCHING TM\nTC","HO FILE","DO","DO","DO","DO","TALLER 2026 - CONSTRUIR","Reva de Servicio\n(08:30-17:30 hrs)\nDÍA 1","Reva de Servicio\n(08:30-17:30 hrs)\nDÍA 2","Inicial G1","Curso HB6","DO","DO","Inicial G1","RTI: VIRTUAL\nA320F / B767 / B787\n(08:30-17:30 hrs)\nINS CRM","Inicial G2","RTI: PRÁCTICA\nA320F / B767 / B787\n(08:30-17:30 hrs)\nINS APOYO","Inicial G2","DO","DO","Chequeo LATAM B767\n- LIM-MIA\n- LA 2698 (08:25-14:20 hrs)","Chequeo LATAM B767\n- MIA-LIM\n- LA 2481 (15:55-21:40 hrs)","RESERVA IET\nTARDE","RTI: PRÁCTICA\nA320F / B767\n(08:30-17:30 hrs)\nINS APOYO","Inicial G1","DO"],"bp":"2415373","nombre":"Milagros Salas"},{"dias":["VACACIONES","VACACIONES","VACACIONES","VACACIONES","VACACIONES","VACACIONES","VACACIONES","VACACIONES","VACACIONES","VACACIONES","VACACIONES","VACACIONES","VACACIONES","VACACIONES","DO","HABILITACIÓN B767","HABILITACIÓN B767","HABILITACIÓN B767","HABILITACIÓN A320","Inicial G2","DO","DO","Inicial G2","HO FILE","Inicial G1","RTI: PRÁCTICA\nA320F / B767\n(08:30-17:30 hrs)\nINS TITULAR","RESERVA IET","DO"],"nombre":"Judith Fernandez","bp":"2440915"},{"dias":["SICK","SICK","SICK","SICK","SICK","SICK","SICK","SICK","SICK","SICK","SICK","SICK","SICK","SICK","SICK","SICK","SICK","SICK","SICK","SICK","SICK","SICK","SICK","SICK","SICK","SICK","SICK","SICK"],"bp":"3796947","nombre":"Rafael Nieto"},{"nombre":"Gianfranco Celiz","dias":["DO","Chequeo LATAM B767\n- LIM-MIA\n- LA 2698 (08:25-14:20 hrs)","Chequeo LATAM B767\n- MIA-LIM\n- LA 2481 (15:55-21:40 hrs)","RESERVA IET\nTARDE","Reva de Servicio\n(08:30-17:30 hrs)\nDÍA 1","Reva de Servicio\n(08:30-17:30 hrs)\nDÍA 2","DO","DO","TALLER 2026 - CONSTRUIR","Inicial G3","Curso HB6","Curso HB6","Curso HB6","DO","DO","HABILITACIÓN B767","HABILITACIÓN B767","HABILITACIÓN B767","DESAYUNO SAB\nMT","HO FILE","DO","DO","DO","DO","RTI: VIRTUAL\nA320F / B767\n(08:30-17:30 hrs)\nINS TITULAR","Inicial G3","RTI: PRÁCTICA\nA320F / B767\n(08:30-17:30 hrs)\nINS TITULAR","DO"],"bp":"3841387"}],"mes":"2026-02","hoja":"FEBRERO","fuente":"10 - Rol_Instructores_LP_OCTUBRE_1.xlsx"}</t>
  </si>
  <si>
    <t>2026-03</t>
  </si>
  <si>
    <t>{"hoja":"MARZO","mes":"2026-03","instructores":[{"nombre":"Fiorella Ruiz","bp":"2713993","dias":["FDS","HO FILE","PD\n- LIM-ATL\n- LA 2482 (12:15-19:35 hrs)","Blanco","LCK B767\n- ATL-LIM\n- LA 2483 (22:15-05:00 hrs)","RENOVACIÓN INS A320F\nLIM-PIU-LIM\nLA 2306 (09:35-11:20 hrs)\nLA 2307 (11:55-13:25 hrs)","FDS","FDS","PREPARACIÓN\nAUDITORÍA\nPRE IOSA","PREPARACIÓN\nAUDITORÍA\nPRE IOSA","DO","RECURRENTE AUDITOR 2026","RECURRENTE AUDITOR 2026","RECURRENTE AUDITOR 2026","FDS","HANDS ON B767","RESERVA IET","Reentrenamiento B767\n- LIM-MIA\n- LA 2694 (13:30-19:25 hrs)","LCK B767\n- MIA-LIM\n- LA 2695 (16:55-22:40 hrs)","RESERVA IET\nTARDE","FDS","FDS","VACACIONES","VACACIONES","VACACIONES","VACACIONES","VACACIONES","FDS","FDS","TTT REVA DE SERVICIOS","TTT REVA DE SERVICIOS"]},{"nombre":"Sebastian Correa","dias":["FDS","LCK B767\n- LIM-MIA\n- LA 2698 (08:25-14:20 hrs)","Habilitación B767\n- MIA-LIM\n- LA 2695 (16:45-22:40 hrs)","RESERVA IET\nTARDE","Recalificación A320F\nLIM-CUZ-LIM\nLA 2232 (08:35-10:05 hrs)\nLA 2233 (10:40-12:15 hrs)\nLCK A320F\nLIM-PIU-LIM\nLA 2308 (13:10-14:50 hrs)\nLA 2309 (15:25-16:55 hrs)","RESERVA IET","FDS","FDS","CUMP","LCK A320F\nLIM-CUZ-LIM\nLA 2232 (08:35-10:05 hrs)\nLA 2233 (10:40-12:15 hrs)\nLCK A320F\nLIM-PIU-LIM\nLA 2308 (13:10-14:50 hrs)\nLA 2309 (15:25-16:55 hrs)","Reva de Servicio\n(08:30-17:30 hrs)\nDÍA 1","Reva de Servicio\n(08:30-17:30 hrs)\nDÍA 2","REUNIÓN INSTRUCTORES","FDS","FDS","HO FILE","LCK A320F\nLIM-CUZ-LIM\nLA 2232 (08:35-10:05 hrs)\nLA 2233 (10:40-12:15 hrs)\nLCK A320F\nLIM-PIU-LIM\nLA 2308 (13:10-14:50 hrs)\nLA 2309 (15:25-16:55 hrs)","HANDS ON B767","Reentrenamiento A320F\nLIM-CUZ-LIM\nLA 2266 (11:15-12:40 hrs)\nLA 2267 (13:15-14:50 hrs)","LCK A320F\nLIM-CUZ-LIM\nLA 2232 (08:35-10:05 hrs)\nLA 2233 (10:40-12:15 hrs)\nLCK A320F\nLIM-PIU-LIM\nLA 2308 (13:10-14:50 hrs)\nLA 2309 (15:25-16:55 hrs)","FDS","FDS","PD\n- LIM-ATL\n- LA 2482 (12:15-19:35 hrs)","Blanco","LCK B767\n- ATL-LIM\n- LA 2483 (22:15-05:00 hrs)","RTI: PRÁCTICA\nA320F / B767 / B787\n(08:30-17:30 hrs)\nINS APOYO","Inicial G3","FDS","FDS","Inicial G3","Inicial G3"],"bp":"2396710"},{"dias":["VACACIONES","HO FILE","LCK A320F\nLIM-CUZ-LIM\nLA 2232 (08:35-10:05 hrs)\nLA 2233 (10:40-12:15 hrs)\nLCK A320F\nLIM-PIU-LIM\nLA 2308 (13:10-14:50 hrs)\nLA 2309 (15:25-16:55 hrs)","RESERVA IET","Reva de Servicio\n(08:30-17:30 hrs)\nDÍA 1","Reva de Servicio\n(08:30-17:30 hrs)\nDÍA 2","FDS","FDS","LCK A320F\nLIM-AQP-LIM\nLA 2123 (09:20-11:00 hrs)\nLA 2124 (11:35-13:10 hrs)\nLCK A320F\nLIM-TPP-LIM\nLA 2087 (14:10-15:35 hrs)\nLA 2088 (16:10-17:30 hrs)","Reva de Servicio\n(08:30-17:30 hrs)\nDÍA 1","Reva de Servicio\n(08:30-17:30 hrs)\nDÍA 2","LCK A320F\nLIM-AQP-LIM\nLA 2123 (09:20-11:00 hrs)\nLA 2124 (11:35-13:10 hrs)\nLCK A320F\nLIM-TPP-LIM\nLA 2087 (14:10-15:35 hrs)\nLA 2088 (16:10-17:30 hrs)","REUNIÓN INSTRUCTORES","FDS","FDS","LCK A320F\nLIM-CUZ-LIM\nLA 2232 (08:35-10:05 hrs)\nLA 2233 (10:40-12:15 hrs)\nLCK A320F\nLIM-CIX-LIM\nLA 2312 (13:25-14:50 hrs)\nLA 2313 (15:25-16:45 hrs)","Reva de Servicio\n(08:30-17:30 hrs)\nDÍA 1","Reva de Servicio\n(08:30-17:30 hrs)\nDÍA 2","HANDS ON B767","LCK B787\n- LIM-SCL\n- LA 2697 (09:35-13:00 hrs)\nLCK B787\n- SCL-LIM\n- LA 2696 (16:00-19:45 hrs)","FDS","FDS","HO FILE","LCK A320F\nLIM-CUZ-LIM\nLA 2232 (08:35-10:05 hrs)\nLA 2233 (10:40-12:15 hrs)\nLCK A320F\nLIM-PIU-LIM\nLA 2308 (13:10-14:50 hrs)\nLA 2309 (15:25-16:55 hrs)","Inicial G3","Inicial G3","LCK A320F\nLIM-CUZ-LIM\nLA 2537 (09:15-10:50 hrs)\nLA 2008 (11:25-12:55 hrs)\nLCK A320F\nLIM-AQP-LIM\nLA 2115 (13:55-15:25 hrs)\nLA 2114 (16:00-17:35 hrs)","FDS","FDS","PD\n- LIM-ATL\n- LA 2482 (12:15-19:35 hrs)","Blanco"],"bp":"1271571","nombre":"Christian Rondon"},{"bp":"2843319","dias":["DO","HO FILE","RESERVA IET","HANDS ON B767","HABILITACIÓN B787","RESERVA IET\nTARDE","DO","DO","PREPARACIÓN\nAUDITORÍA\nPRE IOSA","PD\n- LIM-ATL\n- LA 2482 (12:15-19:35 hrs)","Blanco","LCK B767\n- ATL-LIM\n- LA 2483 (22:15-05:00 hrs)","REUNIÓN INSTRUCTORES","DO","DO","DO","DO","LCK ALUMNO","LCK ALUMNO","RESERVA IET\nTARDE","DO","DO","HANDS ON B767","Reva de Servicio\n(08:30-17:30 hrs)\nDÍA 1","Reva de Servicio\n(08:30-17:30 hrs)\nDÍA 2","Inicial G3","Inicial G3","DO","DO","TTT REVA DE SERVICIOS","TTT REVA DE SERVICIOS"],"nombre":"Karen Santa Cruz"},{"nombre":"Jennifert Acurio","dias":["DO","HO FILE","Reva de Servicio\n(08:30-17:30 hrs)\nDÍA 1","Reva de Servicio\n(08:30-17:30 hrs)\nDÍA 2","HANDS ON B767","DO","DO","DO","DO","LCK B767\n- LIM-MIA\n- LA 2698 (08:25-14:20 hrs)","PD\n- MIA-LIM\n- LA 2481 (15:55-21:40 hrs)","RESERVA IET\nTARDE","REUNIÓN INSTRUCTORES","DO","DO","Reentrenamiento A320F\nLIM-AQP-LIM\nLA 2109 (10:30-12:00 hrs)\nLA 2108 (12:40-14:15 hrs)","RESERVA IET","Habilitación B767\n- LIM-ATL\n- LA 2482 (12:15-19:35 hrs)","Blanco","LCK B767\n- ATL-LIM\n- LA 2483 (22:15-05:00 hrs)","DO","DO","LCK A320F\nLIM-CUZ-LIM\nLA 2232 (08:35-10:05 hrs)\nLA 2233 (10:40-12:15 hrs)\nLCK A320F\nLIM-CIX-LIM\nLA 2312 (13:25-14:50 hrs)\nLA 2313 (15:25-16:45 hrs)","Inicial G5","HANDS ON B767","LCK A320F\nLIM-CUZ-LIM\nLA 2232 (08:35-10:05 hrs)\nLA 2233 (10:40-12:15 hrs)\nLCK A320F\nLIM-CIX-LIM\nLA 2312 (13:25-14:50 hrs)\nLA 2313 (15:30-16:50 hrs)","RESERVA IET","DO","DO","HANDS ON B767","LCK B767\n- LIM-MIA\n- LA 2698 (08:15-14:20 hrs)"],"bp":"3779550"},{"dias":["DO","PD\n- LIM-MIA\n- LA 2694 (13:30-19:25 hrs)","Blanco","LCK B767\n- MIA-LIM\n- LA 2699 (23:10-05:00 hrs)","RTI: PRÁCTICA\nA320F / B767\n(08:30-17:30 hrs)\nINS APOYO TM","DO","DO","DO","DO","Inicial G2","LCK A320F\nLIM-CUZ-LIM\nLA 2232 (08:35-10:05 hrs)\nLA 2233 (10:40-12:15 hrs)\nLCK A320F\nLIM-PIU-LIM\nLA 2308 (13:10-14:50 hrs)\nLA 2309 (15:25-16:55 hrs)","Curso 50%","Inicial G4","DO","DO","LCK A320F\nLIM-AQP-LIM\nLA 2123 (09:20-11:00 hrs)\nLA 2124 (11:35-13:10 hrs)\nLCK A320F\nLIM-CUZ-LIM\nLA 2075 (14:25-15:55 hrs)\nLA 2076 (16:30-18:00 hrs)","HO FILE","LCK A320F\nLIM-CUZ-LIM\nLA 2232 (08:35-10:05 hrs)\nLA 2233 (10:40-12:15 hrs)\nLCK A320F\nLIM-CIX-LIM\nLA 2312 (13:25-14:50 hrs)\nLA 2313 (15:30-16:50 hrs)","Reva de Servicio\n(08:30-17:30 hrs)\nDÍA 1","Reva de Servicio\n(08:30-17:30 hrs)\nDÍA 2","DO","DO","LCK A320F\nLIM-AQP-LIM\nLA 2123 (09:20-11:00 hrs)\nLA 2124 (11:35-13:10 hrs)\nLCK A320F\nLIM-TPP-LIM\nLA 2087 (14:10-15:35 hrs)\nLA 2088 (16:10-17:30 hrs)","REU EMBAJADORES","PD\n- LIM-MIA\n- LA 2694 (13:30-19:25 hrs)","LCK B767\n- MIA-LIM\n- LA 2695 (16:55-22:40 hrs)","RESERVA IET\nTARDE","DO","DO","HABILITACIÓN B787","RESERVA IET\nTARDE"],"bp":"29530","nombre":"Jazmin Guerra"},{"bp":"3217561","nombre":"Claudia Flores","dias":["DO","Curso 50%","Curso 50%","Curso 50%","Curso 50%","Curso 50%","DO","DO","LCK B767\n- LIM-MIA\n- LA 2698 (08:25-14:20 hrs)","PD\n- MIA-LIM\n- LA 2695 (16:55-22:40 hrs)","RESERVA IET\nTARDE","DO","DO","DO","DO","PD\n- LIM-ATL\n- LA 2482 (12:15-19:35 hrs)","Blanco","LCK B767\n- ATL-LIM\n- LA 2483 (22:15-05:00 hrs)","PREPARACIÓN\nAUDITORÍA\nPRE IOSA","PREPARACIÓN\nAUDITORÍA\nPRE IOSA","DO","DO","HO FILE","REU EMBAJADORES","Inicial G3","Inicial G3","Inicial G4","DO","DO","Inicial G3","Inicial G3"]},{"dias":["VACACIONES","VACACIONES","VACACIONES","VACACIONES","VACACIONES","VACACIONES","VACACIONES","DO","HABILITACIÓN B787","RESERVA IET\nTARDE","Reentrenamiento B767\n- LIM-MIA\n- LA 2694 (13:30-19:25 hrs)","LCK B767\n- MIA-LIM\n- LA 2695 (16:55-22:40 hrs)","REUNIÓN INSTRUCTORES\nTARDE","DO","DO","PD\n- LIM-MIA\n- LA 2694 (13:30-19:25 hrs)","Blanco","LCK B767\n- MIA-LIM\n- LA 2699 (23:10-05:00 hrs)","PREPARACIÓN\nAUDITORÍA\nPRE IOSA","PREPARACIÓN\nAUDITORÍA\nPRE IOSA","DO","DO","HO FILE","PD\n- LIM-ATL\n- LA 2482 (12:15-19:35 hrs)","Blanco","LCK B767\n- ATL-LIM\n- LA 2483 (22:15-05:00 hrs)","Inicial G3","DO","DO","CRM REFRESCO IDE","RESERVA IET"],"bp":"2963161","nombre":"Luis Bacigalupo"},{"bp":"71348","dias":["LP","LP","LP","LP","LP","LP","LP","LP","LP","LP","LP","LP","LP","LP","LP","LP","LP","LP","LP","LP","LP","LP","LP","LP","LP","LP","LP","LP","LP","LP","LP"],"nombre":"Karla Moz"},{"bp":"967092","nombre":"Erika Dávila","dias":["DO","HABILITACIÓN A320F","HO FILE","Inicial G4","Inicial G4","RESERVA IET","DO","DO","HANDS ON B787","Curso 50%","Inicial G4","RTI: PRÁCTICA\nA320F / B767\n(08:30-17:30 hrs)\nINS APOYO TM","REUNIÓN INSTRUCTORES","DO","DO","TALLER VOLUNTARIO DE SEGURIDAD","HANDS ON B787","HANDS ON B787","RTI: PRÁCTICA\nA320F / B767\n(08:30-17:30 hrs)\nINS APOYO TM","RTI: PRÁCTICA\nA320F / B767\n(08:30-17:30 hrs)\nINS APOYO TM","DO","DO","Inicial G4","RTI: VIRTUAL\nA320F / B767 / B787\n(08:30-17:30 hrs)","RTI: PRÁCTICA\nA320F / B767 / B787\n(08:30-17:30 hrs)","RTI: PRÁCTICA\nA320F / B767 / B787\n(08:30-17:30 hrs)","DO","DO","DO","DO","HANDS ON B767"]},{"nombre":"Elizabeth Torres","dias":["DO","HO FILE","RESERVA IET","LCK A320F\nLIM-CUZ-LIM\nLA 2232 (08:35-10:05 hrs)\nLA 2233 (10:40-12:15 hrs)\nLCK A320F\nLIM-CIX-LIM\nLA 2312 (13:25-14:50 hrs)\nLA 2313 (15:30-16:50 hrs)","Inicial G3","Inicial G4","DO","DO","Inicial G4","Inicial G4","PD\n- LIM-ATL\n- LA 2482 (12:15-19:35 hrs)","Blanco","LCK B767\n- ATL-LIM\n- LA 2483 (22:15-05:00 hrs)","DO","DO","CRM REFRESCO IDE","RESERVA IET","Inicial G5","Inicial G4","Inicial G4","DO","DO","Inicial G5","Inicial G4","Inicial G3","Recalificación A320F\nLIM-PIU-LIM\nLA 2306 (09:35-11:20 hrs)\nLA 2307 (11:55-13:25 hrs)","DO","DO","DO","DO","Reva de Servicio\n(08:30-17:30 hrs)\nDÍA 1"],"bp":"2369641"},{"nombre":"Patricia Najar","bp":"2369624","dias":["DO","HO FILE","Inicial G4","PD\n- LIM-ATL\n- LA 2482 (12:15-19:35 hrs)","Blanco","LCK B767\n- ATL-LIM\n- LA 2483 (22:15-05:00 hrs)","DO","DO","PREPARACIÓN\nAUDITORÍA\nPRE IOSA","PREPARACIÓN\nAUDITORÍA\nPRE IOSA","DO","RECURRENTE AUDITOR 2026","RECURRENTE AUDITOR 2026","RECURRENTE AUDITOR 2026","DO","CRM REFRESCO IDE","LCK A320F\nLIM-AQP-LIM\nLA 2123 (09:20-11:00 hrs)\nLA 2124 (11:35-13:10 hrs)\nLCK A320F\nLIM-PCL-LIM\nLA 2360 (14:05-15:20 hrs)\nLA 2361 (16:00-17:10 hrs)","Inicial G4","LCK A320F\nLIM-TCQ-LIM\nLA 2245 (09:00-10:50 hrs)\nLA 2244 (11:25-13:15 hrs)\nLCK A320F\nLIM-TPP-LIM\nLA 2087 (14:10-15:35 hrs)\nLA 2088 (16:10-17:30 hrs)","HABILITACIÓN A320F","DO","DO","LCK B767\n- LIM-MIA\n- LA 2698 (08:25-14:20 hrs)","Recalificación B767\n- MIA-LIM\n- LA 2695 (16:55-22:40 hrs)","RESERVA IET\nTARDE","DO","DO","DO","DO","Inicial G5","RESERVA IET"]},{"dias":[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HABILITACIÓN A320F","PD\n- LIM-ATL\n- LA 2482 (12:15-19:35 hrs)","Blanco","LCK B767\n- ATL-LIM\n- LA 2483 (22:15-05:00 hrs)","DO","DO","LCK B767\n- LIM-MIA\n- LA 2698 (08:15-14:20 hrs)","PD\n- MIA-LIM\n- LA 2695 (16:10-22:00 hrs)"],"nombre":"Javier Zapata","bp":"3134911"},{"dias":["DO","PD\n- LIM-ATL\n- LA 2482 (12:15-19:35 hrs)","Blanco","LCK B767\n- ATL-LIM\n- LA 2483 (22:15-05:00 hrs)","Inicial G3","HANDS ON B767","DO","DO","PD\n- LIM-MIA\n- LA 2694 (13:30-19:25 hrs)","Blanco","LCK B767\n- MIA-LIM\n- LA 2699 (23:10-05:00 hrs)","DESAYUNO SAB","REUNIÓN INSTRUCTORES","DO","DO","LCK B767\n- LIM-MIA\n- LA 2698 (08:25-14:20 hrs)","Reentrenamiento B767\n- MIA-LIM\n- LA 2695 (16:55-22:40 hrs)","RESERVA IET\nTARDE","DO","DO","DO","DO","HO FILE","CUMP","CUMP","Inicial G4","Inicial G4","DO","DO","CRM REFRESCO IDE","RESERVA IET"],"bp":"3750335","nombre":"Jefferson Mendez"},{"nombre":"Gabriela Ungaro","bp":"3852423","dias":["DO","Inicial G4","LCK B767\n- LIM-MIA\n- LA 2698 (08:25-14:20 hrs)","Chequeo DGAC\n- MIA-LIM\n- LA 2481 (15:55-21:40 hrs)","RESERVA IET\nTARDE","LCK A320F\nLIM-CUZ-LIM\nLA 2232 (08:35-10:05 hrs)\nLA 2233 (10:40-12:15 hrs)\nLCK A320F\nLIM-PIU-LIM\nLA 2308 (13:10-14:50 hrs)\nLA 2309 (15:25-16:55 hrs)","DO","DO","PD\n- LIM-ATL\n- LA 2482 (12:15-19:35 hrs)","Blanco","LCK B767\n- ATL-LIM\n- LA 2483 (22:15-05:00 hrs)","LCK A320F\nLIM-CUZ-LIM\nLA 2232 (08:35-10:05 hrs)\nLA 2233 (10:40-12:15 hrs)\nLCK A320F\nLIM-PIU-LIM\nLA 2308 (13:10-14:50 hrs)\nLA 2309 (15:25-16:55 hrs)","REUNIÓN INSTRUCTORES","DO","DO","HO FILE","LCK B767\n- LIM-MIA\n- LA 2698 (08:25-14:20 hrs)","Chequeo DGAC\n- MIA-LIM\n- LA 2481 (15:55-21:40 hrs)","RESERVA IET\nTARDE","HABILITACIÓN A320F","DO","DO","RESERVA IET","VACACIONES","VACACIONES","VACACIONES","VACACIONES","VACACIONES","VACACIONES","VACACIONES","VACACIONES"]},{"dias":["DO","Inicial G3","Inicial G3","PD\n- LIM-MIA\n- LA 2694 (13:30-19:25 hrs)","LCK B767\n- MIA-LIM\n- LA 2695 (16:55-22:40 hrs)","RESERVA IET\nTARDE","DO","DO","PREPARACIÓN\nAUDITORÍA\nPRE IOSA","PREPARACIÓN\nAUDITORÍA\nPRE IOSA","DO","RECURRENTE AUDITOR 2026","RECURRENTE AUDITOR 2026","RECURRENTE AUDITOR 2026","DO","HO FILE","PD\n- LIM-ATL\n- LA 2482 (12:15-19:35 hrs)","Blanco","LCK B767\n- ATL-LIM\n- LA 2483 (22:15-05:00 hrs)","Inicial G3","DO","DO","TALLER VOLUNTARIO DE SEGURIDAD","LCK B767\n- LIM-MIA\n- LA 2698 (08:25-14:20 hrs)","Chequeo DGAC\n- MIA-LIM\n- LA 2481 (15:55-21:40 hrs)","RESERVA IET\nTARDE","DO","DO","DO","DO","HAB A320F"],"nombre":"Mariella Carrasco","bp":"2604360"},{"dias":["DO","Inicial G3","RTI: VIRTUAL\nA320F / B767\n(08:30-17:30 hrs)\nINS TITULAR","Inicial G3","RTI: PRÁCTICA\nA320F / B767\n(08:30-17:30 hrs)\nINS TITULAR","Inicial G3","DO","DO","Inicial G3","RTI: VIRTUAL\nA320F / B767\n(08:30-17:30 hrs)\nINS TITULAR","Curso 50%","RTI: PRÁCTICA\nA320F / B767\n(08:30-17:30 hrs)\nINS TITULAR","REUNIÓN INSTRUCTORES","DO","DO","HO FILE","RTI: VIRTUAL\nA320F / B767\n(08:30-17:30 hrs)\nINS TITULAR","Inicial G3","RTI: PRÁCTICA\nA320F / B767\n(08:30-17:30 hrs)\nINS TITULAR","Inicial G3","DO","DO","Inicial G3","Inicial G3","HANDS ON B767 \nALUMNO","DO","DO","DO","DO","LCK ALUMNO","LCK ALUMNO"],"bp":"2823133","nombre":"Cesar Campos"},{"dias":["DO","Inicial G2","RTI: VIRTUAL\nA320F / B767\n(08:30-17:30 hrs)\nINS CRM","Inicial G3","RTI: PRÁCTICA\nA320F / B767\n(08:30-17:30 hrs)\nINS APOYO","Inicial G3","DO","DO","Inicial G3","RTI: VIRTUAL\nA320F / B767\n(08:30-17:30 hrs)\nINS CRM","HO FILE","RTI: PRÁCTICA\nA320F / B767\n(08:30-17:30 hrs)\nINS APOYO","REUNIÓN INSTRUCTORES","DO","DO","HANDS ON B767 \nALUMNO","RTI: VIRTUAL\nA320F / B767\n(08:30-17:30 hrs)\nINS CRM","Inicial G3","RTI: PRÁCTICA\nA320F / B767\n(08:30-17:30 hrs)\nINS APOYO","Inicial G3","DO","DO","Inicial G3","LCK ALUMNO","LCK ALUMNO","RESERVA IET\nTARDE","DO","DO","DO","DO","HAB A320F"],"nombre":"Kevin Segovia","bp":"3189967"},{"nombre":"Milagros Salas","dias":["DO","HO FILE","Inicial G2","Inicial G1","DO","DO","DO","DO","Inicial G2","Inicial G3","RESERVA IET","HABILITACIÓN A320F","REUNIÓN INSTRUCTORES","DO","DO","TALLER VOLUNTARIO DE SEGURIDAD","Inicial G5","RTI: VIRTUAL\nA320F / B767\n(08:30-17:30 hrs)\nINS TITULAR","Inicial G3","RTI: PRÁCTICA\nA320F / B767\n(08:30-17:30 hrs)\nINS TITULAR","DO","DO","Inicial G3","Inicial G3","Inicial G5","Inicial G5","Inicial G5","DO","DO","Inicial G4","Inicial G4"],"bp":"2415373"},{"dias":["DO","HO FILE","Inicial G1","Inicial G2","Inicial G1","Inicial G2","DO","DO","LCK ALUMNO","LCK ALUMNO","LCK ALUMNO","Reva de Servicio\n(08:30-17:30 hrs)\nDÍA 1","Reva de Servicio\n(08:30-17:30 hrs)\nDÍA 2","DO","DO","Inicial G5","Inicial G4","RTI: VIRTUAL\nA320F / B767\n(08:30-17:30 hrs)\nINS CRM","Inicial G3","RTI: PRÁCTICA\nA320F / B767\n(08:30-17:30 hrs)\nINS APOYO","DO","DO","TALLER VOLUNTARIO DE SEGURIDAD","Inicial G3","Reva de Servicio\n(08:30-17:30 hrs)\nDÍA 1","Reva de Servicio\n(08:30-17:30 hrs)\nDÍA 2","DO","DO","DO","DO","Inicial G5"],"bp":"2440915","nombre":"Judith Fernandez"},{"dias":["SICK","SICK","SICK","SICK","SICK","SICK","SICK","SICK","SICK","SICK","SICK","SICK","SICK","SICK","SICK","SICK","SICK","SICK","SICK","SICK","SICK","SICK","SICK","SICK","SICK","SICK","SICK","SICK","SICK","SICK","SICK"],"nombre":"Rafael Nieto","bp":"3796947"},{"dias":["DO","Inicial G1","Inicial G3","RESERVA IET","Inicial G2","Inicial G1","DO","DO","Curso 50%","Inicial G3","HANDS ON B767","HABILITACIÓN A320F","REUNIÓN INSTRUCTORES","DO","DO","Inicial G4","HO FILE","Inicial G3","Inicial G3","DO","DO","DO","DO","RTI: VIRTUAL\nA320F / B767 / B787\n(08:30-17:30 hrs)\nINS CRM","RTI: PRÁCTICA\nA320F / B767 / B787\n(08:30-17:30 hrs)\nINS APOYO","Reva de Servicio\n(08:30-17:30 hrs)\nDÍA 1","Reva de Servicio\n(08:30-17:30 hrs)\nDÍA 2","DO","DO","Inicial G4","Inicial G4"],"bp":"3841387","nombre":"Gianfranco Celiz"}],"fuente":"10 - Rol_Instructores_LP_OCTUBRE_1.xlsx"}</t>
  </si>
  <si>
    <t>2026-04</t>
  </si>
  <si>
    <t>{"hoja":"ABRIL","mes":"2026-04","fuente":"Rol_Instructores_LP_AGOSTO.xlsx","instructores":[{"bp":"2713993","nombre":"Fiorella Ruiz","dias":["LCK A320F\nLIM-CUZ-LIM\nLA 2007 (09:10-10:35 hrs)\nLA 2008 (11:20-12:55 hrs)\nLCK A320F\nLIM-CUZ-LIM\nLA 2232 (13:55-15:20 hrs)\nLA 2197 (15:55-17:35 hrs)","FERIADO","FERIADO","FDS","FDS","Inicial G3","Reva de Servicio\n(08:30-17:30 hrs)\nDÍA 1","Reva de Servicio\n(08:30-17:30 hrs)\nDÍA 2","TTT REVA SVC","TTT REVA SVC","FDS","FDS","LCK B787\n- LIM-SCL\n- LA 2697 (09:35-13:00 hrs)\nLCK B787\n- SCL-LIM\n- LA 2696 (16:00-19:45 hrs)","RESERVA IET\nTARDE","PD\n- LIM-ATL\n- LA 2482 (12:05-19:35 hrs)","Blanco","LCK B767\n- ATL-LIM\n- LA 2483 (22:15-05:00 hrs)","FDS","FDS","Habilitación B767\n- LIM-ATL\n- LA 2482 (12:05-19:35 hrs)","Blanco","LCK B767\n- ATL-LIM\n- LA 2483 (22:15-05:00 hrs)","Inicial G7","LCK B787\n- LIM-SCL\n- LA 2697 (09:35-13:00 hrs)\nRecalificación B787\n- SCL-LIM\n- LA 2696 (16:00-19:45 hrs)","FDS","FDS","LCK B787\n- LIM-SCL\n- LA 2697 (09:35-13:00 hrs)\nLCK B787\n- SCL-LIM\n- LA 2696 (16:00-19:45 hrs)","RESERVA IET\nTARDE","Inicial G4","LCK A320F\nLIM-CUZ-LIM\nLA 2007 (09:10-10:35 hrs)\nLA 2008 (11:20-12:55 hrs)\nLCK A320F\nLIM-CUZ-LIM\nLA 2232 (13:55-15:20 hrs)\nLA 2197 (15:55-17:35 hrs)"]},{"bp":"2396710","nombre":"Sebastian Correa","dias":["LCK A320F\nLIM-AQP-LIM\nLA 2123 (09:15-10:50 hrs)\nLA 2124 (11:30-13:10 hrs)\nLCK A320F\nLIM-CJA-LIM\nLA 2295 (14:05-15:30 hrs)\nLA 2294 (16:10-17:15 hrs)","FERIADO","FERIADO","FDS","FDS","LCK B767\n- LIM-MIA\n- LA 2698 (08:15-14:20 hrs)","Reentrenamiento B767\n- MIA-LIM\n- LA 2695 (16:10-22:00 hrs)","RESERVA IET\nTARDE","TTT REVA SVC","TTT REVA SVC","FDS","FDS","VACACIONES","VACACIONES","VACACIONES","VACACIONES","VACACIONES","VACACIONES","VACACIONES","VACACIONES","VACACIONES","VACACIONES","VACACIONES","VACACIONES","VACACIONES","VACACIONES","VACACIONES","VACACIONES","VACACIONES","VACACIONES"]},{"bp":"1271571","dias":["LCK B767\n- ATL-LIM\n- LA 2483 (22:15-05:00 hrs)","FERIADO","FERIADO","FDS","FDS","LCK B787\n- LIM-SCL\n- LA 2697 (09:35-13:00 hrs)\nLCK B787\n- SCL-LIM\n- LA 2696 (16:00-19:45 hrs)","RESERVA IET\nTARDE","LCK A320F\nLIM-AQP-LIM\nLA 2119 (08:30-10:00 hrs)\nLA 2118 (10:55-12:35 hrs)\nLCK A320F\nLIM-TCQ-LIM\nLA 2067 (13:45-15:40 hrs)\nLA 2068 (16:20-18:15 hrs)","TTT REVA SVC","TTT REVA SVC","FDS","FDS","Reentrenamiento B767\n- LIM-MIA\n- LA 2694 (13:30-19:35 hrs)","Blanco","LCK B767\n- MIA-LIM\n- LA 2699 (23:15-05:00 hrs)","LDS","DO","FDS","FDS","Reentrenamiento B767\n- LIM-MIA\n- LA 2694 (13:30-19:35 hrs)","Blanco","LCK B767\n- MIA-LIM\n- LA 2699 (23:15-05:00 hrs)","LCK B767\n- LIM-SCL\n- LA 2413 (12:05-15:35 hrs)\nLCK B767\n- SCL-LIM\n- LA 2412 (17:05-20:55 hrs)","Inicial G4\nTARDE","FDS","FDS","PD\n- LIM-MIA\n- LA 2694 (13:30-19:35 hrs)","Blanco","LCK B767\n- MIA-LIM\n- LA 2699 (23:15-05:00 hrs)","LCK A320F\nLIM-AQP-LIM\nLA 2123 (09:15-10:50 hrs)\nLA 2124 (11:30-13:10 hrs)\nLCK A320F\nLIM-CJA-LIM\nLA 2295 (14:05-15:30 hrs)\nLA 2294 (16:10-17:15 hrs)"],"nombre":"Christian Rondon"},{"nombre":"Karen Santa Cruz","dias":["HO FILE","DO","DO","DO","DO","LCK ALUMNA + HAB","RESERVA IET\nTARDE","AUDITORÍA\nPRE IOSA","AUDITORÍA\nPRE IOSA","LCK A320F\nLIM-CUZ-LIM\nLA 2007 (09:10-10:35 hrs)\nLA 2008 (11:20-12:55 hrs)\nLCK A320F\nLIM-AQP-LIM\nLA 2055 (13:50-15:35 hrs)\nLA 2056 (16:15-17:50 hrs)","DO","DO","LCK A320F\nLIM-AQP-LIM\nLA 2123 (09:15-10:50 hrs)\nLA 2124 (11:30-13:10 hrs)\nLCK A320F\nLIM-CJA-LIM\nLA 2295 (14:05-15:30 hrs)\nLA 2294 (16:10-17:15 hrs)","PD\n- LIM-ATL\n- LA 2482 (12:05-19:35 hrs)","Blanco","LCK B767\n- ATL-LIM\n- LA 2483 (22:15-05:00 hrs)","HO FILE\n(No tocar)","DO","CUMP","CUMP","Situaciones de Emergencia A320F\nTripulación de Mando\nLP\n(08:30-17:30 hrs)","RTI: PRÁCTICA\nA320F / B767 / B787\n(08:30-17:30 hrs)\nINS APOYO","Ditching Presencial A320F + HANDS ON\nTripulación de Mando\nLP\n(08:30-17:30 hrs)","LCK A320F\nLIM-CUZ-LIM\nLA 2007 (09:10-10:35 hrs)\nLA 2008 (11:20-12:55 hrs)\nLCK A320F\nLIM-AQP-LIM\nLA 2055 (13:50-15:35 hrs)\nLA 2056 (16:15-17:50 hrs)","DO","DO","LCK B767\n- LIM-MIA\n- LA 2698 (08:15-14:20 hrs)","Chequeo DGAC B767\n- MIA-LIM\n- LA 2695 (16:10-22:00 hrs)","REU EMBAJADORES\nTARDE","Chequeo DGAC B767\n- LIM-SCL\n- LA 2413 (12:05-15:35 hrs)\nChequeo DGAC B767\n- SCL-LIM\n- LA 2412 (17:05-20:55 hrs)"],"bp":"2843319"},{"bp":"3779550","nombre":"Jennifert Acurio","dias":["PD\n- MIA-LIM\n- LA 2481 (15:55-21:40 hrs)","DO","DO","DO","DO","TALLER VOLUNTARIO DE SEGURIDAD","Inicial G3","VACACIONES","VACACIONES","VACACIONES","VACACIONES","VACACIONES","VACACIONES","VACACIONES","VACACIONES","Inicial G4","Chequeo DGAC B767\n- LIM-SCL\n- LA 2413 (12:05-15:35 hrs)\nChequeo DGAC B767\n- SCL-LIM\n- LA 2412 (17:05-20:55 hrs)","DO","DO","LCK B767\n- LIM-MIA\n- LA 2698 (08:15-14:20 hrs)","Chequeo LATAM B767\n- MIA-LIM\n- LA 2695 (16:10-22:00 hrs)","RESERVA IET\nTARDE","Inicial G5","LCK ALUMNA + HAB","DO","DO","LCK A320F\nLIM-AQP-LIM\nLA 2123 (09:15-10:50 hrs)\nLA 2124 (11:30-13:10 hrs)\nLCK A320F\nLIM-CJA-LIM\nLA 2295 (14:05-15:30 hrs)\nLA 2294 (16:10-17:15 hrs)","PD\n- LIM-ATL\n- LA 2482 (12:05-19:35 hrs)","Blanco","LCK B767\n- ATL-LIM\n- LA 2483 (22:15-05:00 hrs)"]},{"nombre":"Jazmin Guerra","bp":"29530","dias":["HAB WB","DO","DO","DO","DO","Inicial G6","Inicial G6","Inicial G6","TTT REVA SVC","TTT REVA SVC","DO","DO","LCK ALUMNO","RESERVA IET\nTARDE","RTI: PRÁCTICA\nA320F / B767 / B787\n(08:30-17:30 hrs)\nINS APOYO","LCK B767\n- LIM-SCL\n- LA 2413 (12:05-15:35 hrs)\nLCK B767\n- SCL-LIM\n- LA 2412 (17:05-20:55 hrs)","Inicial G4\nTARDE","DO","DO","LCK A320F\nLIM-CIX-LIM\nLA 2274 (09:35-11:10 hrs)\nLA 2275 (11:45-13:05 hrs)\nLCK A320F\nLIM-CJA-LIM\nLA 2295 (14:05-15:30 hrs)\nLA 2294 (16:10-17:15 hrs)","Habilitación B767\n- LIM-ATL\n- LA 2482 (12:05-19:35 hrs)","Blanco","LCK B767\n- ATL-LIM\n- LA 2483 (22:15-05:00 hrs)","Chequeo DGAC B767\n- LIM-SCL\n- LA 2413 (12:05-15:35 hrs)\nChequeo DGAC B767\n- SCL-LIM\n- LA 2412 (17:05-20:55 hrs)","DO","DO","LCK A320F\nLIM-CIX-LIM\nLA 2274 (09:35-11:10 hrs)\nLA 2275 (11:45-13:05 hrs)\nLCK A320F\nLIM-TPP-LIM\nLA 2087 (14:00-15:30 hrs)\nLA 2088 (16:05-17:30 hrs)","Inicial G4","Inicial G6","Inicial G6"]},{"bp":"3217561","nombre":"Claudia Flores","dias":["HO FILE","DO","DO","DO","DO","LCK A320F\nLIM-AQP-LIM\nLA 2119 (08:30-10:00 hrs)\nLA 2118 (10:55-12:35 hrs)\nLCK A320F + Habilitación A320F\nLIM-TCQ-LIM\nLA 2067 (13:45-15:40 hrs)\nLA 2068 (16:20-18:15 hrs)","CUMP","VACACIONES","VACACIONES","VACACIONES","VACACIONES","VACACIONES","VACACIONES","VACACIONES","VACACIONES","VACACIONES","VACACIONES","VACACIONES","VACACIONES","VACACIONES","VACACIONES","VACACIONES","AUDITORIA\nPROCAB","Reentrenamiento A320F\nLIM-TBP-LIM\nLA 2052 (10:15-12:15 hrs)\nLA 2051 (12:55-14:35 hrs)","DO","DO","LCK ALUMNA+HAB","RESERVA IET\nTARDE","Chequeo DGAC B767\n- LIM-MIA\n- LA 2694 (13:30-19:35 hrs)","LCK B767\n- MIA-LIM\n- LA 2695 (16:10-22:00 hrs)"]},{"nombre":"Karla Moz","dias":["VACACIONES","VACACIONES","VACACIONES","VACACIONES","VACACIONES","VACACIONES","VACACIONES","VACACIONES","VACACIONES","VACACIONES","VACACIONES","VACACIONES","VACACIONES","VACACIONES","VACACIONES","LP","LP","DO","DO","LP","LP","LP","LP","LP","DO","DO","LP","LP","LP","LP"],"bp":"71348"},{"dias":["Inicial G5","DO","DO","DO","DO","TALLER VOLUNTARIO DE SEGURIDAD","HO FILE","Inicial G5","TTT REVA SVC","TTT REVA SVC","DO","DO","Inicial G6","RTI: VIRTUAL\nA320F / B767 / B787\n(08:30-17:30 hrs)","RTI: PRÁCTICA\nA320F / B767 / B787\n(08:30-17:30 hrs)","RTI: PRÁCTICA\nA320F / B767 / B787\n(08:30-17:30 hrs)","Reentrenamiento B787\n- LIM-SCL\n- LA 2697 (09:35-13:00 hrs)\nHabilitación B787\n- SCL-LIM\n- LA 2696 (16:00-19:45 hrs)","DO","DO","Inicial G5","RTI: VIRTUAL\nA320F / B767 / B787\n(08:30-17:30 hrs)","RTI: PRÁCTICA\nA320F / B767 / B787\n(08:30-17:30 hrs)","RTI: PRÁCTICA\nA320F / B767 / B787\n(08:30-17:30 hrs)","Inicial G4","DO","DO","Chequeo LATAM B767\n- LIM-MIA\n- LA 2698 (08:15-14:20 hrs)","Chequeo LATAM B767\n- MIA-LIM\n- LA 2695 (16:10-22:00 hrs)","RESERVA IET\nTARDE","Inicial G6"],"nombre":"Erika Dávila","bp":"967092"},{"nombre":"Elizabeth Torres","bp":"2369641","dias":["Reva de Servicio\n(08:30-17:30 hrs)\nDÍA 2","DO","DO","DO","DO","Inicial G5","Inicial G5","LCK A320F\nLIM-AQP-LIM\nLA 2123 (09:15-10:50 hrs)\nLA 2124 (11:30-13:10 hrs)\nLCK A320F\nLIM-TPP-LIM\nLA 2087 (14:00-15:30 hrs)\nLA 2088 (16:05-17:30 hrs)","TTT REVA SVC","TTT REVA SVC","DO","DO","Inicial G5","LCK B767\n- LIM-MIA\n- LA 2698 (08:15-14:20 hrs)","Chequeo DGAC B767\n- MIA-LIM\n- LA 2481 (15:55-21:40 hrs)","RESERVA IET\nTARDE","LCK B767\n- LIM-SCL\n- LA 2413 (12:05-15:35 hrs)\nLCK B767\n- SCL-LIM\n- LA 2412 (17:05-20:55 hrs)","DO","DO","LCK A320F\nLIM-AQP-LIM\nLA 2123 (09:15-10:50 hrs)\nLA 2124 (11:30-13:10 hrs)","LCK B767\n- LIM-MIA\n- LA 2698 (08:15-14:20 hrs)","Chequeo DGAC B767\n- MIA-LIM\n- LA 2481 (15:55-21:40 hrs)","RESERVA IET\nTARDE","Inicial G4","DO","DO","Recalificación A320F\nLIM-CUZ-LIM\nLA 2238 (10:10-11:35 hrs)\nLA 2239 (12:10-13:45 hrs)","Inicial G4","Inicial G6","LCK B767\n- LIM-SCL\n- LA 2413 (12:05-15:35 hrs)\nLCK B767\n- SCL-LIM\n- LA 2412 (17:05-20:55 hrs)"]},{"nombre":"Patricia Najar","bp":"2369624","dias":["LCK A320F\nLIM-PEM-LIM\nLA 2260 (10:20-12:05 hrs)\nLA 2261 (12:45-14:20 hrs)\nHabilitación A320F\nLIM-CJA-LIM\nLA 2297 (15:15-16:40 hrs)\nLA 2296 (17:20-18:25 hrs)","DO","DO","DO","DO","RTI: VIRTUAL\nA320F / B767\n(08:30-17:30 hrs)\nINS CRM","Inicial G4","Inicial G3","LCK A320F\nLIM-CUZ-LIM\nLA 2007 (09:10-10:35 hrs)\nLA 2008 (11:20-12:55 hrs)\nLCK A320F\nLIM-CUZ-LIM\nLA 2232 (13:55-15:20 hrs)\nLA 2197 (15:55-17:35 hrs)","Curso Estandarización","DO","DO","LCK B767\n- LIM-MIA\n- LA 2698 (08:15-14:20 hrs)","Chequeo LATAM B767\n- MIA-LIM\n- LA 2695 (16:10-22:00 hrs)","Inicial G4\nTARDE","VACACIONES","VACACIONES","VACACIONES","VACACIONES","VACACIONES","VACACIONES","VACACIONES","AUDITORIA\nPROCAB","LCK B767\n- LIM-SCL\n- LA 2413 (12:05-15:35 hrs)\nLCK B767\n- SCL-LIM\n- LA 2412 (17:05-20:55 hrs)","DO","DO","Inicial G4","LCK B767\n- LIM-MIA\n- LA 2698 (08:15-14:20 hrs)","Recalificación B767\n- MIA-LIM\n- LA 2481 (15:55-21:40 hrs)","RESERVA IET\nTARDE"]},{"dias":["RESERVA IET\nTARDE","DO","DO","DO","DO","TTT CRM","TTT CRM","TTT CRM","Reva de Servicio\n(08:30-17:30 hrs)\nDÍA 1","Reva de Servicio\n(08:30-17:30 hrs)\nDÍA 2","DO","DO","HO FILE","Inicial G5","Habilitación B767\n- LIM-MIA\n- LA 2694 (13:30-19:35 hrs)","LCK B767\n- MIA-LIM\n- LA 2695 (16:10-22:00 hrs)","Inicial G4\nTARDE","DO","DO","Inicial G5","Inicial G5","PD\n- LIM-ATL\n- LA 2482 (12:05-19:35 hrs)","Blanco","LCK B767\n- ATL-LIM\n- LA 2483 (22:15-05:00 hrs)","DO","DO","Inicial G4","Inicial G4","Inicial G4","LCK ALUMNO"],"nombre":"Javier Zapata","bp":"3134911"},{"bp":"3750335","dias":["Inicial G3","DO","DO","DO","DO","Habilitación B767\n- LIM-ATL\n- LA 2482 (12:05-19:35 hrs)","Blanco","LCK B767\n- ATL-LIM\n- LA 2483 (22:15-05:00 hrs)","RTI: PRÁCTICA\nA320F / B767\n(08:30-17:30 hrs)\nINS APOYO","DO","VACACIONES","VACACIONES","VACACIONES","VACACIONES","VACACIONES","VACACIONES","VACACIONES","VACACIONES","VACACIONES","VACACIONES","VACACIONES","VACACIONES","VACACIONES","VACACIONES","VACACIONES","VACACIONES","VACACIONES","VACACIONES","VACACIONES","VACACIONES"],"nombre":"Jefferson Mendez"},{"bp":"3852423","nombre":"Gabriela Ungaro","dias":["Inicial G3","DO","DO","DO","DO","TTT CRM","TTT CRM","TTT CRM","TTT REVA SVC","TTT REVA SVC","DO","DO","LCK A320F\nLIM-CIX-LIM\nLA 2274 (09:35-11:10 hrs)\nLA 2275 (11:45-13:05 hrs)\nLCK A320F\nLIM-TPP-LIM\nLA 2087 (14:00-15:30 hrs)\nLA 2088 (16:05-17:30 hrs)","Reva de Servicio\n(08:30-17:30 hrs)\nDÍA 1\nSVC 1","Reva de Servicio\n(08:30-17:30 hrs)\nDÍA 2\nSVC 1","LCK B767\n- LIM-MIA\n- LA 2698 (08:15-14:20 hrs)","Chequeo DGAC B767\n- MIA-LIM\n- LA 2481 (15:55-21:40 hrs)","DO","DO","LCK A320F\nLIM-CUZ-LIM\nLA 2238 (10:10-11:35 hrs)\nLA 2239 (12:10-13:45 hrs)\nLCK A320F + Habilitación A320F\nLIM-CJA-LIM\nLA 2297 (15:15-16:40 hrs)\nLA 2296 (17:20-18:25 hrs)","Inicial G6","Chequeo DGAC B767\n- LIM-MIA\n- LA 2694 (13:30-19:35 hrs)","LCK B767\n- MIA-LIM\n- LA 2695 (16:10-22:00 hrs)","Inicial G4\nTARDE","DO","DO","Inicial G4","RTI: VIRTUAL\nA320F / B767 / B787\n(08:30-17:30 hrs)\nINS CRM","Inicial G4","RTI: PRÁCTICA\nA320F / B767 / B787\n(08:30-17:30 hrs)\nINS APOYO"]},{"bp":"2604360","dias":["Tripulación Practice Boarding","Tripulación Practice Boarding","Tripulación Practice Boarding","DO","DO","LCK A320F\nLIM-CUZ-LIM\nLA 2007 (09:10-10:35 hrs)\nLA 2008 (11:20-12:55 hrs)\nLCK A320F + Habilitación A320F\nLIM-TPP-LIM\nLA 2087 (14:00-15:30 hrs)\nLA 2088 (16:05-17:30 hrs)","Inicial G4","AUDITORÍA\nPRE IOSA","AUDITORÍA\nPRE IOSA","RTI: PRÁCTICA\nA320F / B767\n(08:30-17:30 hrs)\nINS APOYO","CUMP","CUMP","Habilitación B767\n- LIM-ATL\n- LA 2482 (12:05-19:35 hrs)","Blanco","LCK B767\n- ATL-LIM\n- LA 2483 (22:15-05:00 hrs)","LDS","DO","DO","DO","DO","Reva de Servicio\n(08:30-17:30 hrs)\nDÍA 1","Reva de Servicio\n(08:30-17:30 hrs)\nDÍA 2","Inicial G6","LCK A320F\nLIM-AQP-LIM\nLA 2123 (09:15-10:50 hrs)\nLA 2124 (11:30-13:10 hrs)\nLCK A320F\nLIM-CIX-LIM\nLA 2312 (14:00-15:30 hrs)\nLA 2313 (16:05-17:30 hrs)","DO","DO","PD\n- LIM-ATL\n- LA 2482 (12:05-19:35 hrs)","Blanco","LCK B767\n- ATL-LIM\n- LA 2483 (22:15-05:00 hrs)","Reva de Servicio\n(08:30-17:30 hrs)\nDÍA 2\nSVC 2"],"nombre":"Mariella Carrasco"},{"dias":["RESERVA IET\nTARDE","DO","DO","DO","DO","TTT CRM","TTT CRM","TTT CRM","TTT REVA SVC","TTT REVA SVC","DO","DO","RESERVA IET","RTI: VIRTUAL\nA320F / B767 / B787\n(08:30-17:30 hrs)\nINS CRM","Inicial G4","RTI: PRÁCTICA\nA320F / B767 / B787\n(08:30-17:30 hrs)\nINS APOYO","Inicial G4","DO","DO","Inicial G6","Inicial G4","RTI: VIRTUAL\nA320F / B767\n(08:30-17:30 hrs)\nINS TITULAR","Inicial G4","RTI: PRÁCTICA\nA320F / B767\n(08:30-17:30 hrs)\nINS TITULAR","DO","DO","RESERVA IET","Reva de Servicio\n(08:30-17:30 hrs)\nDÍA 1\nSVC 2","Reva de Servicio\n(08:30-17:30 hrs)\nDÍA 2\nSVC 2","Inicial G5"],"bp":"2823133","nombre":"Cesar Campos"},{"bp":"3189967","dias":["HABILITACIÓN A320F","DO","DO","DO","DO","Inicial G4","RTI: VIRTUAL\nA320F / B767\n(08:30-17:30 hrs)\nINS TITULAR","RTI: VIRTUAL\nA320F / B767\n(08:30-17:30 hrs)\nINS CRM","TTT REVA SVC","TTT REVA SVC","DO","DO","Chequeo LATAM B767\n- LIM-MIA\n- LA 2698 (08:15-14:20 hrs)","Habilitación B767\n- MIA-LIM\n- LA 2695 (16:10-22:00 hrs)","Inicial G4\nTARDE","CUMP","CUMP","DO","DO","Inicial G4","Inicial G4","RTI: VIRTUAL\nA320F / B767 / B787\n(08:30-17:30 hrs)\nINS CRM","Inicial G4","RTI: PRÁCTICA\nA320F / B767 / B787\n(08:30-17:30 hrs)\nINS APOYO","DO","DO","TALLER VOLUNTARIO DE SEGURIDAD","Reva de Servicio\n(08:30-17:30 hrs)\nDÍA 1\nSVC 1","Reva de Servicio\n(08:30-17:30 hrs)\nDÍA 2\nSVC 1","Inicial G5"],"nombre":"Kevin Segovia"},{"bp":"2415373","dias":["TALLER VOLUNTARIO DE SEGURIDAD","DO","DO","DO","DO","Inicial G4","RTI: VIRTUAL\nA320F / B767\n(08:30-17:30 hrs)\nINS CRM","RTI: VIRTUAL\nA320F / B767\n(08:30-17:30 hrs)\nINS TITULAR","TTT REVA SVC","TTT REVA SVC","DO","DO","Inicial G7","Inicial G5","HB6\nCurso B767\n(08:30-17:30hrs)","Reva de Servicio\n(08:30-17:30 hrs)\nDÍA 1\nSVC 1","Reva de Servicio\n(08:30-17:30 hrs)\nDÍA 2\nSVC 1","DO","DO","Chequeo LATAM B767\n- LIM-MIA\n- LA 2698 (08:15-14:20 hrs)","Habilitación B767\n- MIA-LIM\n- LA 2695 (16:10-22:00 hrs)","RESERVA IET\nTARDE","Reva de Servicio\n(08:30-17:30 hrs)\nDÍA 1","Reva de Servicio\n(08:30-17:30 hrs)\nDÍA 2","DO","DO","TALLER VOLUNTARIO DE SEGURIDAD","Inicial G7","Inicial G5","DO"],"nombre":"Milagros Salas"},{"dias":["TALLER VOLUNTARIO DE SEGURIDAD","DO","DO","DO","DO","Chequeo LATAM B767\n- LIM-MIA\n- LA 2698 (08:15-14:20 hrs)","Chequeo LATAM B767\n- MIA-LIM\n- LA 2695 (16:10-22:00 hrs)","RESERVA IET\nTARDE","TTT REVA SVC","TTT REVA SVC","DO","DO","HO FILE","Reva de Servicio\n(08:30-17:30 hrs)\nDÍA 1\nSVC 2","Reva de Servicio\n(08:30-17:30 hrs)\nDÍA 2\nSVC 2","Inicial G4","Inicial G4","DO","DO","Inicial G4","RTI: VIRTUAL\nA320F / B767 / B787\n(08:30-17:30 hrs)\nINS CRM","Inicial G4","RTI: PRÁCTICA\nA320F / B767 / B787\n(08:30-17:30 hrs)\nINS APOYO","Inicial G6","DO","DO","Inicial G7","RTI: VIRTUAL\nA320F / B767\n(08:30-17:30 hrs)\nINS TITULAR","Inicial G5","RTI: PRÁCTICA\nA320F / B767\n(08:30-17:30 hrs)\nINS TITULAR"],"nombre":"Judith Fernandez","bp":"2440915"},{"bp":"3796947","nombre":"Rafael Nieto","dias":["B","B","B","DO","DO","B","B","B","B","B","DO","DO","B","B","B","B","B","DO","DO","B","B","B","B","B","DO","DO","B","B","B","B"]},{"dias":["HO FILE","DO","DO","DO","DO","TTT CRM","TTT CRM","TTT CRM","RTI: PRÁCTICA\nA320F / B767\n(08:30-17:30 hrs)\nINS TITULAR","RTI: PRÁCTICA\nA320F / B767\n(08:30-17:30 hrs)\nINS TITULAR","DO","DO","HB6\nCurso B767\n(08:30-17:30hrs)","HB6\nCurso B767\n(08:30-17:30hrs)","HB6\nCurso B767\n(08:30-17:30hrs)","Reva de Servicio\n(08:30-17:30 hrs)\nDÍA 1\nSVC 2","Reva de Servicio\n(08:30-17:30 hrs)\nDÍA 2\nSVC 2","DO","DO","Inicial G4","Inicial G4","Inicial G4","Inicial G4","Inicial G7","DO","DO","Inicial G6","Inicial G6","Inicial G5","Inicial G5"],"nombre":"Gianfranco Celiz","bp":"3841387"}]}</t>
  </si>
  <si>
    <t>2026-05</t>
  </si>
  <si>
    <t>{"instructores":[{"nombre":"Fiorella Ruiz","bp":"2713993","dias":["FERIADO","FDS","FDS","Inicial G6","VACACIONES","LCK A320F\nLIM-CUZ-LIM\nLA 2013 (08:40-10:00 hrs)\nLA 2014 (10:40-12:15 hrs)\nLCK A320F\nLIM-CIX-LIM\nLA 2312 (13:25-15:00 hrs)\nLA 2313 (15:40-17:00 hrs)","LCK A320F\nLIM-AQP-LIM\nLA 2123 (09:15-10:50 hrs)\nLA 2124 (11:30-13:10 hrs)\nLCK A320F\nLIM-TPP-LIM\nLA 2087 (14:00-15:30 hrs)\nLA 2088 (16:05-17:30 hrs)","REUNIÓN INSTRUCTORES","FDS","FDS","LCK B787\n- LIM-SCL\n- LA 2697 (09:35-13:00 hrs)\nLCK B787\n- SCL-LIM\n- LA 2696 (16:00-19:45 hrs)","TARDE\nHABILITACIÓN A320F\n(Asignar vuelo)","RTI: PRÁCTICA\nA320F / B767 / B787\n(08:30-17:30 hrs)\nINS APOYO","RTI: PRÁCTICA\nA320F / B767 / B787\n(08:30-17:30 hrs)\nINS APOYO","Inicial G6","FDS","FDS","VACACIONES","HANDS ON B787","Habilitación B767\n- LIM-MIA\n- LA 2694 (13:30-19:35 hrs)","Blanco","LCK B767\n- MIA-LIM\n- LA 2693 (00:45-06:30 hrs)","FDS","FDS","RESERVA IET","RESERVA IET","RESERVA IET","HO FILE\nPRE IOSA 2026","HO FILE\nPRE IOSA 2026","FDS","FDS"]},{"bp":"2396710","dias":["FERIADO","FDS","FDS","Inicial G4","Inicial G4","Inicial G4","Inicial G4","Inicial G4","FDS","FDS","HO FILE","LCK B787\n- LIM-SCL\n- LA 2697 (09:35-13:00 hrs)\nLCK B787\n- SCL-LIM\n- LA 2696 (16:00-19:45 hrs)","RESERVA IET\nTARDE","RTI: PRÁCTICA\nA320F / B767 / B787\n(08:30-17:30 hrs)\nINS APOYO","LCK B787\n- LIM-SCL\n- LA 2697 (09:35-13:00 hrs)\nHabilitación B787\n- SCL-LIM\n- LA 2696 (16:00-19:45 hrs)","FDS","FDS","Blanco","Habilitación B767\n- LIM-MIA\n- LA 2480 (00:15-06:20 hrs)","LCK B767\n- MIA-LIM\n- LA 2481 (15:55-21:40 hrs)","RESERVA IET\nTARDE","LCK B787\n- LIM-SCL\n- LA 2697 (09:35-13:00 hrs)\nLCK B787\n- SCL-LIM\n- LA 2696 (16:00-19:45 hrs)","FDS","FDS","Blanco","PD\n- LIM-MIA\n- LA 2480 (00:15-06:20 hrs)","LCK B767\n- MIA-LIM\n- LA 2481 (15:55-21:40 hrs)","RESERVA IET\nTARDE","LCK B787\n- LIM-SCL\n- LA 2697 (09:35-13:00 hrs)\nLCK B787\n- SCL-LIM\n- LA 2696 (16:00-19:45 hrs)","FDS","FDS"],"nombre":"Sebastian Correa"},{"nombre":"Christian Rondon","bp":"1271571","dias":["FERIADO","FDS","FDS","LCK B767 (Alumno)\n- LIM-MIA\n- LA 2698 (08:15-14:20 hrs)","Habilitación B767\n- MIA-LIM\n- LA 2481 (15:55-21:40 hrs)","RESERVA IET\nTARDE","Habilitación\n- LIM-SCL\n- LA 2697 (09:35-13:00 hrs)\nLCK B787\n- SCL-LIM\n- LA 2696 (16:00-19:45 hrs)","REUNIÓN INSTRUCTORES\nTARDE","FDS","FDS","VACACIONES","VACACIONES","VACACIONES","VACACIONES","VACACIONES","VACACIONES","VACACIONES","PD\n- LIM-MIA\n- LA 2694 (13:30-19:35 hrs)","Blanco","LCK B767\n- MIA-LIM\n- LA 2699 (23:15-05:00 hrs)","Inicial G6","LCK B767\n- LIM-SCL\n- LA 2413 (12:05-15:35 hrs)\nLCK B767\n- SCL-LIM\n- LA 2412 (17:00-20:50 hrs)","FDS","FDS","LCK B787\n- LIM-SCL\n- LA 2697 (09:35-13:00 hrs)\nLCK B787\n- SCL-LIM\n- LA 2696 (16:00-19:45 hrs)","HO FILE\nTARDE","LCK B787\n- LIM-SCL\n- LA 2697 (09:35-13:00 hrs)\nLCK B787\n- SCL-LIM\n- LA 2696 (16:00-19:45 hrs)","HO FILE\nTARDE","LCK B767\n- LIM-SCL\n- LA 2413 (12:05-15:35 hrs)\nLCK B767\n- SCL-LIM\n- LA 2412 (17:00-20:50 hrs)","FDS","FDS"]},{"bp":"2843319","nombre":"Karen Santa Cruz","dias":["DO","DO","DO","LCK B767\n- LIM-MIA\n- LA 2698 (08:15-14:20 hrs)","PD\n- MIA-LIM\n- LA 2481 (15:55-21:40 hrs)","RESERVA IET\nTARDE","HAB + LCK ALUMNO","REUNIÓN INSTRUCTORES\nTARDE","DO","DO","Inicial G7","Inicial G7","Inicial G7","Inicial G7","DO","DO","DO","DO","Inicial G8","Inicial G8","Inicial G6","LCK B767\nAlumno","DO","DO","Inicial G7","Inicial G7","LCK A320F\nLIM-CUZ-LIM\nLA 2013 (08:40-10:00 hrs)\nLA 2014 (10:40-12:15 hrs)\nLCK A320F\nLIM-CIX-LIM\nLA 2312 (13:25-15:00 hrs)\nLA 2313 (15:40-17:00 hrs)","HO FILE\nPRE IOSA 2026","HO FILE\nPRE IOSA 2026","DO","DO"]},{"bp":"3779550","nombre":"Jennifert Acurio","dias":["DO","DO","DO","Inicial G5","Inicial G5","Inicial G5","HANDS ON B767","REUNIÓN INSTRUCTORES","DO","DO","TALLER VOLUNTARIO DE SEGURIDAD","Blanco","Habilitación B767\n- LIM-MIA\n- LA 2480 (00:15-06:20 hrs)","LCK B767\n- MIA-LIM\n- LA 2695 (16:10-22:00 hrs)","DO","DO","DO","DO","HO FILE","Blanco","PD\n- LIM-MIA\n- LA 2480 (00:15-06:20 hrs)","LCK B767\n- MIA-LIM\n- LA 2481 (15:55-21:40 hrs)","DO","DO","Inicial G7","Inicial G7","Inicial G6","Inicial G6","LCK B767\nalumno","DO","DO"]},{"bp":"29530","nombre":"Jazmin Guerra","dias":["DO","DO","DO","Inicial G5","Inicial G5","Inicial G5","LCK B767\nAlumno","REUNIÓN INSTRUCTORES\nTARDE","DO","DO","TALLER VOLUNTARIO DE SEGURIDAD","LCK B767\n- LIM-MIA\n- LA 2698 (08:15-14:20 hrs)","Blanco","PD\n- MIA-LIM\n- LA 2699 (23:15-05:00 hrs)","HO FILE","DO","DO","TALLER VOLUNTARIO DE SEGURIDAD","Reva de Servicio\n(08:30-17:30 hrs)\nDÍA 1\nSVC 2","Reva de Servicio\n(08:30-17:30 hrs)\nDÍA 2\nSVC 2","LCK B767\n- LIM-SCL\n- LA 2413 (12:05-15:35 hrs)\nLCK B767\n- SCL-LIM\n- LA 2412 (17:00-20:50 hrs)","DO","DO","VACACIONES","VACACIONES","VACACIONES","VACACIONES","VACACIONES","VACACIONES","VACACIONES","VACACIONES"]},{"bp":"3217561","dias":["DO","DO","DO","DO","RESERVA IET","RESERVA IET","RESERVA IET","REUNIÓN INSTRUCTORES","DO","DO","LCK B767\n- LIM-MIA\n- LA 2698 (08:15-14:20 hrs)","Habilitación B767\n- MIA-LIM\n- LA 2481 (15:55-21:40 hrs)","RESERVA IET\nTARDE","LCK B767 ALUMNO","RESERVA IET\nTARDE","DO","DO","TALLER VOLUNTARIO DE SEGURIDAD","Blanco","Habilitación B767\n- LIM-MIA\n- LA 2480 (00:15-06:20 hrs)","LCK B767\n- MIA-LIM\n- LA 2695 (16:10-22:00 hrs)","Inicial G6\nTARDE","DO","DO","LCK B767\n- LIM-MIA\n- LA 2698 (08:15-14:20 hrs)","Recalificación B767\n- MIA-LIM\n- LA 2481 (15:55-21:40 hrs)","TARDE\nCurso de Estandarización","HO FILE\nPRE IOSA 2026","HO FILE\nPRE IOSA 2026","DO","DO"],"nombre":"Claudia Flores"},{"dias":["LP","LP","LP","LP","LP","LP","LP","LP","LP","LP","LP","LP","LP","LP","LP","LP","LP","LP","LP","LP","LP","LP","LP","LP","LP","LP","LP","LP","LP","LP","LP"],"nombre":"Karla Moz","bp":"71348"},{"dias":["DO","DO","DO","DO","Reva de Servicio\n(08:30-17:30 hrs)\nDÍA 1","Reva de Servicio\n(08:30-17:30 hrs)\nDÍA 2","Reva de Servicio\n(08:30-17:30 hrs)\nDÍA 1","Reva de Servicio\n(08:30-17:30 hrs)\nDÍA 2","DO","DO","Inicial G7","RTI: VIRTUAL\nA320F / B767 / B787\n(08:30-17:30 hrs)\nINS TITULAR","RTI: PRÁCTICA\nA320F / B767 / B787\n(08:30-17:30 hrs)\nINS TITULAR","RTI: PRÁCTICA\nA320F / B767 / B787\n(08:30-17:30 hrs)\nINS TITULAR","Inicial G6","DO","DO","HAB WB","HAB WB","HAB WB","Reva de Servicio\n(08:30-17:30 hrs)\nDÍA 1","Reva de Servicio\n(08:30-17:30 hrs)\nDÍA 2","DO","DO","HABILITACIÓN A320F","HO FILE","Inicial G8","Inicial G6","Inicial G6","DO","DO"],"nombre":"Erika Dávila","bp":"967092"},{"dias":["DO","DO","DO","Curso Refreso IDE","LCK A320F\nLIM-CUZ-LIM\nLA 2007 (09:10-10:35 hrs)\nLA 2008 (11:20-12:55 hrs)\nLCK A320F\nLIM-CUZ-LIM\nLA 2232 (13:55-15:20 hrs)\nLA 2233 (15:55-17:35 hrs)","HO FILE","LCK A320F\nLIM-CUZ-LIM\nLA 2013 (08:40-10:00 hrs)\nLA 2014 (10:40-12:15 hrs)\nLCK A320F\nLIM-CIX-LIM\nLA 2312 (13:25-15:00 hrs)\nLA 2313 (15:40-17:00 hrs)","REUNIÓN INSTRUCTORES","DO","DO","Blanco","Habilitación B767\n- LIM-MIA\n- LA 2480 (00:15-06:20 hrs)","LCK B767\n- MIA-LIM\n- LA 2481 (15:55-21:40 hrs)","TARDE\nCurso de Estandarización","DO","DO","DO","DO","LCK B767\n- LIM-MIA\n- LA 2698 (08:15-14:20 hrs)","Blanco","Habilitación B767\n- MIA-LIM\n- LA 2699 (23:15-05:00 hrs)","Inicial G6","DO","DO","TALLER VOLUNTARIO DE SEGURIDAD","HANDS ON B767","Inicial G7","Inicial G6","Inicial G6","DO","DO"],"bp":"2369641","nombre":"Elizabeth Torres"},{"nombre":"Patricia Najar","dias":["DO","DO","DO","Curso Refreso IDE","Inicial G8","LCK A320F\nLIM-CIX-LIM\nLA 2274 (09:35-11:10 hrs)\nLA 2275 (11:45-13:05 hrs)\nLCK A320F\nLIM-CUZ-LIM\nLA 2232 (13:55-15:20 hrs)\nLA 2233 (15:55-17:35 hrs)","DO","DO","DO","DO","LCK A320F\nLIM-CUZ-LIM\nLA 2013 (08:40-10:00 hrs)\nLA 2014 (10:40-12:15 hrs)\nLCK A320F\nLIM-CIX-LIM\nLA 2312 (13:25-15:00 hrs)\nLA 2313 (15:40-17:00 hrs)","Inicial G7","Habilitación B767\n- LIM-MIA\n- LA 2694 (13:30-19:35 hrs)","Blanco","LCK B767\n- MIA-LIM\n- LA 2693 (00:45-06:30 hrs)","DO","DO","RTI","RTI: VIRTUAL\nA320F / B767\n(08:30-17:30 hrs)\nINS TITULAR\n**Se habilita","RTI","RTI: VIRTUAL\nA320F / B767\n(08:30-17:30 hrs)\nINS TITULAR\n**Se habilita","Inicial G6","DO","DO","Recalificación A320F\nLIM-CUZ-LIM\nLA 2013 (08:40-10:00 hrs)\nLA 2014 (10:40-12:15 hrs)\nRecalificación A320F\nLIM-CIX-LIM\nLA 2312 (13:25-15:00 hrs)\nLA 2313 (15:40-17:00 hrs)","HANDS ON B767","LCK A320F\nLIM-CIX-LIM\nLA 2274 (09:35-11:10 hrs)\nLA 2275 (11:45-13:05 hrs)\nLCK A320F\nLIM-CUZ-LIM\nLA 2232 (13:55-15:20 hrs)\nLA 2233 (15:55-17:35 hrs)","HO FILE\nPRE IOSA 2026","HO FILE\nPRE IOSA 2026","DO","DO"],"bp":"2369624"},{"dias":["DO","DO","DO","Curso Refreso IDE","LCK B767\n- LIM-MIA\n- LA 2698 (08:15-14:20 hrs)","Blanco","PD\n- MIA-LIM\n- LA 2699 (23:15-05:00 hrs)","Inicial G7","DO","DO","Inicial G8","Inicial G8","Inicial G7","HABILITACIÓN A320F","LCK B767\n- LIM-SCL\n- LA 2413 (12:20-15:45 hrs)\nChequeo DGAC B767\n- SCL-LIM\n- LA 2412 (17:10-20:50 hrs)","DO","DO","LCK B767\n- LIM-MIA\n- LA 2698 (08:15-14:20 hrs)","Reentrenamiento B767\n- MIA-LIM\n- LA 2481 (15:55-21:40 hrs)","RESERVA IET\nTARDE","Inicial G6","DO","DO","DO","DO","HO FILE","Blanco","PD\n- LIM-MIA\n- LA 2480 (00:15-06:20 hrs)","LCK B767\n- MIA-LIM\n- LA 2481 (15:55-21:40 hrs)","DO","DO"],"nombre":"Javier Zapata","bp":"3134911"},{"bp":"3750335","nombre":"Jefferson Mendez","dias":["DO","DO","DO","Curso Refreso IDE","HABILITACIÓN A320F","Inicial G8","Inicial G8","Inicial G8","DO","DO","PD\n- LIM-MIA\n- LA 2694 (13:30-19:35 hrs)","Blanco","LCK B767\n- MIA-LIM\n- LA 2699 (23:15-05:00 hrs)","Inicial G7","LCK B767 Alumno","DO","DO","LCK A320F\nLIM-AQP-LIM\nLA 2123 (09:15-10:50 hrs)\nLA 2124 (11:30-13:10 hrs)\nLCK A320F\nLIM-CJA-LIM\nLA 2295 (14:05-15:30 hrs)\nLA 2294 (16:10-17:15 hrs)","HO FILE","Reentrenamiento A320F\nLIM-CUZ-LIM\nLA 2013 (08:40-10:00 hrs)\nLA 2014 (10:40-12:15 hrs)\nReentrenamiento A320F\nLIM-CIX-LIM\nLA 2312 (13:25-15:00 hrs)\nLA 2313 (15:40-17:00 hrs)","Inicial G6","DO","DO","DO","DO","LCK A320F\nLIM-CUZ-LIM\nLA 2013 (08:40-10:00 hrs)\nLA 2014 (10:40-12:15 hrs)\nReentrenamiento A320F\nLIM-TPP-LIM\nLA 2087 (13:25-14:55 hrs)\nLA 2088 (15:35-17:00 hrs)","Inicial G6","LCK B767\n- LIM-SCL\n- LA 2413 (12:05-15:35 hrs)\nLCK B767\n- SCL-LIM\n- LA 2412 (17:00-20:50 hrs)","RESERVA IET\nTARDE","DO","DO"]},{"dias":["DO","DO","DO","Inicial G6","Inicial G6","Inicial G6","LCK B767\n- LIM-SCL\n- LA 2413 (12:05-15:35 hrs)\nLCK B767\n- SCL-LIM\n- LA 2412 (17:00-20:50 hrs)","REUNIÓN INSTRUCTORES\nTARDE","DO","DO","LCK A320F\nLIM-CIX-LIM\nLA 2274 (09:35-11:10 hrs)\nLA 2275 (11:45-13:05 hrs)\nLCK A320F\nLIM-CUZ-LIM\nLA 2232 (13:55-15:20 hrs)\nLA 2233 (15:55-17:35 hrs)","HO FILE","LCK A320F\nLIM-CUZ-LIM\nLA 2013 (08:40-10:00 hrs)\nLA 2014 (10:40-12:15 hrs)\nLCK A320F\nLIM-CIX-LIM\nLA 2312 (13:25-15:00 hrs)\nLA 2313 (15:40-17:00 hrs)","Inicial G8","DO","VACACIONES","VACACIONES","VACACIONES","VACACIONES","VACACIONES","VACACIONES","VACACIONES","VACACIONES","DO","TALLER VOLUNTARIO DE SEGURIDAD","HABILITACIÓN A320F","Habilitación B767\n- LIM-MIA\n- LA 2694 (13:30-19:35 hrs)","Blanco","LCK B767\n- MIA-LIM\n- LA 2693 (00:45-06:30 hrs)","DO","DO"],"bp":"3852423","nombre":"Gabriela Ungaro"},{"dias":["DO","DO","DO","PD\n- LIM-MIA\n- LA 2694 (13:30-19:35 hrs)","Blanco","LCK B767\n- MIA-LIM\n- LA 2699 (23:15-05:00 hrs)","Inicial G7","Inicial G7","DO","DO","AUDITORIA \nAEP:\nLIM-AEP\nLA 2380 (09:30-14:00 hrs)","AUDITORIA \nAEP:\nAEP-LIM\nLA 2368 (18:05-23:00 hrs)","RESERVA IET\nTARDE","LCK B767\n- LIM-SCL\n- LA 2413 (12:05-15:35 hrs)\nLCK B767\n- SCL-LIM\n- LA 2412 (17:00-20:50 hrs)","DO","VACACIONES","VACACIONES","VACACIONES","VACACIONES","VACACIONES","VACACIONES","VACACIONES","VACACIONES","DO","Inicial G6","Blanco","PD\n- LIM-MIA\n- LA 2480 (00:15-06:20 hrs)","LCK B767\n- MIA-LIM\n- LA 2695 (16:10-22:00 hrs)","Inicial G6\nTARDE","DO","DO"],"bp":"2604360","nombre":"Mariella Carrasco"},{"nombre":"Cesar Campos","bp":"2823133","dias":["DO","DO","DO","DO","HO FILE","Inicial G6","Inicial G6","REUNIÓN INSTRUCTORES","DO","DO","Inicial G6","Reva de Servicio\n(08:30-17:30 hrs)\nDÍA 1","Reva de Servicio\n(08:30-17:30 hrs)\nDÍA 2","HABILITACIÓN A320F","Inicial G6","DO","DO","Inicial G8","Reva de Servicio\n(08:30-17:30 hrs)\nDÍA 1\nSVC 1","Reva de Servicio\n(08:30-17:30 hrs)\nDÍA 2\nSVC 1","RTI: PRÁCTICA\nA320F / B767\n(08:30-17:30 hrs)\nINS APOYO","CERTIFICACIÓN INS EXTERNO","DO","DO","Inicial G8","Inicial G8","Inicial G6","RTI: PRÁCTICA\nA320F / B767\n(08:30-17:30 hrs)\nINS APOYO","CERTIFICACIÓN INS EXTERNO","DO","DO"]},{"dias":["DO","DO","DO","DO","Inicial G7","Inicial G7","RTI: PRÁCTICA\nA320F / B767\n(08:30-17:30 hrs)\nINS APOYO","REUNIÓN INSTRUCTORES","DO","DO","AUDITORIA \nPROCAB","Inicial G6","Inicial G8","Inicial G5","Inicial G5","DO","DO","Inicial G5","Inicial G5","Inicial G5","Inicial G5","CERTIFICACIÓN INS EXTERNO","DO","DO","Inicial G6","Inicial G6","Inicial G7","HO FILE\nPRE IOSA 2026","CERTIFICACIÓN INS EXTERNO","DO","DO"],"bp":"3189967","nombre":"Kevin Segovia"},{"bp":"2415373","dias":[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DO","DO"],"nombre":"Milagros Salas"},{"dias":["DO","DO","DO","DO","Inicial G6","HO FILE","RTI: PRÁCTICA\nA320F / B767\n(08:30-17:30 hrs)\nINS APOYO","REUNIÓN INSTRUCTORES","DO","DO","Inicial G6","Inicial G6","HABILITACIÓN A320F","Reva de Servicio\n(08:30-17:30 hrs)\nDÍA 1","Reva de Servicio\n(08:30-17:30 hrs)\nDÍA 2","DO","DO","HAB WB","HAB WB","HAB WB","Inicial G6","CERTIFICACIÓN INS EXTERNO","DO","DO","RTI","RTI: VIRTUAL\nA320F / B767\n(08:30-17:30 hrs)\nINS TITULAR\n**Se habilita","RTI","RTI: VIRTUAL\nA320F / B767\n(08:30-17:30 hrs)\nINS TITULAR\n**Se habilita","CERTIFICACIÓN INS EXTERNO","DO","DO"],"bp":"2440915","nombre":"Judith Fernandez"},{"dias":["SICK","SICK","SICK","SICK","SICK","SICK","SICK","SICK","SICK","SICK","SICK","SICK","SICK","SICK","SICK","SICK","SICK","SICK","SICK","SICK","SICK","SICK","SICK","SICK","SICK","SICK","SICK","SICK","SICK","SICK","SICK"],"nombre":"Rafael Nieto","bp":"3796947"},{"bp":"3841387","dias":["DO","DO","DO","RTI","RTI: VIRTUAL\nA320F / B767\n(08:30-17:30 hrs)\nINS TITULAR\n**Se habilita","RTI","RTI: VIRTUAL\nA320F / B767\n(08:30-17:30 hrs)\nINS TITULAR\n**Se habilita","HABILITACIÓN A320F","DO","DO","HAB WB","HAB WB","HAB WB","RTI: VIRTUAL\nDaniel Espinoza","Inicial G6","DO","DO","DO","DO","HO FILE","RTI: PRÁCTICA\nA320F / B767\n(08:30-17:30 hrs)\nINS APOYO","CERTIFICACIÓN INS EXTERNO","DO","DO","Inicial G6","Inicial G6","Reunión de Embajadores","RTI: PRÁCTICA\nA320F / B767\n(08:30-17:30 hrs)\nINS APOYO","CERTIFICACIÓN INS EXTERNO","DO","DO"],"nombre":"Gianfranco Celiz"}],"fuente":"10 - Rol_Instructores_LP_OCTUBRE_1.xlsx","mes":"2026-05","hoja":"MAYO"}</t>
  </si>
  <si>
    <t>2026-06</t>
  </si>
  <si>
    <t>{"hoja":"Junio","mes":"2026-06","fuente":"10 - Rol_Instructores_LP_OCTUBRE_1.xlsx","instructores":[{"bp":"2713993","nombre":"Fiorella Ruiz","dias":["AUDITORÍA CARPETAS TÉCNICAS","TTT REVA SVC 2026\nALUMNO","RTI: PRÁCTICA\nA320F / B767 / B787\n(08:30-17:30 hrs)\nINS APOYO","RTI: PRÁCTICA\nA320F / B767 / B787\n(08:30-17:30 hrs)\nINS APOYO","CURSO CRM IDE","FDS","FDS","PD\n- LIM-MIA\n- LA 2694 (13:30-19:35 hrs)","Blanco","LCK B767\n- MIA-LIM\n- LA 2699 (23:15-05:00 hrs)","LCK B787\n- LIM-SCL\n- LA 2697 (09:35-13:00 hrs)\nHabilitación B787\n- SCL-LIM\n- LA 2696 (16:00-19:45 hrs)","REUNIÓN INSTRUCTORES\nTARDE","FDS","FDS","PD\n- LIM-MIA\n- LA 2694 (13:30-19:35 hrs)","Blanco","LCK B767\n- MIA-LIM\n- LA 2699 (23:15-05:00 hrs)","LCK B787\n- LIM-SCL\n- LA 2697 (09:35-13:00 hrs)\nReentrenamiento B787\n- SCL-LIM\n- LA 2696 (16:00-19:45 hrs)","HO FILE\nTARDE","FDS","FDS","Blanco","PD\n- LIM-MIA\n- LA 2480 (00:15-06:20 hrs)","LCK B767\n- MIA-LIM\n- LA 2481 (15:55-21:40 hrs)","HO FILE\nTARDE","CURSO REFRESCO IDE","FDS","FDS","FERIADO","PREPARACIÓN IOSA 2026"]},{"nombre":"Sebastian Correa","bp":"2396710","dias":["VACACIONES","VACACIONES","VACACIONES","VACACIONES","VACACIONES","VACACIONES","VACACIONES","VACACIONES","TTT REVA SVC 2026\nALUMNO","LCK B787\n- LIM-SCL\n- LA 2697 (09:35-13:00 hrs)\nLCK B787\n- SCL-LIM\n- LA 2696 (16:00-19:45 hrs)","HO FILE\nTARDE","LCK B787\n- LIM-SCL\n- LA 2697 (09:35-13:00 hrs)\nLCK B787\n- SCL-LIM\n- LA 2696 (16:00-19:45 hrs)","FDS","FDS","Blanco","PD\n- LIM-MIA\n- LA 2480 (00:15-06:20 hrs)","LCK B767\n- MIA-LIM\n- LA 2481 (15:55-21:40 hrs)","HO FILE\nTARDE","LCK B787\n- LIM-SCL\n- LA 2697 (09:35-13:00 hrs)\nLCK B787\n- SCL-LIM\n- LA 2696 (16:00-19:45 hrs)","FDS","FDS","HABILITACIÓN A320F\nLIM-CIX-LIM\nLA 2274 (09:35-11:10 hrs)\nLA 2275 (11:45-13:05 hrs)","TTT CRM 2026\nALUMNO","RTI: PRÁCTICA\nA320F / B767 / B787\n(08:30-17:30 hrs)\nINS APOYO","LCK B787\n- LIM-SCL\n- LA 2697 (09:35-13:00 hrs)\nLCK B787\n- SCL-LIM\n- LA 2696 (16:00-19:45 hrs)","RESERVA IET\nTARDE","FDS","FDS","FERIADO","LCK B787\n- LIM-SCL\n- LA 2697 (09:35-13:00 hrs)\nLCK B787\n- SCL-LIM\n- LA 2696 (16:00-19:45 hrs)"]},{"dias":["Backup JB","Backup JB","Backup JB","Backup JB","Backup JB","FDS","FDS","Inicial G7","Inicial G7","TTT CRM 2026\nALUMNO","HO FILE","Chequeo DGAC B767\n- LIM-SCL\n- LA 2413 (12:05-15:35 hrs)\nChequeo DGAC B767\n- SCL-LIM\n- LA 2412 (17:00-20:50 hrs)","FDS","FDS","HABILITACIÓN A320F\nLIM-PIU-LIM\nLA 2306 (09:30-11:15 hrs)\nLA 2307 (11:55-13:25 hrs)","CEREMONIA EDS","CEREMONIA EDS","CEREMONIA EDS","CEREMONIA EDS","FDS","FDS","PD\n- LIM-MIA\n- LA 2694 (13:30-19:35 hrs)","Blanco","LCK B767\n- MIA-LIM\n- LA 2699 (23:15-05:00 hrs)","CUMP","Chequeo DGAC B767\n- LIM-SCL\n- LA 2413 (12:05-15:35 hrs)\nChequeo DGAC B767\n- SCL-LIM\n- LA 2412 (17:00-20:50 hrs)","FDS","FDS","FERIADO","RESERVA IET"],"nombre":"Christian Rondon","bp":"1271571"},{"dias":["LCK B767\n- LIM-MIA\n- LA 2698 (08:15-14:20 hrs)","PD\n- MIA-LIM\n- LA 2481 (15:55-21:40 hrs)","RESERVA IET\nTARDE","LCK B767\n- LIM-SCL\n- LA 2413 (12:05-15:35 hrs)\nChequeo LATAM B767\n- SCL-LIM\n- LA 2412 (17:00-20:50 hrs)","DO","DO","DO","DO","LCK B767\n- LIM-MIA\n- LA 2698 (08:15-14:20 hrs)","Blanco","Reentrenamiento B787\n- MIA-LIM\n- LA 2699 (23:15-05:00 hrs)","REUNIÓN INSTRUCTORES","DO","DO","HABILITACIÓN A320F","LCK B767\n- LIM-MIA\n- LA 2698 (08:15-14:20 hrs)","Blanco","PD\n- MIA-LIM\n- LA 2699 (23:15-05:00 hrs)","RENOVACIÓN IDE A320F\nLIM-AQP-LIM\nLA 2109 (10:30-12:05 hrs)\nLA 2108 (12:40-14:20 hrs)","DO","DO","VUELO CUN EDS","VUELO CUN EDS","VUELO CUN EDS","LCK B767\n- LIM-SCL\n- LA 2413 (12:05-15:35 hrs)\nChequeo LATAM B767\n- SCL-LIM\n- LA 2412 (17:00-20:50 hrs)","HO FILE\nTARDE","DO","DO","DO","PREPARACIÓN IOSA 2026"],"bp":"2843319","nombre":"Karen Santa Cruz"},{"dias":["VACACIONES","VACACIONES","VACACIONES","VACACIONES","VACACIONES","VACACIONES","VACACIONES","VACACIONES","VACACIONES","VACACIONES","VACACIONES","VACACIONES","VACACIONES","VACACIONES","VACACIONES","TTT REVA SVC 2026\nALUMNO","Blanco","PD\n- LIM-MIA\n- LA 2480 (00:15-06:20 hrs)","LCK B767\n- MIA-LIM\n- LA 2481 (15:55-21:40 hrs)","DO","DO","HO FILE","HB6\nCurso B767\n(08:30-17:30hrs)","RESERVA IET","RESERVA IET","TTT CRM 2026\nALUMNO","DO","DO","DO","HAB B787"],"nombre":"Jennifert Acurio","bp":"3779550"},{"nombre":"Jazmin Guerra","dias":["VACACIONES","VACACIONES","VACACIONES","VACACIONES","VACACIONES","VACACIONES","VACACIONES","Inicial G7","TTT REVA SVC 2026\nINSTRUCTOR","Inicial G7","LCK ALUMNO+ HAB A320","REUNIÓN INSTRUCTORES","DO","DO","Inicial G7","Blanco","Recalificación B767\n- LIM-MIA\n- LA 2480 (00:15-06:20 hrs)","LCK B767\n- MIA-LIM\n- LA 2695 (16:10-22:00 hrs)","RESERVA IET\nTARDE","DO","DO","HB6\nCurso B767\n(08:30-17:30hrs)","LCK B767\n- LIM-MIA\n- LA 2698 (08:15-14:20 hrs)","Blanco","Recalificación B767\n- MIA-LIM\n- LA 2699 (23:15-05:00 hrs)","TTT CRM 2026\nALUMNO","DO","DO","DO","HO FILE"],"bp":"29530"},{"bp":"3217561","dias":["HO FILE\nSolicitado JB","HO FILE\nSolicitado JB","HO FILE\nSolicitado JB","HO FILE","Inicial G7","DO","DO","TTT CRM 2026\nALUMNO","TTT REVA SVC 2026\nALUMNO","Inicial G8","LCK B767\n- LIM-SCL\n- LA 2413 (12:05-15:35 hrs)\nChequeo LATAM B767\n- SCL-LIM\n- LA 2412 (17:00-20:50 hrs)","REUNIÓN INSTRUCTORES\nTARDE","DO","DO","LCK B767\n- LIM-MIA\n- LA 2698 (08:15-14:20 hrs)","Reentrenamiento B767\n- MIA-LIM\n- LA 2695 (16:10-22:00 hrs)","RESERVA IET\nTARDE","HABILITACIÓN A320F","LCK B767\n- LIM-SCL\n- LA 2413 (12:05-15:35 hrs)\nChequeo LATAM B767\n- SCL-LIM\n- LA 2412 (17:00-20:50 hrs)","DO","DO","LCK B767\n- LIM-MIA\n- LA 2698 (08:15-14:20 hrs)","PD\n- MIA-LIM\n- LA 2695 (16:10-22:00 hrs)","HO FILE\nTARDE","Inicial G8","LCK B767\n- LIM-SCL\n- LA 2413 (12:05-15:35 hrs)\nChequeo LATAM B767\n- SCL-LIM\n- LA 2412 (17:00-20:50 hrs)","DO","DO","DO","DO"],"nombre":"Claudia Flores"},{"nombre":"Karla Moz","bp":"71348","dias":["LP","LP","LP","LP","LP","LP","LP","LP","LP","LP","LP","LP","LP","LP","LP","LP","LP","LP","LP","LP","LP","LP","LP","LP","LP","LP","LP","LP","LP","LP"]},{"bp":"967092","dias":["TTT CRM 2026\nALUMNO","RTI: VIRTUAL\nA320F / B767 / B787\n(08:30-17:30 hrs)\nINS TITULAR","RTI: PRÁCTICA\nA320F / B767 / B787\n(08:30-17:30 hrs)\nINS TITULAR","RTI: PRÁCTICA\nA320F / B767 / B787\n(08:30-17:30 hrs)\nINS TITULAR","Inicial G7","DO","DO","Inicial G8","Inicial G7","Inicial G7","RESERVA IET","REUNIÓN INSTRUCTORES","DO","DO","HB6\nCurso B767\n(08:30-17:30hrs)","HB6\nCurso B767\n(08:30-17:30hrs)","Inicial G7","Inicial G7","RESERVA IET","DO","DO","HO FILE","RTI: VIRTUAL\nA320F / B767 / B787\n(08:30-17:30 hrs)\nINS TITULAR","RTI: PRÁCTICA\nA320F / B767 / B787\n(08:30-17:30 hrs)\nINS TITULAR","RTI: PRÁCTICA\nA320F / B767 / B787\n(08:30-17:30 hrs)\nINS TITULAR","Inicial G8","DO","DO","DO","DO"],"nombre":"Erika Dávila"},{"bp":"2369641","dias":["Inicial G7","TTT REVA SVC 2026\nINSTRUCTOR","LCK A320F\nLIM-CUZ-LIM\nLA 2013 (08:40-10:00 hrs)\nLA 2014 (10:40-12:15 hrs)\nLCK A320F\nLIM-CUZ-LIM\nLA 2028 (13:25-14:50 hrs)\nLA 2029 (15:30-17:10 hrs)","Inicial G8","LCK B767\n- LIM-SCL\n- LA 2413 (12:05-15:35 hrs)\nChequeo LATAM B767\n- SCL-LIM\n- LA 2412 (17:00-20:50 hrs)","DO","DO","LCK B767\n- LIM-MIA\n- LA 2698 (08:15-14:20 hrs)","Chequeo LATAM B767\n- MIA-LIM\n- LA 2695 (16:10-22:00 hrs)","RESERVA IET\nTARDE","HO FILE","LCK B767\n- LIM-SCL\n- LA 2413 (12:05-15:35 hrs)\nChequeo LATAM B767\n- SCL-LIM\n- LA 2412 (17:00-20:50 hrs)","DO","DO","Inicial G8","Inicial G7","HB6\nCurso B767\n(08:30-17:30hrs)","LCK B767\n- LIM-SCL\n- LA 2413 (12:05-15:35 hrs)\nChequeo LATAM B767\n- SCL-LIM\n- LA 2412 (17:00-20:50 hrs)","RESERVA IET\nTARDE","DO","DO","RESERVA IET","VACACIONES","VACACIONES","VACACIONES","VACACIONES","VACACIONES","VACACIONES","VACACIONES","VACACIONES"],"nombre":"Elizabeth Torres"},{"dias":["Inicial G7","TTT REVA SVC 2026\nALUMNO","HO FILE","LCK A320F\nLIM-CUZ-LIM\nLA 2013 (08:40-10:00 hrs)\nLA 2014 (10:40-12:15 hrs)\nLCK A320F\nLIM-CUZ-LIM\nLA 2028 (13:25-14:50 hrs)\nLA 2029 (15:30-17:10 hrs)","Inicial G8","DO","DO","Blanco","PD\n- LIM-MIA\n- LA 2480 (00:15-06:20 hrs)","LCK B767\n- MIA-LIM\n- LA 2481 (15:55-21:40 hrs)","RESERVA IET\nTARDE","REUNIÓN INSTRUCTORES","DO","DO","Reentrenamiento A320F\nLIM-CUZ-LIM\nLA 2013 (08:40-10:00 hrs)\nLA 2014 (10:35-12:10 hrs)\nLCK A320F\nLIM-PIU-LIM\nLA 2308 (13:00-14:45 hrs)\nLA 2309 (15:20-16:50 hrs)","Inicial G8","PD\n- LIM-MIA\n- LA 2694 (13:30-19:35 hrs)","Blanco","LCK B767\n- MIA-LIM\n- LA 2699 (23:15-05:00 hrs)","DO","DO","Inicial G7","Reunión de Embajadores","LCK ALUMNO+ HAB A320","HO FILE","DO","DO","DO","DO","PREPARACIÓN IOSA 2026"],"nombre":"Patricia Najar","bp":"2369624"},{"dias":["TTT CRM 2026\nALUMNO","TTT REVA SVC 2026\nALUMNO","PD\n- LIM-MIA\n- LA 2694 (13:30-19:35 hrs)","Blanco","LCK B767\n- MIA-LIM\n- LA 2699 (23:15-05:00 hrs)","DO","DO","LCK A320F\nLIM-CUZ-LIM\nLA 2013 (08:40-10:00 hrs)\nLA 2014 (10:35-12:10 hrs)\nLCK A320F\nLIM-PIU-LIM\nLA 2308 (13:00-14:45 hrs)\nLA 2309 (15:20-16:50 hrs)","Inicial G8","LCK A320F\nLIM-CUZ-LIM\nLA 2013 (08:40-10:00 hrs)\nLA 2014 (10:40-12:15 hrs)\nLCK A320F\nLIM-CUZ-LIM\nLA 2028 (13:25-14:50 hrs)\nLA 2029 (15:30-17:10 hrs)","Chequeo DGAC B767\n- LIM-SCL\n- LA 2413 (12:05-15:35 hrs)\nChequeo DGAC B767\n- SCL-LIM\n- LA 2412 (17:00-20:50 hrs)","REUNIÓN INSTRUCTORES\nTARDE","DO","DO","LCK A320F\nLIM-AQP-LIM\nLA 2123 (09:15-10:50 hrs)\nLA 2124 (11:30-13:10 hrs)\nLCK A320F\nLIM-CJA-LIM\nLA 2295 (14:05-15:30 hrs)\nLA 2294 (16:10-17:15 hrs)","HO FILE","Recalificación A320F\nLIM-CUZ-LIM\nLA 2013 (08:40-10:00 hrs)\nLA 2014 (10:40-12:15 hrs)\nLCK A320F\nLIM-CUZ-LIM\nLA 2028 (13:25-14:50 hrs)\nLA 2029 (15:30-17:10 hrs)","Chequeo DGAC B767\n- LIM-SCL\n- LA 2413 (12:05-15:35 hrs)\nChequeo DGAC B767\n- SCL-LIM\n- LA 2412 (17:00-20:50 hrs)","RESERVA IET\nTARDE","DO","DO","LCK A320F\nLIM-CUZ-LIM\nLA 2013 (08:40-10:00 hrs)\nLA 2014 (10:35-12:10 hrs)\nLCK A320F\nLIM-PIU-LIM\nLA 2308 (13:00-14:45 hrs)\nLA 2309 (15:20-16:50 hrs)","TTT CRM 2026\nINSTRUCTOR","LCK A320F\nLIM-CUZ-LIM\nLA 2013 (08:40-10:00 hrs)\nLA 2014 (10:40-12:15 hrs)\nLCK A320F\nLIM-CUZ-LIM\nLA 2028 (13:25-14:50 hrs)\nLA 2029 (15:30-17:10 hrs)","Chequeo DGAC B767\n- LIM-SCL\n- LA 2413 (12:05-15:35 hrs)\nChequeo DGAC B767\n- SCL-LIM\n- LA 2412 (17:00-20:50 hrs)","DO","DO","DO","DO","Recalificación A320F\nLIM-CUZ-LIM\nLA 2013 (08:40-10:00 hrs)\nLA 2014 (10:40-12:15 hrs)\nLCK A320F\nLIM-IQT-LIM\nLA 2234 (13:35-15:30 hrs)\nLA 2235 (16:05-17:55 hrs)"],"nombre":"Javier Zapata","bp":"3134911"},{"nombre":"Jefferson Mendez","bp":"3750335","dias":["TTT CRM 2026\nALUMNO","TTT REVA SVC 2026\nALUMNO","Inicial G7","HO FILE","LCK A320F\nLIM-CUZ-LIM\nLA 2007 (09:10-10:35 hrs)\nLA 2008 (11:20-12:55 hrs)\nLCK A320F\nLIM-AQP-LIM\nLA 2055 (13:50-15:35 hrs)\nLA 2056 (16:10-17:50 hrs)","DO","DO","Inicial G6","LCK A320F\nLIM-CUZ-LIM\nLA 2007 (09:10-10:35 hrs)\nLA 2008 (11:20-12:55 hrs)\nLCK A320F\nLIM-AQP-LIM\nLA 2055 (13:50-15:35 hrs)\nLA 2056 (16:10-17:50 hrs)","RESERVA IET","LCK A320F\nLIM-CUZ-LIM\nLA 2013 (08:40-10:00 hrs)\nLA 2014 (10:40-12:15 hrs)\nLCK A320F\nLIM-CUZ-LIM\nLA 2028 (13:25-14:50 hrs)\nLA 2029 (15:30-17:10 hrs)","REUNIÓN INSTRUCTORES","DO","DO","TALLER VOLUNTARIO DE SEGURIDAD","LCK A320F\nLIM-CUZ-LIM\nLA 2013 (08:40-10:00 hrs)\nLA 2014 (10:40-12:15 hrs)\nLCK A320F\nLIM-CUZ-LIM\nLA 2028 (13:25-14:50 hrs)\nLA 2029 (15:30-17:10 hrs)","Inicial G8","Inicial G8","LCK A320F\nLIM-CUZ-LIM\nLA 2013 (08:40-10:00 hrs)\nLA 2014 (10:40-12:15 hrs)\nLCK A320F\nLIM-CUZ-LIM\nLA 2028 (13:25-14:50 hrs)\nLA 2029 (15:30-17:10 hrs)","DO","DO","Inicial G8","LCK A320F\nLIM-CUZ-LIM\nLA 2013 (08:40-10:00 hrs)\nLA 2014 (10:40-12:15 hrs)\nLCK A320F\nLIM-CUZ-LIM\nLA 2028 (13:25-14:50 hrs)\nLA 2029 (15:30-17:10 hrs)","RESERVA IET","Reentrenamiento A320F\nLIM-AQP-LIM\nLA 2123 (09:15-10:50 hrs)\nLA 2124 (11:30-13:10 hrs)\nLCK A320F\nLIM-TPP-LIM\nLA 2087 (14:00-15:30 hrs)\nLA 2088 (16:05-17:30 hrs)","DO","DO","DO","DO","RESERVA IET"]},{"bp":"3852423","nombre":"Gabriela Ungaro","dias":["Inicial G8","TTT REVA SVC 2026\nALUMNO","Inicial G8","Inicial G7","CURSO CRM IDE","DO","DO","TTT CRM 2026\nALUMNO","RESERVA IET","HO FILE","Inicial G8","REUNIÓN INSTRUCTORES","DO","DO","RESERVA IET","VACACIONES","VACACIONES","VACACIONES","VACACIONES","VACACIONES","VACACIONES","VACACIONES","RESERVA IET","CUMP","CUMP","CURSO REFRESCO IDE","DO","DO","DO","DO"]},{"dias":["TTT CRM 2026\nALUMNO","Inicial G8","HO FILE","Inicial G7","CURSO CRM IDE","DO","DO","TALLER VOLUNTARIO DE SEGURIDAD","TTT REVA SVC 2026\nALUMNO","RESERVA IET","LCK A320F\nLIM-AQP-LIM\nLA 2123 (09:15-10:50 hrs)\nLA 2124 (11:30-13:10 hrs)\nLCK A320F\nLIM-TPP-LIM\nLA 2087 (14:00-15:30 hrs)\nLA 2088 (16:05-17:30 hrs)","DO","DO","DO","DO","Reva de Servicio\n(08:30-17:30 hrs)\nDÍA 1","HB6\nCurso B767\n(08:30-17:30hrs)","Reva de Servicio\n(08:30-17:30 hrs)\nDÍA 1\nSVC 1","Inicial G8","DO","DO","TALLER VOLUNTARIO DE SEGURIDAD","LCK A320F\nLIM-AQP-LIM\nLA 2123 (09:15-10:50 hrs)\nLA 2124 (11:30-13:10 hrs)\nLCK A320F\nLIM-TPP-LIM\nLA 2087 (14:00-15:30 hrs)\nLA 2088 (16:05-17:30 hrs)","RESERVA IET","LCK A320F\nLIM-CUZ-LIM\nLA 2013 (08:40-10:00 hrs)\nLA 2014 (10:40-12:15 hrs)\nLCK A320F\nLIM-CUZ-LIM\nLA 2028 (13:25-14:50 hrs)\nLA 2029 (15:30-17:10 hrs)","CURSO REFRESCO IDE","DO","DO","DO","PREPARACIÓN IOSA 2026"],"nombre":"Mariella Carrasco","bp":"2604360"},{"dias":["TTT CRM 2026\nINSTRUCTOR","Inicial G7","RTI: VIRTUAL\nA320F / B767\n(08:30-17:30 hrs)\nINS TITULAR","Inicial G6","RTI: VIRTUAL\nA320F / B767\n(08:30-17:30 hrs)\nINS TITULAR","DO","DO","HAB WB","HAB WB","HAB WB","HO FILE","RTI: PRÁCTICA\nA320F / B767\n(08:30-17:30 hrs)\nINS APOYO","DO","DO","TTT REVA SVC 2026\nALUMNO","VACACIONES","VACACIONES","VACACIONES","VACACIONES","VACACIONES","VACACIONES","VACACIONES","VACACIONES","VACACIONES","VACACIONES","VACACIONES","VACACIONES","VACACIONES","VACACIONES","VACACIONES"],"nombre":"Cesar Campos","bp":"2823133"},{"dias":["VACACIONES","VACACIONES","VACACIONES","VACACIONES","VACACIONES","VACACIONES","VACACIONES","TTT CRM 2026\nALUMNO","RESERVA IET","RTI: VIRTUAL\nA320F / B767\n(08:30-17:30 hrs)\nINS TITULAR","RESERVA IET","RTI: VIRTUAL\nA320F / B767\n(08:30-17:30 hrs)\nINS TITULAR","DO","DO","TTT REVA SVC 2026\nALUMNO","CURSO ESTANDARIZACIÓN","RESERVA IET","RTI: PRÁCTICA\nA320F / B767\n(08:30-17:30 hrs)\nINS APOYO","Inicial G7","DO","DO","HO FILE","Reunión de Embajadores","RESERVA IET","HABILITACIÓN A320F","Reva de Servicio\n(08:30-17:30 hrs)\nDÍA 1","DO","DO","DO","PREPARACIÓN IOSA 2026"],"nombre":"Kevin Segovia","bp":"3189967"},{"dias":["TTT CRM 2026\nALUMNO","Inicial G6","Inicial G7","RESERVA IET","RTI: PRÁCTICA\nA320F / B767\n(08:30-17:30 hrs)\nINS APOYO","DO","DO","TALLER VOLUNTARIO DE SEGURIDAD","RTI: VIRTUAL\nA320F / B767\n(08:30-17:30 hrs)\nINS TITULAR","Inicial G6","RTI: VIRTUAL\nA320F / B767\n(08:30-17:30 hrs)\nINS TITULAR","REUNIÓN INSTRUCTORES","DO","DO","TTT REVA SVC 2026\nINSTRUCTOR","TTT REVA SVC 2026\nINSTRUCTOR","HO FILE","RTI: PRÁCTICA\nA320F / B767\n(08:30-17:30 hrs)\nINS APOYO","HABILITACIÓN A320F","DO","DO","HANDS ON B767","Inicial G8","RESERVA IET","RTI: PRÁCTICA\nA320F / B767 / B787\n(08:30-17:30 hrs)\nINS APOYO","DO","DO","DO","DO","Reva de Servicio\n(08:30-17:30 hrs)\nDÍA 1"],"nombre":"Milagros Salas","bp":"2415373"},{"bp":"2440915","dias":["RESERVA IET","Inicial G7","Inicial G6","RESERVA IET","RTI: PRÁCTICA\nA320F / B767\n(08:30-17:30 hrs)\nINS APOYO","DO","DO","TTT CRM 2026\nINSTRUCTOR","Inicial G6","TTT CRM 2026\nINSTRUCTOR","RTI: PRÁCTICA\nA320F / B767\n(08:30-17:30 hrs)\nINS APOYO","Reva de Servicio\n(08:30-17:30 hrs)\nDÍA 1","DO","DO","TALLER VOLUNTARIO DE SEGURIDAD","HANDS ON B767","HO FILE","Reva de Servicio\n(08:30-17:30 hrs)\nDÍA 1\nSVC 2","RESERVA IET","DO","DO","RESERVA IET","Reva de Servicio\n(08:30-17:30 hrs)\nDÍA 1","HB6\nCurso B767\n(08:30-17:30hrs)","Inicial G8","DO","DO","DO","DO","LCK ALUMNA"],"nombre":"Judith Fernandez"},{"nombre":"Rafael Nieto","bp":"3796947","dias":["SICK","SICK","SICK","SICK","SICK","SICK","SICK","SICK","SICK","SICK","SICK","SICK","SICK","SICK","SICK","SICK","SICK","SICK","SICK","SICK","SICK","SICK","SICK","SICK","SICK","SICK","SICK","SICK","DO","SICK"]},{"bp":"3841387","dias":["VACACIONES","VACACIONES","VACACIONES","VACACIONES","VACACIONES","VACACIONES","VACACIONES","RESERVA IET","HABILITACIÓN A320F","Inicial G6","RTI: PRÁCTICA\nA320F / B767\n(08:30-17:30 hrs)\nINS APOYO","REUNIÓN INSTRUCTORES","DO","DO","TTT REVA SVC 2026\nALUMNO","RTI: VIRTUAL\nA320F / B767\n(08:30-17:30 hrs)\nINS TITULAR","Reva de Servicio\n(08:30-17:30 hrs)\nDÍA 1","RTI: VIRTUAL\nA320F / B767\n(08:30-17:30 hrs)\nINS TITULAR","Reva de Servicio\n(08:30-17:30 hrs)\nDÍA 1","DO","DO","TALLER VOLUNTARIO DE SEGURIDAD","HO FILE","HB6\nCurso B767\n(08:30-17:30hrs)","Reva de Servicio\n(08:30-17:30 hrs)\nDÍA 1","TTT CRM 2026\nINSTRUCTOR","DO","DO","DO","RESERVA IET"],"nombre":"Gianfranco Celiz"}]}</t>
  </si>
  <si>
    <t>2026-07</t>
  </si>
  <si>
    <t>{"fuente":"Rol_Instructores_LP_AGOSTO.xlsx","mes":"2026-07","hoja":"JULIO","instructores":[{"nombre":"Fiorella Ruiz","bp":"2713993","dias":["PREPARACIÓN IOSA 2026","RRVV\nALUMNO","HO FILE","FDS","FDS","Auditoría de Carpetas Técnicas/ entrenamiento","LCK B787\n- LIM-SCL\n- LA 2697 (09:35-13:00 hrs)\nLCK B787\n- SCL-LIM\n- LA 2696 (16:00-19:45 hrs)","RESERVA IET\nTARDE","RESERVA IET","REUNIÓN INSTRUCTORES","FDS","FDS","HANDS ON B787","RESERVA IET","RESERVA IET","DESAYUNO SAB","CURSO REFRESCO IDE","FDS","FDS","VACACIONES","LCK B787\n- LIM-SCL\n- LA 2697 (09:35-13:00 hrs)\nLCK B787\n- SCL-LIM\n- LA 2696 (16:00-19:45 hrs)","RESERVA IET\nTARDE","FERIADO","RTI: PRÁCTICA\nA320F / B767\n(08:30-17:30 hrs)\nINS APOYO","FDS","FDS","LCK B787\n- LIM-SCL\n- LA 2697 (09:35-13:00 hrs)\nLCK B787\n- SCL-LIM\n- LA 2696 (16:00-19:45 hrs)","FERIADO","FERIADO","PREPARACIÓN IOSA 2026","PREPARACIÓN IOSA 2026"]},{"bp":"2396710","dias":["RESERVA IET\nTARDE","BAJADA CRM","Inicial G8","FDS","FDS","HO FILE","RRVV\nALUMNO","LCK B787\n- LIM-SCL\n- LA 2697 (09:35-13:00 hrs)\nLCK B787\n- SCL-LIM\n- LA 2696 (16:00-19:45 hrs)","RESERVA IET\nTARDE","REUNIÓN INSTRUCTORES","FDS","FDS","LCK B787\n- LIM-SCL\n- LA 2697 (09:35-13:00 hrs)\nLCK B787\n- SCL-LIM\n- LA 2696 (16:00-19:45 hrs)","RESERVA IET\nTARDE","Blanco","LCK B767\n- LIM-MIA\n- LA 2480 (00:15-06:20 hrs)","Chequeo LATAM B767\n- MIA-LIM\n- LA 2481 (15:55-21:40 hrs)","FDS","FDS","LCK B787\n- LIM-SCL\n- LA 2697 (09:35-13:00 hrs)\nLCK B787\n- SCL-LIM\n- LA 2696 (16:00-19:45 hrs)","RESERVA IET\nTARDE","RESERVA IET","FERIADO","RTI: PRÁCTICA\nA320F / B767\n(08:30-17:30 hrs)\nINS APOYO","FDS","FDS","Inicial G8","FERIADO","FERIADO","Chequeo DGAC B767\n- LIM-SCL\n- LA 2413 (12:05-15:35 hrs)\nChequeo DGAC B767\n- SCL-LIM\n- LA 2412 (17:00-20:50 hrs)","RESERVA IET\nTARDE"],"nombre":"Sebastian Correa"},{"nombre":"Christian Rondon","dias":["LCK B767\n- LIM-MIA\n- LA 2694 (13:30-19:35 hrs)","Blanco","PD\n- MIA-LIM\n- LA 2699 (23:15-05:00 hrs)","FDS","FDS","LCK A320F\nLIM-CUZ-LIM\nLA 2013 (08:40-10:00 hrs)\nLA 2014 (10:40-12:15 hrs)\nLCK A320F\nLIM-CUZ-LIM\nLA 2028 (13:25-14:50 hrs)\nLA 2029 (15:30-17:05 hrs)","Inicial G9","Inicial G9","HO FILE","REUNIÓN INSTRUCTORES","FDS","FDS","HO FILE","LCK A320F\nLIM-CUZ-LIM\nLA 2013 (08:40-10:00 hrs)\nLA 2014 (10:40-12:15 hrs)\nLCK A320F\nLIM-CUZ-LIM\nLA 2028 (13:25-14:50 hrs)\nLA 2029 (15:30-17:05 hrs)","RRVV\nALUMNO","LCK B767\n- LIM-SCL\n- LA 2413 (12:05-15:35 hrs)\nLCK B767\n- SCL-LIM\n- LA 2412 (17:00-20:50 hrs)","RESERVA IET\nTARDE","FDS","FDS","Inicial G8","Inicial G8","Inicial G8","FERIADO","LCK B767\n- LIM-SCL\n- LA 2413 (12:05-15:35 hrs)\nLCK B767\n- SCL-LIM\n- LA 2412 (17:00-20:50 hrs)","FDS","FDS","Inicial G9","FERIADO","FERIADO","LCK A320F\nLIM-CUZ-LIM\nLA 2013 (08:40-10:00 hrs)\nLA 2014 (10:40-12:15 hrs)\nLCK A320F\nLIM-CUZ-LIM\nLA 2028 (13:25-14:50 hrs)\nLA 2029 (15:30-17:05 hrs)","RESERVA IET"],"bp":"1271571"},{"bp":"2843319","dias":["PREPARACIÓN IOSA 2026","BAJADA CRM","BAJADA TTT SVC","DO","DO","Vuelo Auditoría\n- LIM-LAX\n- LA 2476 (12:00-21:00 hrs)","Blanco","Vuelo Auditoría\n- LAX-LIM\n- LA 2477 (23:30-08:05 hrs)","RESERVA IET","REUNIÓN INSTRUCTORES","DO","DO","HAB B787","HO FILE\nTARDE","RRVV\nALUMNO","Chequeo DGAC B767\n- LIM-SCL\n- LA 2413 (12:05-15:35 hrs)\nChequeo DGAC B767\n- SCL-LIM\n- LA 2412 (17:00-20:50 hrs)","HO FILE\nTARDE","DO","DO","VACACIONES","VACACIONES","VACACIONES","VACACIONES","VACACIONES","VACACIONES","VACACIONES","VACACIONES","VACACIONES","VACACIONES","VACACIONES","VACACIONES"],"nombre":"Karen Santa Cruz"},{"dias":["RESERVA IET\nTARDE","HO FILE","Inicial G9","DO","DO","Inicial G8","Blanco","LCK B767\n- LIM-MIA\n- LA 2480 (00:15-06:20 hrs)","Chequeo LATAM B767\n- MIA-LIM\n- LA 2695 (16:10-22:00 hrs)","REUNIÓN INSTRUCTORES\nTARDE","DO","DO","Blanco","LCK B767\n- LIM-MIA\n- LA 2480 (00:15-06:20 hrs)","Chequeo LATAM B767\n- MIA-LIM\n- LA 2481 (15:55-21:40 hrs)","RESERVA IET\nTARDE","HAB 320","DO","DO","Renovación IDE B767\n- LIM-MIA\n- LA 2698 (08:15-14:20 hrs)","Renovación IDE B767\n- MIA-LIM\n- LA 2695 (16:10-22:00 hrs)","RESERVA IET\nTARDE","DO","DO","DO","DO","RESERVA IET","DO","DO","LCK B767\n- LIM-SCL\n- LA 2413 (12:05-15:35 hrs)\nLCK B767\n- SCL-LIM\n- LA 2412 (17:00-20:50 hrs)","RESERVA IET\nTARDE"],"bp":"3779550","nombre":"Jennifert Acurio"},{"bp":"29530","nombre":"Jazmin Guerra","dias":["RESERVA IET","RESERVA IET","RESERVA IET","DO","DO","Inicial G8","LCK A320F\nLIM-CUZ-LIM\nLA 2013 (08:40-10:00 hrs)\nLA 2014 (10:40-12:15 hrs)\nLCK A320F\nLIM-CUZ-LIM\nLA 2028 (13:25-14:50 hrs)\nLA 2029 (15:30-17:05 hrs)","RESERVA IET","LCK A320F\nLIM-CUZ-LIM\nLA 2007 (09:10-10:35 hrs)\nLA 2008 (11:20-12:55 hrs)\nLCK A320F\nLIM-TPP-LIM\nLA 2087 (14:00-15:30 hrs)\nLA 2088 (16:10-17:35 hrs)","REUNIÓN INSTRUCTORES","DO","DO","LCK A320F\nLIM-CUZ-LIM\nLA 2013 (08:40-10:00 hrs)\nLA 2014 (10:40-12:15 hrs)\nLCK A320F\nLIM-CUZ-LIM\nLA 2028 (13:25-14:50 hrs)\nLA 2029 (15:30-17:05 hrs)","Inicial G9","HAB WB","HAB WB","HAB WB","DO","DO","TALLER VOLUNTARIO DE SEGURIDAD","LCK A320F\nLIM-CUZ-LIM\nLA 2013 (08:40-10:00 hrs)\nLA 2014 (10:40-12:15 hrs)\nLCK A320F\nLIM-CUZ-LIM\nLA 2028 (13:25-14:50 hrs)\nLA 2029 (15:30-17:05 hrs)","HO FILE","DO","DO","DO","DO","RESERVA IET","DO","DO","Inicial G9","LCK B767\n- LIM-SCL\n- LA 2413 (12:05-15:35 hrs)\nLCK B767\n- SCL-LIM\n- LA 2412 (17:00-20:50 hrs)"]},{"bp":"3217561","nombre":"Claudia Flores","dias":["PREPARACIÓN IOSA 2026","RRVV\nALUMNO","AUDITORÍA PRO CAB","DO","DO","LCK B767\n- LIM-MIA\n- LA 2694 (13:30-19:35 hrs)","Blanco","Chequeo LATAM B767\n- MIA-LIM\n- LA 2699 (23:15-05:00 hrs)","Inicial G9","REUNIÓN INSTRUCTORES","DO","DO","TALLER VOLUNTARIO DE SEGURIDAD","HAB B787","RESERVA IET\nTARDE","HO FILE","Chequeo DGAC B767\n- LIM-SCL\n- LA 2413 (12:05-15:35 hrs)\nChequeo DGAC B767\n- SCL-LIM\n- LA 2412 (17:00-20:50 hrs)","DO","DO","Renovación IDE B767\n- LIM-MIA\n- LA 2698 (08:15-14:20 hrs)","Renovación IDE B767\n- MIA-LIM\n- LA 2695 (16:10-22:00 hrs)","RESERVA IET\nTARDE","DO","DO","DO","DO","RESERVA IET","DO","DO","PREPARACIÓN IOSA 2026","PREPARACIÓN IOSA 2026"]},{"dias":["LP","LP","LP","DO","DO","LP","LP","LP","LP","REUNIÓN INSTRUCTORES","DO","DO","LP","LP","LP","LP","LP","DO","DO","LP","LP","LP","DO","LP","DO","DO","LP","DO","DO","LP","LP"],"bp":"71348","nombre":"Karla Moz"},{"nombre":"Erika Dávila","bp":"967092","dias":["RTI: VIRTUAL\nA320F / B767 / B787\n(08:30-17:30 hrs)\nINS TITULAR","RTI: PRÁCTICA\nA320F / B767 / B787\n(08:30-17:30 hrs)\nINS TITULAR","RTI: PRÁCTICA\nA320F / B767 / B787\n(08:30-17:30 hrs)\nINS TITULAR","DO","DO","RTI","RTI: VIRTUAL\nA320F / B767 / B787\n(08:30-17:30 hrs)\nINS TITULAR\n*Se habilita","RTI: PRÁCTICA\nA320F / B767 / B787\n(08:30-17:30 hrs)\nINS TITULAR\n*Se habilita","HAB B787","REUNIÓN INSTRUCTORES\nTARDE","DO","DO","RESERVA IET","RESERVA IET","RESERVA IET","RTI: VIRTUAL\nA320F / B767\n(08:30-17:30 hrs)\nINS TITULAR\n*Se habilita","RTI","DO","DO","HO FILE","RESERVA IET","Reentrenamiento A320F\nLIM-AQP-LIM\nLA 2123 (09:15-10:50 hrs)\nLA 2124 (11:35-13:10 hrs)","DO","Reva de Servicio\n(08:30-17:30 hrs)\nDÍA 1","DO","DO","DO","DO","DO","Reva de Servicio\n(08:30-17:30 hrs)\nDÍA 1\nSVC DE TCS","Reva de Servicio\n(08:30-17:30 hrs)\nDÍA 1\nSVC 1 DE TCS"]},{"dias":["RESERVA IET","RRVV\nALUMNO","LCK A320F\nLIM-CUZ-LIM\nLA 2013 (08:40-10:00 hrs)\nLA 2014 (10:40-12:15 hrs)\nLCK A320F\nLIM-CUZ-LIM\nLA 2028 (13:25-14:50 hrs)\nLA 2029 (15:30-17:05 hrs)","DO","DO","LCK A320F\nLIM-TPP-LIM\nLA 2087 (14:00-15:30 hrs)\nLA 2088 (16:10-17:35 hrs)","RESERVA IET","LCK A320F\nLIM-AQP-LIM\nLA 2123 (09:15-10:50 hrs)\nLA 2124 (11:35-13:10 hrs)\nLCK A320F\nLIM-CJA-LIM\nLA 2295 (14:05-15:30 hrs)\nLA 2294 (16:10-17:15 hrs)","RESERVA IET","REUNIÓN INSTRUCTORES","DO","DO","RESERVA IET","RESERVA IET","RESERVA IET","Recalificación A320F\nLIM-CUZ-LIM\nLA 2013 (08:40-10:00 hrs)\nLA 2014 (10:40-12:15 hrs)\nRecalificación A320F\nLIM-CUZ-LIM\nLA 2028 (13:25-14:50 hrs)\nLA 2029 (15:30-17:05 hrs)","Reva de Servicio\n(08:30-17:30 hrs)\nDÍA 1","DO","DO","LCK A320F\nLIM-CUZ-LIM\nLA 2013 (08:40-10:00 hrs)\nLA 2014 (10:40-12:15 hrs)\nLCK A320F\nLIM-CUZ-LIM\nLA 2028 (13:25-14:50 hrs)\nLA 2029 (15:30-17:05 hrs)","HO FILE","LCK A320F\nLIM-CUZ-LIM\nLA 2013 (08:40-10:00 hrs)\nLA 2014 (10:40-12:15 hrs)\nLCK A320F\nLIM-CUZ-LIM\nLA 2028 (13:25-14:50 hrs)\nLA 2029 (15:30-17:05 hrs)","DO","DO","DO","DO","Curso Estandarización","DO","DO","Reentrenamiento A320F\nLIM-CUZ-LIM\nLA 2007 (09:10-10:35 hrs)\nLA 2008 (11:20-12:55 hrs)\nHabilitación A320F\nLIM-AQP-LIM\nLA 2055 (13:50-15:25 hrs)\nLA 2056 (16:10-17:50 hrs)","Inicial G9"],"nombre":"Elizabeth Torres","bp":"2369641"},{"bp":"2369624","dias":["PREPARACIÓN IOSA 2026","LCK B767\n- LIM-SCL\n- LA 2413 (12:05-15:35 hrs)\nLCK B767\n- SCL-LIM\n- LA 2412 (17:00-20:50 hrs)","RESERVA IET\nTARDE","DO","DO","Situaciones de Emergencia A320F\nTripulación de Mando\nLP\n(08:30-17:30 hrs)","RRVV\nINS","HO FILE","LCK B767\n- LIM-SCL\n- LA 2413 (12:05-15:35 hrs)\nLCK B767\n- SCL-LIM\n- LA 2412 (17:00-20:50 hrs)","REUNIÓN INSTRUCTORES\nTARDE","DO","DO","Inicial G8","RESERVA IET","RESERVA IET","LCK WB ALUMNO","RESERVA IET\nTARDE","DO","DO","RESERVA IET","RESERVA IET","REU EMBAJADORES","DO","DO","DO","DO","RESERVA IET","DO","DO","PREPARACIÓN IOSA 2026","PREPARACIÓN IOSA 2026"],"nombre":"Patricia Najar"},{"dias":["RESERVA IET","BAJADA CRM","LCK B767\n- LIM-SCL\n- LA 2413 (12:20-15:45 hrs)\nLCK B767\n- SCL-LIM\n- LA 2412 (17:10-20:50 hrs)","DO","DO","LCK B767\n- LIM-MIA\n- LA 2698 (08:15-14:20 hrs)","PD\n- MIA-LIM\n- LA 2695 (16:10-22:00 hrs)","RESERVA IET\nTARDE","HAB 320","REUNIÓN INSTRUCTORES","DO","DO","HANDS ON B767","HO FILE","Reva de Servicio\n(08:30-17:30 hrs)\nDÍA 1","Reva de Servicio\n(08:30-17:30 hrs)\nDÍA 1","LCK B767\n- LIM-SCL\n- LA 2413 (12:05-15:35 hrs)\nLCK B767\n- SCL-LIM\n- LA 2412 (17:00-20:50 hrs)","DO","DO","LCK B767\n- LIM-MIA\n- LA 2694 (13:30-19:35 hrs)","Blanco","Habilitación B767\n- MIA-LIM\n- LA 2699 (23:15-05:00 hrs)","DO","DO","DO","DO","REFUERZO REALIDAD VIRTUAL \nALUMNO","DO","DO","Reva de Servicio\n(08:30-17:30 hrs)\nDÍA 1\nSVC DE JSBS","Reva de Servicio\n(08:30-17:30 hrs)\nDÍA 1\nSVC 2 DE TCS"],"nombre":"Javier Zapata","bp":"3134911"},{"nombre":"Jefferson Mendez","dias":["RESERVA IET","BAJADA CRM","Inicial G8","DO","DO","Blanco","LCK B767\n- LIM-MIA\n- LA 2480 (00:15-06:20 hrs)","Chequeo LATAM B767\n- MIA-LIM\n- LA 2481 (15:55-21:40 hrs)","RESERVA IET\nTARDE","REUNIÓN INSTRUCTORES","DO","DO","HO FILE","Blanco","LCK B767\n- LIM-MIA\n- LA 2480 (00:15-06:20 hrs)","Chequeo LATAM B767\n- MIA-LIM\n- LA 2695 (16:10-22:00 hrs)","RESERVA IET\nTARDE","DO","DO","Blanco","LCK B767\n- LIM-MIA\n- LA 2480 (00:15-06:20 hrs)","Recalificación B767\n- MIA-LIM\n- LA 2481 (15:55-21:40 hrs)","DO","DO","DO","DO","Recalificación A320F\nLIM-CUZ-LIM\nLA 2013 (08:40-10:00 hrs)\nLA 2014 (10:40-12:15 hrs)\nHabilitación A320F\nLIM-CUZ-LIM\nLA 2028 (13:25-14:50 hrs)\nLA 2029 (15:30-17:05 hrs)","DO","DO","RESERVA IET","Recalificación A320F\nLIM-AQP-LIM\nLA 2123 (09:15-10:50 hrs)\nLA 2124 (11:35-13:10 hrs)"],"bp":"3750335"},{"bp":"3852423","nombre":"Gabriela Ungaro","dias":["Blanco","LCK B767\n- LIM-MIA\n- LA 2480 (00:15-06:20 hrs)","PD\n- MIA-LIM\n- LA 2481 (15:55-21:40 hrs)","DO","DO","Inicial G8","RRVV\nALUMNO","lck alumna","RESERVA IET","REUNIÓN INSTRUCTORES","DO","DO","LCK B767\n- LIM-MIA\n- LA 2694 (13:30-19:35 hrs)","PD\n- MIA-LIM\n- LA 2695 (16:10-22:00 hrs)","RESERVA IET\nTARDE","Inicial G9","CURSO REFRESCO IDE","DO","DO","HAB 320","Reva de Servicio\n(08:30-17:30 hrs)\nDÍA 1\nSVC DE JSBS","Inicial G9","DO","DO","DO","DO","Inicial G8","DO","DO","HO FILE","LCK B767 ALUMNO"]},{"nombre":"Mariella Carrasco","dias":["PREPARACIÓN IOSA 2026","RRVV\nALUMNO","RESERVA IET","DO","DO","RTI","RTI: VIRTUAL\nA320F / B767 / B787\n(08:30-17:30 hrs)\nINS APOYO\n*Se habilita","RTI","RTI: PRÁCTICA\nA320F / B767 / B787\n(08:30-17:30 hrs)\nINS TITULAR\n*Se habilita","REUNIÓN INSTRUCTORES","DO","DO","LCK B767\n- LIM-MIA\n- LA 2698 (08:15-14:20 hrs)","Blanco","Reentrenamiento B767\n- MIA-LIM\n- LA 2699 (23:15-05:00 hrs)","HAB 320","CURSO REFRESCO IDE","DO","DO","LCK B767\n- LIM-MIA\n- LA 2698 (08:15-14:20 hrs)","Habilitación B767\n- MIA-LIM\n- LA 2695 (16:10-22:00 hrs)","RESERVA IET\nTARDE","DO","HO FILE","DO","DO","DO","DO","DO","PREPARACIÓN IOSA 2026","PREPARACIÓN IOSA 2026"],"bp":"2604360"},{"nombre":"Cesar Campos","bp":"2823133","dias":["VACACIONES","VACACIONES","VACACIONES","VACACIONES","VACACIONES","VACACIONES","VACACIONES","VACACIONES","VACACIONES","VACACIONES","VACACIONES","VACACIONES","VACACIONES","VACACIONES","VACACIONES","CUMP.","RTI: PRÁCTICA\nA320F / B767\n(08:30-17:30 hrs)\nINS APOYO","DO","DO","Inicial G9","RTI: VIRTUAL\nA320F / B767\n(08:30-17:30 hrs)\nINS TITULAR 1 RTI","REU EMBAJADORES","DO","RTI: VIRTUAL\nA320F / B767\n(08:30-17:30 hrs)\nINS TITULAR","DO","DO","REFUERZO REALIDAD VIRTUAL \nINSTRUCTOR","DO","DO","DESAYUNO SAB","HO FILE"]},{"dias":["Curso Primeros Auxilios","RRVV\nINS","RTI: PRÁCTICA\nA320F / B767 / B787\n(08:30-17:30 hrs)\nINS APOYO","DO","DO","HO FILE","HAB","HAB","HAB","REUNIÓN INSTRUCTORES","DO","DO","TALLER VOLUNTARIO DE SEGURIDAD","Reva de Servicio\n(08:30-17:30 hrs)\nDÍA 1","RRVV\nINS","RTI: PRÁCTICA\nA320F / B767\n(08:30-17:30 hrs)\nINS APOYO","Inicial G8","DO","DO","TALLER VOLUNTARIO DE SEGURIDAD","Reva de Servicio\n(08:30-17:30 hrs)\nDÍA 1\nSVC DE TCS","RTI: PRÁCTICA\nA320F / B767\n(08:30-17:30 hrs)\nINS APOYO","DO","DO","DO","DO","TALLER VOLUNTARIO DE SEGURIDAD","DO","DO","PREPARACIÓN IOSA 2026","PREPARACIÓN IOSA 2026"],"nombre":"Kevin Segovia","bp":"3189967"},{"dias":["RESERVA IET","RESERVA IET","RTI: PRÁCTICA\nA320F / B767 / B787\n(08:30-17:30 hrs)\nINS APOYO","DO","DO","HAB","HAB","HAB","RTI: PRÁCTICA\nA320F / B767 / B787\n(08:30-17:30 hrs)\nINS APOYO","REUNIÓN INSTRUCTORES","DO","DO","HO FILE","RTI","RTI: VIRTUAL\nA320F / B767\n(08:30-17:30 hrs)\nINS TITULAR\n*Se habilita","RTI","RTI: VIRTUAL\nA320F / B767\n(08:30-17:30 hrs)\nINS TITULAR\n*Se habilita","DO","DO","RESERVA IET","RTI: VIRTUAL\nA320F / B767\n(08:30-17:30 hrs)\nINS TITULAR 2 RTI","RTI: PRÁCTICA\nA320F / B767\n(08:30-17:30 hrs)\nINS APOYO","DO","DO","DO","DO","TALLER VOLUNTARIO DE SEGURIDAD","DO","DO","RESERVA IET","RESERVA IET"],"bp":"2415373","nombre":"Milagros Salas"},{"dias":["Curso Primeros Auxilios","HO FILE","BAJADA TTT SVC\nINS","DO","DO","RESERVA IET","Ditching Presencial A320F + HANDS ON\nTripulación de Mando\nLP\n(08:30-17:30 hrs)","RESERVA IET","RTI: PRÁCTICA\nA320F / B767 / B787\n(08:30-17:30 hrs)\nINS APOYO","REUNIÓN INSTRUCTORES","DO","DO","Inicial G9","RTI: VIRTUAL\nA320F / B767\n(08:30-17:30 hrs)\nINS TITULAR","Inicial G9","RTI: VIRTUAL\nA320F / B767\n(08:30-17:30 hrs)\nINS TITULAR","RTI: PRÁCTICA\nA320F / B767\n(08:30-17:30 hrs)\nINS APOYO","DO","DO","RESERVA IET","Inicial G9","RTI: VIRTUAL\nA320F / B767\n(08:30-17:30 hrs)\nINS TITULAR","DO","DO","DO","DO","RESERVA IET","DO","DO","HO FILE","HO FILE"],"nombre":"Judith Fernandez","bp":"2440915"},{"nombre":"Rafael Nieto","dias":["SICK","SICK","SICK","DO","DO","SICK","SICK","SICK","SICK","REUNIÓN INSTRUCTORES","DO","DO","SICK","SICK","SICK","SICK","SICK","DO","DO","SICK","SICK","SICK","FERIADO","SICK","DO","DO","SICK","FERIADO","FERIADO","SICK","SICK"],"bp":"3796947"},{"nombre":"Gianfranco Celiz","dias":["Curso Primeros Auxilios","BAJADA CRM\nINS","Inicial G8","DO","DO","Inicial G9","RRVV\nALUMNO","HO FILE","LCK ALUMNO","REUNIÓN INSTRUCTORES\nTARDE","DO","DO","Reentrenamiento A320F\nLIM-AQP-LIM\nLA 2123 (09:15-10:50 hrs)\nLA 2124 (11:35-13:10 hrs)\nReentrenamiento A320F\nLIM-CJA-LIM\nLA 2295 (14:05-15:30 hrs)\nLA 2294 (16:10-17:15 hrs)","RESERVA IET","VACACIONES","VACACIONES","VACACIONES","VACACIONES","VACACIONES","VACACIONES","VACACIONES","VACACIONES","VACACIONES","VACACIONES","VACACIONES","VACACIONES","VACACIONES","VACACIONES","VACACIONES","VACACIONES","VACACIONES"],"bp":"3841387"}]}</t>
  </si>
  <si>
    <t>2026-08</t>
  </si>
  <si>
    <t>{"fuente":"10 - Rol_Instructores_LP_OCTUBRE_1.xlsx","mes":"2026-08","hoja":"AGOSTO","instructores":[{"dias":["FDS","FDS","LCK B787\n- LIM-SCL\n- LA 2697 (09:35-13:00 hrs)\nLCK B787\n- SCL-LIM\n- LA 2696 (16:00-19:45 hrs)","RESERVA IET\nTARDE","EXP RECIENTE A320\nLIM-CUZ-LIM\nLA 2007 (09:10-10:35 hrs)\nLA 2008 (11:20-12:55 hrs)","FERIADO","RTI: PRÁCTICA\nA320F / B767\n(08:30-17:30 hrs)\nINS APOYO","FDS","FDS","RTI","RTI: VIRTUAL\nA320F / B767 / B787\n(08:30-17:30 hrs)\nINS TITULAR\n*Se habilita","RTI: PRÁCTICA\nA320F / B767 / B787\n(08:30-17:30 hrs)\nINS TITULAR\n*Se habilita","RTI: PRÁCTICA\nA320F / B767 / B787\n(08:30-17:30 hrs)\nINS TITULAR\n*Se habilita","REUNIÓN INSTRUCTORES","FDS","FDS","LCK ALUMNA","Blanco","LCK B767\n- LIM-MIA\n- LA 2480 (00:15-06:20 hrs)","PD\n- MIA-LIM\n- LA 2695 (16:10-22:00 hrs)","RESERVA IET\nTARDE","FDS","FDS","PREPARACIÓN IOSA 2026","PREPARACIÓN IOSA 2026","RTI: PRÁCTICA\nA320F / B767 / B787\n(08:30-17:30 hrs)\nINS TITULAR\nAPOYO","RESERVA IET","RTI","FDS","FDS","HO FILE"],"nombre":"Fiorella Ruiz","bp":"2713993"},{"bp":"2396710","dias":["FDS","FDS","Habilitación B767\n- LIM-MIA\n- LA 2694 (13:30-19:35 hrs)","Habilitación B767\n- MIA-LIM\n- LA 2695 (16:10-22:00 hrs)","RESERVA IET\nTARDE","FERIADO","BIANUAL IDE - HAB IDE\nLIM-AQP-LIM\nLA 2331 (10:00-11:30 hrs)\nLA 2332 (12:05-13:40 hrs)","FDS","FDS","RESERVA IET","RESERVA IET","RTI: PRÁCTICA\nA320F / B767 / B787\n(08:30-17:30 hrs)\nINS APOYO","RTI: PRÁCTICA\nA320F / B767\n(08:30-17:30 hrs)\nINS APOYO TM","REUNIÓN INSTRUCTORES","FDS","FDS","RESERVA IET","RESERVA IET","RESERVA IET","LCK B787\n- LIM-SCL\n- LA 2697 (09:35-13:00 hrs)\nLCK B787\n- SCL-LIM\n- LA 2696 (16:00-19:45 hrs)","HO FILE\nTARDE","FDS","FDS","RTI","RTI: VIRTUAL\nA320F / B767 / B787\n(08:30-17:30 hrs)\nINS TITULAR\n*Se habilita","RTI: PRÁCTICA\nA320F / B767 / B787\n(08:30-17:30 hrs)\nINS TITULAR\n*Se habilita","RTI: PRÁCTICA\nA320F / B767 / B787\n(08:30-17:30 hrs)\nINS TITULAR\n*Se habilita","RTI","FDS","FDS","REFUERZO REALIDAD VIRTUAL \nALUMNO"],"nombre":"Sebastian Correa"},{"bp":"1271571","dias":["FDS","FDS","VACACIONES","VACACIONES","VACACIONES","VACACIONES","VACACIONES","VACACIONES","VACACIONES","LCK B767\n- LIM-MIA\n- LA 2694 (13:30-19:35 hrs)","Blanco","Habilitación B767\n- MIA-LIM\n- LA 2699 (23:15-05:00 hrs)","RTI: PRÁCTICA\nA320F / B767 / B787\n(08:30-17:30 hrs)\nINS APOYO TM","REUNIÓN INSTRUCTORES","FDS","FDS","LCK B787\n- LIM-SCL\n- LA 2697 (09:35-13:00 hrs)\nLCK B787\n- SCL-LIM\n- LA 2696 (16:00-19:45 hrs)","RESERVA IET\nTARDE","RESERVA IET","HANDS ON B787","CURSO INS B787 - INSTRUCTOR","FDS","FDS","LCK B767\n- LIM-MIA\n- LA 2698 (08:15-14:20 hrs)","Blanco","PD\n- MIA-LIM\n- LA 2699 (23:15-05:00 hrs)","RTI: PRÁCTICA\nA320F / B767 / B787\n(08:30-17:30 hrs)\nAPOYO TM","LCK B787\n- LIM-SCL\n- LA 2697 (09:35-13:00 hrs)\nRecalificación B787\n- SCL-LIM\n- LA 2696 (16:00-19:45 hrs)","FDS","FDS","LCK B787\n- LIM-SCL\n- LA 2697 (09:35-13:00 hrs)\nLCK B787\n- SCL-LIM\n- LA 2696 (16:00-19:45 hrs)"],"nombre":"Christian Rondon"},{"bp":"2843319","dias":["DO","DO","EXP RECIENTE B787","RESERVA IET\nTARDE","HO FILE","DO","DO","DO","DO","LCK A320F\nLIM-CUZ-LIM\nLA 2013 (08:40-10:00 hrs)\nLA 2014 (10:35-12:10 hrs)\nLCK A320F\nLIM-CIX-LIM\nLA 2270 (13:05-14:35 hrs)\nLA 2271 (15:10-16:30 hrs)","AUDITORÍA TIERRA","LCK A320F\nLIM-AQP-LIM\nLA 2123 (09:15-10:45 hrs)\nLA 2124 (11:30-13:05 hrs)\nReentrenamiento A320F\nLIM-CJA-LIM\nLA 2295 (14:25-15:45 hrs)\nLA 2294 (16:30-17:35 hrs)","BAJADA TTT SVC\nALUMNO","REUNIÓN INSTRUCTORES","DO","DO","LCK B767\n- LIM-MIA\n- LA 2698 (08:15-14:20 hrs)","Blanco","Habilitación B767\n- MIA-LIM\n- LA 2699 (23:15-05:00 hrs)","LCK A320F\nLIM-AQP-LIM\nLA 2123 (09:05-10:35 hrs)\nLA 2124 (11:20-12:55 hrs)\nLCK A320F\nLIM-AQP-LIM\nLA 2055 (14:00-15:30 hrs)\nLA 2056 (16:10-17:50 hrs)","CURSO INS B787","DO","DO","PREPARACIÓN IOSA 2026","PREPARACIÓN IOSA 2026","LCK A320F\nLIM-CUZ-LIM\nLA 2013 (08:40-10:00 hrs)\nLA 2014 (10:35-12:10 hrs)\nLCK A320F\nLIM-CIX-LIM\nLA 2270 (13:05-14:35 hrs)\nLA 2271 (15:10-16:30 hrs)","RESERVA IET","LCK ALUMNA","DO","DO","LCK A320F\nLIM-CUZ-LIM\nLA 2007 (09:10-10:35 hrs)\nLA 2008 (11:20-12:55 hrs)\nLCK A320F\nLIM-AQP-LIM\nLA 2055 (13:55-15:25 hrs)\nLA 2056 (16:10-17:50 hrs)"],"nombre":"Karen Santa Cruz"},{"bp":"3779550","dias":["DO","DO","HO FILE","Reva de Servicio\n(08:30-17:30 hrs)\nDÍA 1\nSVC DE TCS","RESERVA IET","DO","DO","DO","DO","CURSO ASCENSO","CURSO ASCENSO","CURSO ASCENSO","RTI: PRÁCTICA\nA320F / B767\n(08:30-17:30 hrs)\nINS APOYO","REUNIÓN INSTRUCTORES","DO","DO","TALLER VOLUNTARIO DE SEGURIDAD","RESERVA IET","RESERVA IET","CURSO ASCENSO","CURSO INS B787","DO","DO","RESERVA IET","Blanco","LCK B767\n- LIM-MIA\n- LA 2480 (00:15-06:20 hrs)","Recalificación B767\n- MIA-LIM\n- LA 2695 (16:10-22:00 hrs)","RESERVA IET\nTARDE","DO","DO","RESERVA IET"],"nombre":"Jennifert Acurio"},{"bp":"29530","nombre":"Jazmin Guerra","dias":["DO","DO","Blanco","LCK B767\n- LIM-MIA\n- LA 2480 (00:15-06:20 hrs)","PD\n- MIA-LIM\n- LA 2481 (15:55-21:40 hrs)","DO","DO","DO","DO","HO FILE\nTARDE","EXP RECIENTE B787","HO FILE\nTARDE","Curso 50%","REUNIÓN INSTRUCTORES","DO","DO","Blanco","LCK B767\n- LIM-MIA\n- LA 2480 (00:15-06:20 hrs)","PD\n- MIA-LIM\n- LA 2481 (15:55-21:40 hrs)","RESERVA IET\nTARDE","CURSO INS B787","DO","DO","Blanco","LCK B767\n- LIM-MIA\n- LA 2480 (00:15-06:20 hrs)","PD\n- MIA-LIM\n- LA 2481 (15:55-21:40 hrs)","RESERVA IET\nTARDE","LCK B767\n- LIM-SCL\n- LA 2413 (12:05-15:45 hrs)\nLCK B767\n- SCL-LIM\n- LA 2412 (17:10-21:00 hrs)","DO","DO","RESERVA IET"]},{"nombre":"Claudia Flores","dias":["DO","DO","RESERVA IET","RESERVA IET","Reva de Servicio\n(08:30-17:30 hrs)\nDÍA 1\nSVC DE TCS","DO","LCK B767\n- LIM-SCL\n- LA 2413 (12:05-15:45 hrs)\nLCK B767\n- SCL-LIM\n- LA 2412 (17:10-21:00 hrs)","DO","DO","LCK B767\n- LIM-MIA\n- LA 2698 (08:15-14:20 hrs)","Habilitación B767\n- MIA-LIM\n- LA 2695 (16:10-22:00 hrs)","RESERVA IET\nTARDE","BAJADA TTT SVC\nINSTRUCTOR","REUNIÓN INSTRUCTORES","DO","DO","DO","DO","HO FILE","REU EMBAJADORES","CURSO INS B787","DO","DO","PREPARACIÓN IOSA 2026","PREPARACIÓN IOSA 2026","Blanco","LCK B767\n- LIM-MIA\n- LA 2480 (00:15-06:20 hrs)","PD\n- MIA-LIM\n- LA 2481 (15:55-21:40 hrs)","DO","DO","REFUERZO REALIDAD VIRTUAL \nALUMNO"],"bp":"3217561"},{"bp":"71348","nombre":"Karla Moz","dias":["LP","LP","LP","LP","LP","DO","LP","LP","LP","LP","LP","LP","LP","LP","LP","LP","LP","LP","LP","LP","LP","LP","LP","LP","LP","LP","LP","LP","LP","LP","LP"]},{"nombre":"Erika Dávila","dias":["DO","DO","HAB WB","HAB WB","HAB WB","DO","IET\nASIGNAR VUELO EXP RECIENTE A320F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],"bp":"967092"},{"nombre":"Elizabeth Torres","bp":"2369641","dias":["DO","DO","HAB WB","HAB WB","HAB WB","DO","DO","DO","DO","TALLER VOLUNTARIO DE SEGURIDAD","Reva de Servicio\n(08:30-17:30 hrs)\nDÍA 1\nSVC DE TCS","Reva de Servicio\n(08:30-17:30 hrs)\nDÍA 1\nSVC DE TCS","BIANUAL INSTRUCTOR\nLIM-AQP-LIM\nLA 2109 (10:30-12:00 hrs)\nLA 2108 (12:40-14:15 hrs)","REUNIÓN INSTRUCTORES","DO","DO","HO FILE","Inicial G9\n(Apoyo)","Inicial G9\n(Apoyo)","LCK B767\n- LIM-SCL\n- LA 2413 (12:05-15:45 hrs)\nLCK B767\n- SCL-LIM\n- LA 2412 (17:10-21:00 hrs)","RESERVA IET\nTARDE","DO","DO","Reentrenamiento A320F\nLIM-CUZ-LIM\nLA 2013 (08:40-10:00 hrs)\nLA 2014 (10:35-12:10 hrs)\nLCK A320F\nLIM-CIX-LIM\nLA 2270 (13:05-14:35 hrs)\nLA 2271 (15:10-16:30 hrs)","Reva de Servicio\n(08:30-17:30 hrs)\nDÍA 1\nSVC DE TCS","Reva de Servicio\n(08:30-17:30 hrs)\nDÍA 1\nSVC DE TCS","LCK A320F\nLIM-AQP-LIM\nLA 2123 (09:05-10:35 hrs)\nLA 2124 (11:20-12:55 hrs)\nLCK A320F\nLIM-TPP-LIM\nLA 2087 (14:25-15:50 hrs)\nLA 2088 (16:30-17:55 hrs)","RESERVA IET","DO","DO","LCK A320F\nLIM-AQP-LIM\nLA 2123 (09:15-10:45 hrs)\nLA 2124 (11:30-13:05 hrs)\nLCK A320F\nLIM-CJA-LIM\nLA 2295 (14:10-15:30 hrs)\nLA 2294 (16:10-17:15 hrs)"]},{"bp":"2369624","dias":["VACACIONES","VACACIONES","VACACIONES","VACACIONES","VACACIONES","VACACIONES","VACACIONES","DO","DO","LCK A320F\nLIM-AQP-LIM\nLA 2123 (09:15-10:45 hrs)\nLA 2124 (11:30-13:05 hrs)\nLCK A320F\nLIM-CJA-LIM\nLA 2295 (14:10-15:30 hrs)\nLA 2294 (16:10-17:15 hrs)","Blanco","LCK B767\n- LIM-MIA\n- LA 2480 (00:15-06:20 hrs)","Reentrenamiento B767\n- MIA-LIM\n- LA 2695 (16:10-22:00 hrs)","REUNIÓN INSTRUCTORES\nTARDE","DO","DO","LCK B767\n- LIM-MIA\n- LA 2694 (13:30-19:35 hrs)","PD\n- MIA-LIM\n- LA 2695 (16:10-22:00 hrs)","RESERVA IET\nTARDE","HO FILE","BIANUAL INSTRUCTOR\nLIM-AQP-LIM\nLA 2109 (10:30-12:00 hrs)\nLA 2108 (12:40-14:15 hrs)","DO","DO","PREPARACIÓN IOSA 2026","PREPARACIÓN IOSA 2026","Auditoria ATL\n- LIM-ATL\n- LA 2482 (12:05-19:35 hrs)","Blanco","Auditoria ATL\n- ATL-LIM\n- LA 2483 (22:15-05:00 hrs)","DO","DO","REFUERZO REALIDAD VIRTUAL \nINSTRUCTOR"],"nombre":"Patricia Najar"},{"bp":"3134911","nombre":"Javier Zapata","dias":["DO","DO","LCK B767\n- LIM-MIA\n- LA 2694 (13:30-19:35 hrs)","Habilitación B767\n- MIA-LIM\n- LA 2695 (16:10-22:00 hrs)","RESERVA IET\nTARDE","DO","Reva de Servicio\n(08:30-17:30 hrs)\nDÍA 1\nSVC DE TCS","DO","DO","DO","DO","LCK A320F\nLIM-CUZ-LIM\nLA 2007 (09:10-10:35 hrs)\nLA 2008 (11:20-12:55 hrs)\nLCK A320F\nLIM-CUZ-LIM\nLA 2232 (13:55-15:20 hrs)\nLA 2233 (15:55-17:35 hrs)","BIANUAL INSTRUCTOR\nLIM-AQP-LIM\nLA 2109 (10:30-12:00 hrs)\nLA 2108 (12:40-14:15 hrs)","REUNIÓN INSTRUCTORES","DO","DO","LCK A320F\nLIM-CUZ-LIM\nLA 2013 (08:40-10:00 hrs)\nLA 2014 (10:35-12:10 hrs)\nReentrenamiento A320F\nLIM-CIX-LIM\nLA 2270 (13:05-14:35 hrs)\nLA 2271 (15:10-16:30 hrs)","HO FILE","LCK A320F\nLIM-CUZ-LIM\nLA 2013 (08:40-10:00 hrs)\nLA 2014 (10:35-12:10 hrs)\nLCK A320F\nLIM-CIX-LIM\nLA 2270 (13:05-14:35 hrs)\nLA 2271 (15:10-16:30 hrs)","DESAYUNO SAB","LCK B767\n- LIM-SCL\n- LA 2413 (12:05-15:45 hrs)\nLCK B767\n- SCL-LIM\n- LA 2412 (17:10-21:00 hrs)","DO","DO","LCK A320F\nLIM-AQP-LIM\nLA 2123 (09:15-10:45 hrs)\nLA 2124 (11:30-13:05 hrs)\nLCK A320F\nLIM-CJA-LIM\nLA 2295 (14:10-15:30 hrs)\nLA 2294 (16:10-17:15 hrs)","Inicial G9\n(Apoyo)","Inicial G9\n(Apoyo)","Inicial G9\n(Apoyo)","LCK A320F\nLIM-CUZ-LIM\nLA 2007 (09:10-10:35 hrs)\nLA 2008 (11:20-12:55 hrs)\nLCK A320F\nLIM-CJA-LIM\nLA 2295 (14:10-15:30 hrs)\nLA 2294 (16:10-17:15 hrs)","DO","DO","REFUERZO REALIDAD VIRTUAL \nALUMNO"]},{"nombre":"Jefferson Mendez","dias":["DO","DO","LCK B767\n- LIM-MIA\n- LA 2698 (08:15-14:20 hrs)","Blanco","Habilitación B767\n- MIA-LIM\n- LA 2699 (23:15-05:00 hrs)","DO","DO","DO","DO","TALLER VOLUNTARIO DE SEGURIDAD","LCK A320F\nLIM-CUZ-LIM\nLA 2013 (08:40-10:00 hrs)\nLA 2014 (10:35-12:10 hrs)\nLCK A320F\nLIM-CIX-LIM\nLA 2270 (13:05-14:35 hrs)\nLA 2271 (15:10-16:30 hrs)","HANDS ON B767","Inicial G9\n(Apoyo)","REUNIÓN INSTRUCTORES","DO","DO","HANDS ON B767","LCK A320F\nLIM-CUZ-LIM\nLA 2013 (08:40-10:00 hrs)\nLA 2014 (10:35-12:10 hrs)\nLCK A320F\nLIM-CIX-LIM\nLA 2270 (13:05-14:35 hrs)\nLA 2271 (15:10-16:30 hrs)","HO FILE","LCK A320F\nLIM-CUZ-LIM\nLA 2007 (09:10-10:35 hrs)\nLA 2008 (11:10-12:45 hrs)","BIANUAL INSTRUCTOR\nLIM-AQP-LIM\nLA 2109 (10:30-12:00 hrs)\nLA 2108 (12:40-14:15 hrs)","DO","DO","RESERVA IET","Inicial G9\n(Apoyo)","Inicial G9\n(Apoyo)","LCK B767\n- LIM-SCL\n- LA 2413 (12:05-15:45 hrs)\nLCK B767\n- SCL-LIM\n- LA 2412 (17:10-21:00 hrs)","RESERVA IET\nTARDE","DO","DO","REFUERZO REALIDAD VIRTUAL \nALUMNO"],"bp":"3750335"},{"dias":["DO","DO","HO FILE","LCK A320F\nLIM-CUZ-LIM\nLA 2007 (09:10-10:35 hrs)\nLA 2008 (11:20-12:55 hrs)\nLCK A320F\nLIM-AQP-LIM\nLA 2055 (13:55-15:25 hrs)\nLA 2056 (16:10-17:50 hrs)","REFUERZO REALIDAD VIRTUAL \nALUMNO","DO","RTI: PRÁCTICA\nA320F / B767\n(08:30-17:30 hrs)\nINS TITULAR","VACACIONES","VACACIONES","VACACIONES","VACACIONES","VACACIONES","VACACIONES","VACACIONES","VACACIONES","VACACIONES","VACACIONES","VACACIONES","VACACIONES","VACACIONES","VACACIONES","VACACIONES","VACACIONES","LCK B767\n- LIM-MIA\n- LA 2694 (13:30-19:35 hrs)","Habilitación B767\n- MIA-LIM\n- LA 2695 (16:10-22:00 hrs)","RESERVA IET\nTARDE","LCK A320F\nLIM-CUZ-LIM\nLA 2007 (09:10-10:35 hrs)\nLA 2008 (11:10-12:45 hrs)\nLCK A320F\nLIM-AQP-LIM\nLA 2055 (14:00-15:30 hrs)\nLA 2056 (16:10-17:50 hrs)","RTI: PRÁCTICA\nA320F / B767\n(08:30-17:30 hrs)\nINS APOYO TM","DO","DO","Inicial G9\n(Apoyo)"],"nombre":"Gabriela Ungaro","bp":"3852423"},{"dias":["DO","DO","LCK A320F\nLIM-CUZ-LIM\nLA 2013 (08:40-10:00 hrs)\nLA 2014 (10:35-12:10 hrs)\nLCK A320F\nLIM-CIX-LIM\nLA 2270 (13:05-14:35 hrs)\nLA 2271 (15:10-16:30 hrs)","LCK ALUMNO","REFUERZO REALIDAD VIRTUAL \nALUMNO","DO","DO","DO","DO","LCK A320F\nLIM-CIX-LIM\nLA 2274 (09:35-11:10 hrs)\nLA 2275 (11:45-13:05 hrs)\nLCK A320F\nLIM-TPP-LIM\nLA 2087 (14:00-15:30 hrs)\nLA 2088 (16:05-17:30 hrs)","HO FILE","LCK A320F\nLIM-CUZ-LIM\nLA 2013 (08:40-10:00 hrs)\nLA 2014 (10:35-12:10 hrs)\nLCK A320F\nLIM-CIX-LIM\nLA 2270 (13:05-14:35 hrs)\nLA 2271 (15:10-16:30 hrs)","LCK B767\n- LIM-SCL\n- LA 2413 (12:05-15:45 hrs)\nLCK B767\n- SCL-LIM\n- LA 2412 (17:10-21:00 hrs)","REUNIÓN INSTRUCTORES\nTARDE","DO","DO","Inicial G9\n(Apoyo)","Reva de Servicio\n(08:30-17:30 hrs)\nDÍA 1\nSVC DE TCS","Blanco","LCK B767\n- LIM-MIA\n- LA 2480 (00:15-06:20 hrs)","PD\n- MIA-LIM\n- LA 2481 (15:55-21:40 hrs)","DO","DO","PREPARACIÓN IOSA 2026","PREPARACIÓN IOSA 2026","Recalificación A320F\nLIM-CUZ-LIM\nLA 2013 (08:40-10:00 hrs)\nLA 2014 (10:35-12:10 hrs)\nRecalificación A320F\nLIM-CUZ-LIM\nLA 2028 (13:25-14:50 hrs)\nLA 2029 (15:30-17:05 hrs)","RESERVA IET","Inicial G9\n(Apoyo)","DO","DO","Inicial G9\n(Apoyo)"],"bp":"2604360","nombre":"Mariella Carrasco"},{"nombre":"Cesar Campos","bp":"2823133","dias":["DO","DO","Inicial G9\n(Tutor)","Inicial G9\n(Tutor)","Inicial G9\n(Tutor)","DO","DO","DO","DO","LCK ALUMNO\nHAB","Inicial G9\n(Tutor)","Inicial G9\n(Tutor)","Inicial G9\n(Tutor)","REUNIÓN INSTRUCTORES","DO","DO","Inicial G9\n(Tutor)","Inicial G9\n(Tutor)","Inicial G9\n(Tutor)","RTI: PRÁCTICA\nA320F / B767\n(08:30-17:30 hrs)\nINS TM","RTI: PRÁCTICA\nA320F / B767\n(08:30-17:30 hrs)\nINS TITULAR","DO","DO","HAB WB","HAB WB","HAB WB","RTI: PRÁCTICA\nA320F / B767 / B787\n(08:30-17:30 hrs)\nAPOYO","Inicial G9\n(Tutor)","DO","DO","Inicial G9\n(Tutor)"]},{"bp":"3189967","nombre":"Kevin Segovia","dias":["DO","DO","HO FILE","RTI: VIRTUAL\nA320F / B767\n(08:30-17:30 hrs)\nINS TITULAR","REFUERZO REALIDAD VIRTUAL \nINSTRUCTOR","DO","Inicial G9\n(Tutor)","DO","DO","Inicial G9\n(Tutor)","RESERVA IET","RTI: VIRTUAL\nA320F / B767\n(08:30-17:30 hrs)\nINS TITULAR","RTI: PRÁCTICA\nA320F / B767 / B787\n(08:30-17:30 hrs)\nINS APOYO","DO","DO","VACACIONES","VACACIONES","VACACIONES","VACACIONES","VACACIONES","VACACIONES","VACACIONES","VACACIONES","VACACIONES","VACACIONES","VACACIONES","VACACIONES","VACACIONES","VACACIONES","VACACIONES","VACACIONES"]},{"dias":["DO","DO","Curso 50%","Curso 50%","Curso 50%","DO","DO","DO","DO","Curso 50%","Curso 50%","Curso 50%","RTI: PRÁCTICA\nA320F / B767 / B787\n(08:30-17:30 hrs)\nINS TM","REUNIÓN INSTRUCTORES","DO","DO","TALLER VOLUNTARIO DE SEGURIDAD","Curso 50%","HO FILE","RTI: PRÁCTICA\nA320F / B767\n(08:30-17:30 hrs)\nINS APOYO","RTI: PRÁCTICA\nA320F / B767\n(08:30-17:30 hrs)\nINS APOYO","DO","DO","TALLER VOLUNTARIO DE SEGURIDAD","RESERVA IET","RTI: VIRTUAL\nA320F / B767\n(08:30-17:30 hrs)\nINS TITULAR","LCK ALUMNO","RESERVA IET\nTARDE","DO","DO","RESERVA IET"],"nombre":"Milagros Salas","bp":"2415373"},{"nombre":"Judith Fernandez","bp":"2440915","dias":["VACACIONES","VACACIONES","VACACIONES","VACACIONES","VACACIONES","VACACIONES","VACACIONES","VACACIONES","VACACIONES","VACACIONES","VACACIONES","VACACIONES","VACACIONES","VACACIONES","VACACIONES","DO","HAB WB","HAB WB","HAB WB","Inicial G9\n(Tutor)","Inicial G9\n(Tutor)","DO","DO","TALLER VOLUNTARIO DE SEGURIDAD","Inicial G9\n(Tutor)","Inicial G9\n(Tutor)","Inicial G9\n(Tutor)","RTI: PRÁCTICA\nA320F / B767\n(08:30-17:30 hrs)\nINS TITULAR","DO","DO","HO FILE"]},{"bp":"3796947","dias":["SICK","SICK","SICK","SICK","SICK","SICK","SICK","SICK","SICK","SICK","SICK","SICK","SICK","SICK","SICK","SICK","SICK","SICK","SICK","SICK","SICK","SICK","SICK","SICK","SICK","SICK","SICK","SICK","SICK","SICK","SICK"],"nombre":"Rafael Nieto"},{"bp":"3841387","dias":["VACACIONES","VACACIONES","VACACIONES","VACACIONES","VACACIONES","VACACIONES","VACACIONES","DO","DO","RESERVA IET\nJESHUA","RESERVA IET\nJESHUA","RESERVA IET\nJESHUA","RTI: PRÁCTICA\nA320F / B767\n(08:30-17:30 hrs)\nINS TITULAR","REUNIÓN INSTRUCTORES","DO","DO","Curso 50%","RTI: VIRTUAL\nA320F / B767\n(08:30-17:30 hrs)\nINS TITULAR","RTI: VIRTUAL\nA320F / B767\n(08:30-17:30 hrs)\nINS TITULAR","RTI: PRÁCTICA\nA320F / B767\n(08:30-17:30 hrs)\nINS TITULAR","Reva de Servicio\n(08:30-17:30 hrs)\nDÍA 1\nSVC DE TCS","DO","DO","HO FILE","Reva de Servicio\n(08:30-17:30 hrs)\nDÍA 1\nSVC DE JSBS","Reva de Servicio\n(08:30-17:30 hrs)\nDÍA 1\nSVC DE JSBS","RESERVA IET","RTI: PRÁCTICA\nA320F / B767\n(08:30-17:30 hrs)\nINS APOYO","DO","DO","HAB A320F"],"nombre":"Gianfranco Celiz"}]}</t>
  </si>
  <si>
    <t>2026-09</t>
  </si>
  <si>
    <t>{"instructores":[{"nombre":"Fiorella Ruiz","bp":"2713993","dias":["LCK A320F\nLIM-CUZ-LIM\nLA 2013 (08:40-10:00 hrs)\nLA 2014 (10:40-12:15 hrs)\nLCK A320F\nLIM-CUZ-LIM\nLA 2028 (13:25-14:45 hrs)\nLA 2029 (15:30-17:05 hrs)","HO FILE","LCK B767\n- LIM-SCL\n- LA 2413 (12:05-15:45 hrs)\nLCK B767\n- SCL-LIM\n- LA 2412 (17:10-21:00 hrs)","RESERVA IET\nTARDE","FDS","FDS","LCK A320F\nLIM-CUZ-LIM\nLA 2013 (08:35-09:55 hrs)\nLA 2014 (10:40-12:15 hrs)\nLCK A320F\nLIM-CUZ-LIM\nLA 2028 (13:25-14:45 hrs)\nLA 2029 (15:30-17:05 hrs)","Blanco","LCK B767\n- LIM-MIA\n- LA 2480 (00:15-06:20 hrs)","PD\n- MIA-LIM\n- LA 2695 (16:10-22:00 hrs)","REUNIÓN INSTRUCTORES\nTARDE","FDS","FDS","AUDITORIA EN TIERRA PAU","LCK A320F\nLIM-CUZ-LIM\nLA 2007 (09:10-10:30 hrs)\nLA 2008 (11:20-12:55 hrs)\nLCK A320F\nLIM-CJA-LIM\nLA 2295 (14:10-15:30 hrs)\nLA 2294 (16:10-17:15 hrs)","RTI: PRÁCTICA\nA320F / B767 / B787\n(08:30-17:30 hrs)\nINS APOYO\nGRUPO 4","RTI: PRÁCTICA\nA320F / B767 / B787\n(08:30-17:30 hrs)\nINS APOYO\nGRUPO 4","LCK B767\n- LIM-SCL\n- LA 2413 (12:05-15:45 hrs)\nLCK B767\n- SCL-LIM\n- LA 2412 (17:10-21:00 hrs)","FDS","FDS","LCK B767\n- LIM-MIA\n- LA 2694 (13:30-19:35 hrs)","Blanco","PD\n- MIA-LIM\n- LA 2699 (23:15-05:00 hrs)","REU EMBAJADORES","LCK A320F\nLIM-CUZ-LIM\nLA 2013 (08:35-09:55 hrs)\nLA 2014 (10:40-12:15 hrs)\nLCK A320F\nLIM-CUZ-LIM\nLA 2028 (13:25-14:45 hrs)\nLA 2029 (15:30-17:05 hrs)","FDS","FDS","PREPARACIÓN AUDITORÍA IOSA CAB","PREPARACIÓN AUDITORÍA IOSA CAB","PREPARACIÓN AUDITORÍA IOSA CAB"]},{"bp":"2396710","nombre":"Sebastian Correa","dias":["VACACIONES","VACACIONES","VACACIONES","VACACIONES","VACACIONES","VACACIONES","VACACIONES","VACACIONES","VACACIONES","VACACIONES","VACACIONES","FDS","FDS","LCK B767\n- LIM-MIA\n- LA 2694 (13:30-19:35 hrs)","Blanco","PD\n- MIA-LIM\n- LA 2699 (23:15-05:00 hrs)","RTI: PRÁCTICA\nA320F / B767 / B787\n(08:30-17:30 hrs)\nINS APOYO TM\nGRUPO 4","LCK A320F + Habilitación A320F\nLIM-CUZ-LIM\nLA 2013 (08:35-09:55 hrs)\nLA 2014 (10:40-12:15 hrs)\nLCK A320F\nLIM-CUZ-LIM\nLA 2028 (13:25-14:45 hrs)\nLA 2029 (15:30-17:05 hrs)","FDS","FDS","LCK B787\n- LIM-SCL\n- LA 2697 (09:35-13:00 hrs)\nHabilitación B787\n- SCL-LIM\n- LA 2696 (16:00-19:45 hrs)","HO FILE\nTARDE","Ditching Presencial A320F + HANDS ON\nTripulación de Mando\nLP\n(08:30-17:30 hrs)","LCK B787\n- LIM-SCL\n- LA 2697 (09:35-13:00 hrs)\nLCK B787\n- SCL-LIM\n- LA 2696 (16:00-19:45 hrs)","HO FILE\nTARDE","FDS","FDS","LCK B787\n- LIM-SCL\n- LA 2697 (09:35-13:00 hrs)\nLCK B787\n- SCL-LIM\n- LA 2696 (16:00-19:45 hrs)","RESERVA IET\nTARDE","LCK A320F\nLIM-CUZ-LIM\nLA 2013 (08:35-09:55 hrs)\nLA 2014 (10:40-12:15 hrs)\nLCK A320F\nLIM-CUZ-LIM\nLA 2028 (13:25-14:45 hrs)\nLA 2029 (15:30-17:05 hrs)"]},{"nombre":"Christian Rondon","dias":["REALIDAD VIRTUAL","HO FILE","LCK A320F\nLIM-CUZ-LIM\nLA 2013 (08:35-09:55 hrs)\nLA 2014 (10:40-12:15 hrs)\nLCK A320F + Habilitación A320F\nLIM-CUZ-LIM\nLA 2028 (13:25-14:45 hrs)\nLA 2029 (15:30-17:05 hrs)","Reva de Servicio\n(08:30-17:30 hrs)\nDÍA 1\nSVC DE TCS","FDS","FDS","LCK B787\n- LIM-SCL\n- LA 2697 (09:35-13:00 hrs)\nHabilitación B787\n- SCL-LIM\n- LA 2696 (16:00-19:45 hrs)","RESERVA IET\nTARDE","LCK B787\n- LIM-SCL\n- LA 2697 (09:35-13:00 hrs)\nLCK B787\n- SCL-LIM\n- LA 2696 (16:00-19:45 hrs)","RESERVA IET\nTARDE","REUNIÓN INSTRUCTORES","FDS","FDS","VACACIONES","VACACIONES","VACACIONES","VACACIONES","VACACIONES","VACACIONES","VACACIONES","VACACIONES","VACACIONES","VACACIONES","VACACIONES","VACACIONES","VACACIONES","VACACIONES","VACACIONES","VACACIONES","VACACIONES"],"bp":"1271571"},{"nombre":"Karen Santa Cruz","dias":["REALIDAD VIRTUAL","LCK A320F\nLIM-CUZ-LIM\nLA 2013 (08:40-10:00 hrs)\nLA 2014 (10:40-12:15 hrs)\nLCK A320F\nLIM-CUZ-LIM\nLA 2028 (13:25-14:45 hrs)\nLA 2029 (15:30-17:05 hrs)","RESERVA IET","EXAMEN TEÓRICO DGAC 787","DO","DO","DO","DO","HO FILE","RESERVA IET","REUNIÓN INSTRUCTORES","DO","DO","CLASE MODELO B787","LCK A320F\nLIM-PIU-LIM\nLA 2306 (09:30-11:15 hrs)\nLA 2307 (11:55-13:25 hrs)\nLCK A320F\nLIM-PEM-LIM\nLA 2264 (14:55-16:40 hrs)\nLA 2265 (17:20-18:55 hrs)","Blanco","CHEQUEO BI ANUAL INST B767\n- LIM-MIA\n- LA 2480 (00:15-06:20 hrs)","CHEQUEO BI ANUAL INST B767\n- MIA-LIM\n- LA 2481 (15:55-21:40 hrs)","DO","DO","TALLER VOLUNTARIO DE SEGURIDAD","Blanco","LCK B767\n- LIM-MIA\n- LA 2480 (00:15-06:20 hrs)","PD\n- MIA-LIM\n- LA 2695 (16:10-22:00 hrs)","RESERVA IET\nTARDE","DO","DO","PREPARACIÓN AUDITORÍA IOSA CAB","PREPARACIÓN AUDITORÍA IOSA CAB","PREPARACIÓN AUDITORÍA IOSA CAB"],"bp":"2843319"},{"nombre":"Jennifert Acurio","bp":"3779550","dias":["HO FILE","LCK A320F\nLIM-PIU-LIM\nLA 2306 (09:30-11:15 hrs)\nLA 2307 (11:55-13:25 hrs)\nLCK A320F\nLIM-CUZ-LIM\nLA 2022 (14:30-15:50 hrs)\nLA 2025 (16:35-18:10 hrs)","RESERVA IET","EXAMEN TEÓRICO DGAC 787","DO","DO","LCK B767\n- LIM-MIA\n- LA 2694 (13:30-19:35 hrs)","Blanco","PD\n- MIA-LIM\n- LA 2699 (23:15-05:00 hrs)","CLASE MODELO B787","REUNIÓN INSTRUCTORES","DO","DO","Blanco","LCK B767\n- LIM-MIA\n- LA 2480 (00:15-06:20 hrs)","PD\n- MIA-LIM\n- LA 2481 (15:55-21:40 hrs)","RESERVA IET\nTARDE","Inicial G9","DO","DO","TALLER VOLUNTARIO DE SEGURIDAD","LCK A320F\nLIM-CUZ-LIM\nLA 2007 (09:10-10:30 hrs)\nLA 2008 (11:20-12:55 hrs)\nLCK A320F + Habilitación A320F\nLIM-CJA-LIM\nLA 2295 (14:10-15:30 hrs)\nLA 2294 (16:10-17:15 hrs)","EXP RECIENTE B787","RESERVA IET\nTARDE","DO","DO","DO","DO","Blanco","LCK B767\n- LIM-MIA\n- LA 2480 (00:15-06:20 hrs)"]},{"dias":["HO FILE","RESERVA IET","RESERVA IET","EXAMEN TEÓRICO DGAC 787","DO","DO","DO","DO","LCK A320F\nLIM-CUZ-LIM\nLA 2013 (08:35-09:55 hrs)\nLA 2014 (10:40-12:15 hrs)\nLCK A320F\nLIM-CUZ-LIM\nLA 2028 (13:25-14:45 hrs)\nLA 2029 (15:30-17:05 hrs)","RESERVA IET","REUNIÓN INSTRUCTORES","DO","DO","CLASE MODELO B787","Blanco","LCK B767\n- LIM-MIA\n- LA 2480 (00:15-06:20 hrs)","PD\n- MIA-LIM\n- LA 2695 (16:10-22:00 hrs)","RESERVA IET\nTARDE","DO","DO","LCK A320F\nLIM-CUZ-LIM\nLA 2007 (09:10-10:30 hrs)\nLA 2008 (11:20-12:55 hrs)\nLCK A320F\nLIM-TPP-LIM\nLA 2087 (14:05-15:30 hrs)\nLA 2088 (16:05-17:30 hrs)","Blanco","CHEQUEO RENOVACIÓN IDE B767\n- LIM-MIA\n- LA 2480 (00:15-06:20 hrs)","CHEQUEO RENOVACIÓN IDE B767\n- MIA-LIM\n- LA 2695 (16:10-22:00 hrs)","RESERVA IET\nTARDE","DO","DO","LCK A320F\nLIM-CUZ-LIM\nLA 2013 (08:35-09:55 hrs)\nLA 2014 (10:40-12:15 hrs)\nLCK A320F\nLIM-CUZ-LIM\nLA 2028 (13:25-14:45 hrs)\nLA 2029 (15:30-17:05 hrs)","LCK A320F\nLIM-CIX-LIM\nLA 2274 (09:35-11:05 hrs)\nLA 2275 (11:45-13:05 hrs)\nLCK A320F\nLIM-CJA-LIM\nLA 2295 (14:10-15:30 hrs)\nLA 2294 (16:10-17:15 hrs)","Reva de Servicio\n(08:30-17:30 hrs)\nDÍA 1\nSVC DE JSBS"],"bp":"29530","nombre":"Jazmin Guerra"},{"nombre":"Claudia Flores","dias":["HO FILE","RESERVA IET","RESERVA IET","EXAMEN TEÓRICO DGAC 787","DO","DO","RESERVA IET","LCK A320F\nLIM-CUZ-LIM\nLA 2013 (08:35-09:55 hrs)\nLA 2014 (10:40-12:15 hrs)\nLCK A320F\nLIM-CUZ-LIM\nLA 2028 (13:25-14:45 hrs)\nLA 2029 (15:30-17:05 hrs)","LCK A320F\nLIM-CIX-LIM\nLA 2274 (09:35-11:05 hrs)\nLA 2275 (11:45-13:05 hrs)\nLCK A320F + Habilitación A320F\nLIM-CJA-LIM\nLA 2295 (14:10-15:30 hrs)\nLA 2294 (16:10-17:15 hrs)","CLASE MODELO B787","REUNIÓN INSTRUCTORES","DO","DO","AUDITORIA EN TIERRA PAU","RESERVA IET","VACACIONES","VACACIONES","VACACIONES","VACACIONES","VACACIONES","VACACIONES","VACACIONES","VACACIONES","VACACIONES","VACACIONES","VACACIONES","VACACIONES","VACACIONES","VACACIONES","VACACIONES"],"bp":"3217561"},{"nombre":"Karla Moz","dias":["LP","LP","LP","LP","LP","LP","LP","LP","LP","LP","LP","LP","LP","LP","LP","LP","LP","LP","LP","LP","LP","LP","LP","LP","LP","LP","LP","LP","LP","LP"],"bp":"71348"},{"nombre":"Erika Dávila","bp":"967092","dias":["HO FILE","Reva de Servicio\n(08:30-17:30 hrs)\nDÍA 1\nSVC DE TCS","Reva de Servicio\n(08:30-17:30 hrs)\nDÍA 1\nSVC DE TCS","Inicial G10","DO","DO","DO","DO","RTI: PRÁCTICA\nA320F / B767\n(08:30-17:30 hrs)\nINS APOYO\nGRUPO 2","LCK B767\n- LIM-SCL\n- LA 2413 (12:05-15:45 hrs)\nLCK B767\n- SCL-LIM\n- LA 2412 (17:10-21:00 hrs)","REUNIÓN INSTRUCTORES\nTARDE","DO","DO","Situaciones de Emergencia A320F\nTripulación de Mando\nLP\n(08:30-17:30 hrs)","Ditching Presencial A320F + HANDS ON\nTripulación de Mando\nLP\n(08:30-17:30 hrs)","RTI: PRÁCTICA\nA320F / B767 / B787\n(08:30-17:30 hrs)\nINS TITULAR\nGRUPO 4","RTI: PRÁCTICA\nA320F / B767 / B787\n(08:30-17:30 hrs)\nINS TITULAR\nGRIPO 4","RTI: PRÁCTICA\nA320F / B767\n(08:30-17:30 hrs)\nINS APOYO\nGRUPO 5","DO","DO","CURSO ASCENSO","CURSO ASCENSO","CURSO ASCENSO","CURSO ASCENSO","HANDS ON B787","DO","DO","LCK ALUMNO","RESERVA IET\nTARDE","RESERVA IET"]},{"bp":"2369641","nombre":"Elizabeth Torres","dias":["Blanco","LCK B767\n- LIM-MIA\n- LA 2480 (00:15-06:20 hrs)","PD\n- MIA-LIM\n- LA 2695 (16:10-22:00 hrs)","RESERVA IET\nTARDE","DO","DO","HO FILE","RESERVA IET","CURSO FORMACIÓN FACILICTADORES CRM","CURSO FORMACIÓN FACILICTADORES CRM","REUNIÓN INSTRUCTORES","DO","DO","Inicial G10","CUMP","VACACIONES","VACACIONES","VACACIONES","VACACIONES","VACACIONES","VACACIONES","VACACIONES","VACACIONES","VACACIONES","VACACIONES","VACACIONES","VACACIONES","VACACIONES","VACACIONES","VACACIONES"]},{"nombre":"Patricia Najar","dias":["VACACIONES","VACACIONES","VACACIONES","VACACIONES","VACACIONES","VACACIONES","VACACIONES","HO FILE","Inicial G9","LCK B767\n- LIM-SCL\n- LA 2413 (12:05-15:45 hrs)\nLCK B767\n- SCL-LIM\n- LA 2412 (17:10-21:00 hrs)","REUNIÓN INSTRUCTORES\nTARDE","DO","DO","AUDITORIA EN TIERRA PAU","Inicial G9","Inicial G9","LCK B767\n- LIM-SCL\n- LA 2413 (12:05-15:45 hrs)\nLCK B767\n- SCL-LIM\n- LA 2412 (17:10-21:00 hrs)","RESERVA IET\nTARDE","DO","DO","LCK A320F\nLIM-CIX-LIM\nLA 2274 (09:35-11:05 hrs)\nLA 2275 (11:45-13:05 hrs)\nLCK A320F\nLIM-CJA-LIM\nLA 2295 (14:10-15:30 hrs)\nLA 2294 (16:10-17:15 hrs)","Chequeo DGAC B767\nAvión Energizado","Blanco","LCK B767\n- LIM-MIA\n- LA 2480 (00:15-06:20 hrs)","PD\n- MIA-LIM\n- LA 2481 (15:55-21:40 hrs)","DO","DO","PREPARACIÓN AUDITORÍA IOSA CAB","PREPARACIÓN AUDITORÍA IOSA CAB","PREPARACIÓN AUDITORÍA IOSA CAB"],"bp":"2369624"},{"bp":"3134911","nombre":"Javier Zapata","dias":["LCK A320F\nLIM-CIX-LIM\nLA 2274 (09:35-11:05 hrs)\nLA 2275 (11:45-13:05 hrs)\nLCK A320F\nLIM-CJA-LIM\nLA 2295 (14:10-15:30 hrs)\nLA 2294 (16:10-17:15 hrs)","HO FILE","LCK A320F\nLIM-CUZ-LIM\nLA 2007 (09:10-10:30 hrs)\nLA 2008 (11:20-12:55 hrs)\nLCK A320F\nLIM-TPP-LIM\nLA 2087 (14:05-15:30 hrs)\nLA 2088 (16:05-17:30 hrs)","LCK B767\n- LIM-SCL\n- LA 2413 (12:05-15:45 hrs)\nLCK B767\n- SCL-LIM\n- LA 2412 (17:10-21:00 hrs)","DO","DO","TALLER VOLUNTARIO DE SEGURIDAD","LCK A320F\nLIM-CUZ-LIM\nLA 2007 (09:10-10:30 hrs)\nLA 2008 (11:20-12:55 hrs)\nLCK A320F\nLIM-CJA-LIM\nLA 2295 (14:10-15:30 hrs)\nLA 2294 (16:10-17:15 hrs)","RTI: PRÁCTICA\nA320F / B767\n(08:30-17:30 hrs)\nINS APOYO TM\nGRUPO 2","Inicial G9","REUNIÓN INSTRUCTORES","DO","DO","Inicial G9","Inicial G9","Inicial G10","LCK B767\n- LIM-SCL\n- LA 2413 (12:05-15:45 hrs)\nLCK B767\n- SCL-LIM\n- LA 2412 (17:10-21:00 hrs)","RESERVA IET\nTARDE","DO","DO","DO","DO","LCK A320F + Habilitación A320F\nLIM-CUZ-LIM\nLA 2007 (09:10-10:30 hrs)\nLA 2008 (11:20-12:55 hrs)\nLCK A320F\nLIM-CUZ-LIM\nLA 2232 (13:55-15:15 hrs)\nLA 2233 (15:55-17:35 hrs)","LCK B767\n- LIM-SCL\n- LA 2413 (12:05-15:45 hrs)\nLCK B767\n- SCL-LIM\n- LA 2412 (17:10-21:00 hrs)","RESERVA IET\nTARDE","DO","DO","LCK B767\n- LIM-MIA\n- LA 2698 (08:15-14:20 hrs)","Blanco","PD\n- MIA-LIM\n- LA 2699 (23:15-05:00 hrs)"]},{"dias":["HO FILE","Blanco","LCK B767\n- LIM-MIA\n- LA 2480 (00:15-06:20 hrs)","PD\n- MIA-LIM\n- LA 2481 (15:55-21:40 hrs)","DO","DO","Inicial G9","VACACIONES","VACACIONES","VACACIONES","VACACIONES","VACACIONES","VACACIONES","VACACIONES","VACACIONES","Inicial G9","LCK A320F\nLIM-CUZ-LIM\nLA 2013 (08:35-09:55 hrs)\nLA 2014 (10:40-12:15 hrs)\nLCK A320F\nLIM-CUZ-LIM\nLA 2028 (13:25-14:45 hrs)\nLA 2029 (15:30-17:05 hrs)","RTI: PRÁCTICA\nA320F / B767\n(08:30-17:30 hrs)\nINS APOYO TM\nGRUPO 5","DO","DO","Blanco","LCK B767\n- LIM-MIA\n- LA 2480 (00:15-06:20 hrs)","Habilitación B767\n- MIA-LIM\n- LA 2481 (15:55-21:40 hrs)","RESERVA IET\nTARDE","RTI: PRÁCTICA\nA320F / B767\n(08:30-17:30 hrs)\nINS APOYO TM\nGRUPO 6","DO","DO","LCK A320F\nLIM-CIX-LIM\nLA 2274 (09:35-11:05 hrs)\nLA 2275 (11:45-13:05 hrs)\nLCK A320F\nLIM-CJA-LIM\nLA 2295 (14:10-15:30 hrs)\nLA 2294 (16:10-17:15 hrs)","Reva de Servicio\n(08:30-17:30 hrs)\nDÍA 1\nSVC DE TCS","LCK A320F\nLIM-CUZ-LIM\nLA 2007 (09:10-10:30 hrs)\nLA 2008 (11:20-12:55 hrs)\nLCK A320F\nLIM-CUZ-LIM\nLA 2232 (13:55-15:15 hrs)\nLA 2233 (15:55-17:35 hrs)"],"nombre":"Jefferson Mendez","bp":"3750335"},{"nombre":"Gabriela Ungaro","dias":["HO FILE","LCK A320F\nLIM-CUZ-LIM\nLA 2007 (09:10-10:30 hrs)\nLA 2008 (11:20-12:55 hrs)\nLCK A320F\nLIM-CUZ-LIM\nLA 2232 (13:55-15:15 hrs)\nLA 2233 (15:55-17:35 hrs)","RESERVA IET","Inicial G9","DO","DO","LCK A320F\nLIM-CIX-LIM\nLA 2274 (09:35-11:05 hrs)\nLA 2275 (11:45-13:05 hrs)\nLCK A320F\nLIM-CJA-LIM\nLA 2295 (14:10-15:30 hrs)\nLA 2294 (16:10-17:15 hrs)","Inicial G9","RTI: PRÁCTICA\nA320F / B767\n(08:30-17:30 hrs)\nINS TITULAR\nGRUPO 2","RTI: PRÁCTICA\nA320F / B767\n(08:30-17:30 hrs)\nINS APOYO\nGRUPO 3","REUNIÓN INSTRUCTORES","DO","DO","Inicial G9","Inicial G9","RTI: VIRTUAL\nA320F / B767\n(08:30-17:30 hrs)\nINS TITULAR\nGRUPO 5","LCK A320F\nLIM-CIX-LIM\nLA 2274 (09:35-11:05 hrs)\nLA 2275 (11:45-13:05 hrs)\nLCK A320F\nLIM-CIX-LIM\nLA 2282 (14:35-16:05 hrs)\nLA 2283 (16:50-18:10 hrs)","RTI: PRÁCTICA\nA320F / B767\n(08:30-17:30 hrs)\nINS TITULAR\nGRUPO 5","DO","DO","DO","DO","Inicial G10","LCK A320F\nLIM-CUZ-LIM\nLA 2013 (08:35-09:55 hrs)\nLA 2014 (10:40-12:15 hrs)\nLCK A320F\nLIM-CUZ-LIM\nLA 2028 (13:25-14:45 hrs)\nLA 2029 (15:30-17:05 hrs)","LCK B767\n- LIM-SCL\n- LA 2413 (12:05-15:45 hrs)\nLCK B767\n- SCL-LIM\n- LA 2412 (17:10-21:00 hrs)","DO","DO","Blanco","LCK B767\n- LIM-MIA\n- LA 2480 (00:15-06:20 hrs)","PD\n- MIA-LIM\n- LA 2481 (15:55-21:40 hrs)"],"bp":"3852423"},{"dias":["AUDITORÍA\nLIM-MEX-LIM\nLA 2472 (08:45-14:50 hrs)","AUDITORÍA\nLIM-MEX-LIM\nLA 2471 (16:10-22:05 hrs)","RESERVA IET\nTARDE","Inicial G9","DO","DO","Blanco","LCK B767\n- LIM-MIA\n- LA 2480 (00:15-06:20 hrs)","PD\n- MIA-LIM\n- LA 2481 (15:55-21:40 hrs)","RESERVA IET\nTARDE","REUNIÓN INSTRUCTORES","DO","DO","AUDITORIA EN TIERRA PAU","RESERVA IET","VACACIONES","VACACIONES","VACACIONES","VACACIONES","VACACIONES","VACACIONES","VACACIONES","VACACIONES","VACACIONES","VACACIONES","VACACIONES","VACACIONES","VACACIONES","VACACIONES","VACACIONES"],"bp":"2604360","nombre":"Mariella Carrasco"},{"bp":"2823133","nombre":"Cesar Campos","dias":["REALIDAD VIRTUAL\nINS","Inicial G9","HO FILE","RTI: PRÁCTICA\nA320F / B767\n(08:30-17:30 hrs)\nINS APOYO\nGRUPO 1","DO","DO","Inicial G9","Inicial G9","Inicial G9","Inicial G10","REUNIÓN INSTRUCTORES","DO","DO","DO","DO","Blanco","CHEQUEO BI ANUAL INST B767\n- LIM-MIA\n- LA 2480 (00:15-06:20 hrs)","CHEQUEO BI ANUAL INST B767\n- MIA-LIM\n- LA 2481 (15:55-21:40 hrs)","DO","DO","CERTIFICACIÓN PRIMEROS AUXILIOS","Inicial G9","RTI: VIRTUAL\nA320F / B767\n(08:30-17:30 hrs)\nINS TITULAR\nGRUPO 6","Inicial G9","RTI: PRÁCTICA\nA320F / B767\n(08:30-17:30 hrs)\nINS TITULAR\nGRUPO 6","DO","DO","Inicial G9","HANDS ON B767","RESERVA IET"]},{"nombre":"Kevin Segovia","bp":"3189967","dias":["VACACIONES","VACACIONES","VACACIONES","VACACIONES","VACACIONES","VACACIONES","VACACIONES","VACACIONES","VACACIONES","VACACIONES","VACACIONES","VACACIONES","VACACIONES","VACACIONES","VACACIONES","VACACIONES","VACACIONES","VACACIONES","DO","DO","CERTIFICACIÓN PRIMEROS AUXILIOS","EXP RECIENTE A320","EXP RECIENTE B767","EXP RECIENTE B767","EXP RECIENTE B767","DO","DO","PREPARACIÓN AUDITORÍA IOSA CAB","PREPARACIÓN AUDITORÍA IOSA CAB","PREPARACIÓN AUDITORÍA IOSA CAB"]},{"dias":["LCK ALUMNO + HAB","RTI: VIRTUAL  \nA320F / B767\n(08:30-17:30 hrs)\nINS TITULAR\nGRUPO 1","Inicial G10","RTI: PRÁCTICA\nA320F / B767\n(08:30-17:30 hrs)\nINS TITULAR\nGRUPO 1","DO","DO","Inicial G10","Inicial G10","Inicial G10","RTI: PRÁCTICA\nA320F / B767\n(08:30-17:30 hrs)\nINS TITULAR\nGRUPO 3","REUNIÓN INSTRUCTORES","DO","DO","TALLER VOLUNTARIO DE SEGURIDAD","Inicial G10","Blanco","CHEQUEO BI ANUAL INST B767\n- LIM-MIA\n- LA 2480 (00:15-06:20 hrs)","CHEQUEO BI ANUAL INST B767\n- MIA-LIM\n- LA 2481 (15:55-21:40 hrs)","DO","DO","DO","DO","Inicial G10","Inicial G10","Inicial G10","DO","DO","Inicial G10","Inicial G10","Inicial G10"],"bp":"2415373","nombre":"Milagros Salas"},{"nombre":"Judith Fernandez","dias":["HO FILE","Inicial G9","RESERVA IET","RTI: PRÁCTICA\nA320F / B767\n(08:30-17:30 hrs)\nINS APOYO TM\nGRUPO 1","DO","DO","Inicial G9","Inicial G9","Inicial G9","Inicial G9","REUNIÓN INSTRUCTORES","DO","DO","TALLER VOLUNTARIO DE SEGURIDAD","HANDS ON B767","RESERVA IET","EXP RECIENTE A320","Reentrenamiento B767\n- LIM-SCL\n- LA 2413 (12:05-15:45 hrs)\nLCK B767\n- SCL-LIM\n- LA 2412 (17:10-21:00 hrs)","DO","DO","Inicial G9","Reva de Servicio\n(08:30-17:30 hrs)\nDÍA 1\nSVC DE TCS","Inicial G9","Inicial G9","RESERVA IET","DO","DO","DO","DO","RESERVA IET"],"bp":"2440915"},{"bp":"3796947","nombre":"Rafael Nieto","dias":["SICK","SICK","SICK","SICK","SICK","SICK","SICK","SICK","SICK","SICK","REUNIÓN INSTRUCTORES","SICK","SICK","SICK","SICK","SICK","SICK","SICK","SICK","SICK","SICK","SICK","SICK","SICK","SICK","SICK","SICK","SICK","SICK","SICK"]},{"dias":["Reva de Servicio\n(08:30-17:30 hrs)\nDÍA 1\nSVC DE TCS","HO FILE","LCK B767\n- LIM-SCL\n- LA 2413 (12:05-15:45 hrs)\nLCK B767\n- SCL-LIM\n- LA 2412 (17:10-21:00 hrs)","RESERVA IET\nTARDE","DO","DO","TALLER VOLUNTARIO DE SEGURIDAD","RTI: VIRTUAL\nA320F / B767\n(08:30-17:30 hrs)\nINS TITULAR\nGRUPO 2","RTI: VIRTUAL\nA320F / B767\n(08:30-17:30 hrs)\nINS TITULAR\nGRUPO 3","RTI: PRÁCTICA\nA320F / B767\n(08:30-17:30 hrs)\nINS APOYO TM\nGRUPO 3","REUNIÓN INSTRUCTORES","DO","DO","Inicial G9","RTI: VIRTUAL\nA320F / B767 / B787\n(08:30-17:30 hrs)\nINS TITULAR\nGRUPO 4","Blanco","CHEQUEO BI ANUAL INST B767\n- LIM-MIA\n- LA 2480 (00:15-06:20 hrs)","CHEQUEO BI ANUAL INST B767\n- MIA-LIM\n- LA 2481 (15:55-21:40 hrs)","DO","DO","CERTIFICACIÓN PRIMEROS AUXILIOS","Situaciones de Emergencia A320F\nTripulación de Mando\nLP\n(08:30-17:30 hrs)","LCK ALUMNO + HAB","Reva de Servicio\n(08:30-17:30 hrs)\nDÍA 1\nSVC DE TCS","RTI: PRÁCTICA\nA320F / B767\n(08:30-17:30 hrs)\nINS APOYO\nGRUPO 6","DO","DO","DO","DO","RESERVA IET"],"bp":"3841387","nombre":"Gianfranco Celiz"}],"fuente":"Rol_Instructores_LP_OCTUBRE_old.xlsx","mes":"2026-09","hoja":"ROL INS"}</t>
  </si>
  <si>
    <t>2026-10</t>
  </si>
  <si>
    <t>{"mes":"2026-10","hoja":"ROL INS","fuente":"10 - Rol_Instructores_LP_OCTUBRE_1.xlsx","instructores":[{"bp":"2713993","dias":["IOSA","IOSA","FDS","FDS","VACACIONES","VACACIONES","VACACIONES","VACACIONES","VACACIONES","VACACIONES","VACACIONES","VACACIONES","VACACIONES","VACACIONES","VACACIONES","VACACIONES","VACACIONES","VACACIONES","VACACIONES","VACACIONES","VACACIONES","VACACIONES","VACACIONES","FDS","FDS","VACACIONES","VACACIONES","VACACIONES","VACACIONES","VACACIONES","VACACIONES"],"nombre":"Fiorella Ruiz"},{"dias":["RESERVA IET  \n(09:30 - 17:30 pm)","LCK A320F\nLIM-CUZ-LIM\nLA 2007(10:30:40-10:00 hrs)\nLA 2008(10:40-12:15 hrs)\nLCK A320F\nLIM-CIX-LIM\nLA 2152(13:25-14:45 hrs)\nLA 2153(15:30-17:05 hrs)","FDS","FDS","Blanco","LCK B767\n- LIM-MIA\n- LA 2480 (00:15-06:20 hrs)","LCK B767\n- MIA-LIM\n- LA 2481 (15:55-21:40 hrs)","FERIADO","REUNIÓN INSTRUCTORES","FDS","FDS","Blanco","LCK B767\n- LIM-MIA\n- LA 2480 (00:15-06:20 hrs)","LCK B767\n- MIA-LIM\n- LA 2481 (15:55-21:40 hrs)","HO FILE TARDE","CURSO B787","FDS","FDS","Inicial G10","DITCHING B787","LCK A320F\nLIM-CUZ-LIM\n(LA 2007 - LA 2008)","HO FILE TARDE","LCK A320F\nLIM-CUZ-LIM\n(LA 2007 - LA 2008)\nLCK A320F\nLIM-TPP-LIM\n(LA 2087 -LA 2088)","FDS","FDS","CURSO B787","LCK B787\n- LIM-SCL\n- LA 2697 (09:35-13:00 hrs)\nLCK B787 \n- SCL-LIM\n- LA 2696 (16:00-19:45 hrs)","HO FILE TARDE","RTI: PRÁCTICA\nA320F / B767 / B787\n(08:30-17:30 hrs)\nINS TITULAR B787\nGRUPO 5","LCK B787 ALUMNO (CST)\n- LIM-SCL\n- LA 2697 (09:35-13:00 hrs)\nLCK B787 ALUMNO (CST)\n- SCL-LIM\n- LA 2696 (16:00-19:45 hrs)","DO"],"bp":"2396710","nombre":"Sebastian Correa"},{"dias":["VACACIONES","VACACIONES","VACACIONES","VACACIONES","VACACIONES","VACACIONES","VACACIONES","VACACIONES","VACACIONES","VACACIONES","VACACIONES","VACACIONES","VACACIONES","VACACIONES","VACACIONES","VACACIONES","VACACIONES","VACACIONES","HB6\nCurso B767\n(08:30-17:30hrs)","LCK B787\n- LIM-SCL\n- LA 2697 (09:35-13:00 hrs)\nLCK B787\n- SCL-LIM\n- LA 2696 (16:00-19:45 hrs)","Blanco","LCK B767\n- LIM-MIA\n- LA 2480 (00:15-06:20 hrs)","LCK B767\n- MIA-LIM\n- LA 2481 (15:55-21:40 hrs)","FDS","FDS","Reentrenamiento \n- LIM-SCL\n- LA 2697 (09:35-13:00 hrs)\n Habilitación B787\n- SCL-LIM\n- LA 2696 (16:00-19:45 hrs)","HO FILE TARDE","RTI: VIRTUAL\nA320F / B767\n(08:30-17:30 hrs)\nINS TITULAR\nGRUPO 6","RTI: PRÁCTICA\nA320F / B767 / B787\n(08:30-17:30 hrs)\nINS APOYO \nGRUPO 5","LCK B787\n- LIM-SCL\n- LA 2697 (09:35-13:00 hrs)\nPD *B787\n- SCL-LIM\n- LA 2696 (16:00-19:45 hrs)","DO"],"nombre":"Christian Rondon","bp":"1271571"},{"bp":"2843319","dias":["IOSA","IOSA","DO","DO","BACK UP JB","BACK UP JB\n-\nClase Modelo B787","LCK A320F\nLIM-TRU-LIM\nLA 2045 (10:30:40-10:00 hrs)\nLA 2046 (10:40-12:15 hrs)","VACACIONES","VACACIONES","VACACIONES","VACACIONES","VACACIONES","VACACIONES","VACACIONES","VACACIONES","VACACIONES","VACACIONES","VACACIONES","VACACIONES","VACACIONES","VACACIONES","VACACIONES","VACACIONES","DO","DO","LCK A320F\nLIM-PIU-LIM\nLA 2316 (10:30:40-10:00 hrs)\nLA 2317(10:40-12:15 hrs)","HAB B787 CST","CURSO 50%","LCK A320F\nLIM-AQP-LIM\n(LA 2123 -LA 2124)\nLCK A320F\nLIM-CJA-LIM\n(LA 2295 -LA 2294)","CHEQUEO DGAC INSTRUCTOR B787 - POI\nAvión Energizado","DO"],"nombre":"Karen Santa Cruz"},{"nombre":"Jennifert Acurio","dias":["Habilitación *\n- MIA-LIM\n- LA 2695(22:30 17:30 hrs)","RESERVA IET TARDE (15:00 - 17:30 pm)","DO","DO","LCK B767\n- LIM-MIA\n- LA2698 (08:15-15:20 hrs)","Habilitación B767\n- MIA-LIM\n- LA 2695(15:55-21:40 hrs)","RESERVA IET TARDE \n(14:00 - 17:30 )","FERIADO","REUNIÓN INSTRUCTORES\n-\nClase Modelo B787","DO","DO","LCK B767\n- LIM-MIA\n- LA 2694 (13:30-19:35 hrs)","Blanco","LCK B767\n- MIA-LIM\n- LA 2699 (23:15-05:00 hrs)","LCK B767\n- LIM-SCL\n- LA 2413 (12:05-15:45 hrs)\nLCK B767\n- SCL-LIM\n- LA 2412","RESERVA IET TARDE \n(15:00 - 17:30 pm)","DO","DO","DITCHING B767","LCK B767\n- LIM-MIA\n- LA 2480","LCK B767\n- MIA-LIM\n- LA 2481","DO","DO","DO","DO","Chequeo INS LATAM\n- LIM-SCL\n- LA 2697 (09:35-13:00 hrs)\n \n- SCL-LIM\n- LA 2696 (16:00-19:45 hrs)","CURSO ESTANDARIZACIÓN AM/ PM  (09.00 - 17:30)","INICIAL G12","LCK A320F\nLIM-CJA-LIM\nLA 2350(10:30:40-10:00 hrs)\nLA 2351 (10:40-12:15 hrs)\nLCK A320F\nLIM-TRU-LIM\nLA 2131(13:25-14:45 hrs)\nLA 2132 (15:30-17:05 hrs)","CHEQUEO DGAC INSTRUCTOR B787 - POI\nAvión Energizado","DO"],"bp":"3779550"},{"dias":["VACACIONES","VACACIONES","VACACIONES","VACACIONES","VACACIONES","VACACIONES","VACACIONES","VACACIONES","Clase Modelo B787","VACACIONES","VACACIONES","VACACIONES","VACACIONES","VACACIONES","VACACIONES","Reva de Servicio\n(08:30-17:30 hrs)\nDÍA 1\nSVC DE TCS","DO","DO","LCK B767- \nLIM-MIA\n- LA 2694 (13:30-13:25 hrs)","LCK B767\n- MIA-LIM\n- LA 2695 (16:55-21:40 hrs)","VUELO IDA LIM SCL","COBUS SCL A320XLR","VUELO REGRESO SCL LIM","DO","DO","LCK A320F\nLIM-AQP-LIM\nLA 2123(10:30:40-10:00 hrs)\nLA 2124 (10:40-12:15 hrs)\nLCK A320F\nLIM-CJA-LIM\nLA 2295(13:25-14:45 hrs)\nLA 2294 (15:30-17:05 hrs)","Inicial G10","Inicial G10","LCK A320F\nLIM-TRU-LIM\nLA 2139(10:30:40-10:00 hrs)\nLA 2140 (10:40-12:15 hrs)\nLCK A320F\nLIM-AQP-LIM\nLA 2113 (13:25-14:45 hrs)\nLA 2112(15:30-17:05 hrs)","CHEQUEO DGAC INSTRUCTOR B787 - POI\nAvión Energizado","DO"],"bp":"29530","nombre":"Jazmin Guerra"},{"nombre":"Claudia Flores","dias":["HABILITACION B787  (CST)\n- LIM-SCL\n- LA 2697 (09:35-13:00 hrs)\nHABILITACION B787 (CST)\n- SCL-LIM\n- LA 2696 (16:00-19:45 hrs)","RESERVA IET TARDE (14:30 - 17:30 pm)","DO","DO","Chequeo DGAC B767\nAvión Energizado","Clase Modelo B787","RTI: PRÁCTICA\nA320F / B767\n(08:30-17:30 hrs)\nINS APOYO TM A320F\nGRUPO 1","FERIADO","REUNIÓN INSTRUCTORES","DO","DO","TALLER VOLUNTARIO DE SEGURIDAD","Blanco","LCK B767\n- LIM-MIA\n- LA 2480 (00:15-06:20 hrs)","Habilitación B767\n- MIA-LIM\n- LA 2695","RESERVA IET TARDE","DO","DO","Recalificación B767\nAvión Energizado","HB6\nCurso B767\n(08:30-17:30hrs)","HB6\nCurso B767\n(08:30-17:30hrs)","DO","DO","DO","DO","Chequeo INS LATAM\n- LIM-SCL\n- LA 2697 (09:35-13:00 hrs)\n \n- SCL-LIM\n- LA 2696 (16:00-19:45 hrs)","TALLER VOLUNTARIO DE SEGURIDAD","RTI: PRÁCTICA\nA320F / B767 / B787\n(08:30-17:30 hrs)\nINS APOYO\nGRUPO 5","RESERVA IET","CHEQUEO DGAC INSTRUCTOR B787 - POI\nAvión Energizado","DO"],"bp":"3217561"},{"bp":"71348","dias":["RESERVA IET","RESERVA IET","DO","DO","","","","","LP","DO","DO","","","","","","DO","DO","","","HO FILE TARDE","","","DO","DO","","","","","","DO"],"nombre":"Karla Moz"},{"bp":"967092","nombre":"Erika Dávila","dias":["INICIAL G11","LCK B767 ALUMNO (CCM)\n- LIM-SCL\n- LA 2413 (09:35-13:00 hrs)\nLCK B767 ALUMNO (CCM)\n- SCL-LIM\n- LA 2412 (16:00-19:45 hrs)","DO","DO","DO","DO","RESERVA IET\n( 11:30 - 17:30)","FERIADO","REUNIÓN INSTRUCTORES","DO","DO","RESERVA IET","CURSO B787","CURSO B787","RTI: VIRTUAL\nA320F / B767\n(08:30-17:30 hrs)\nINS TITULAR\nGRUPO 3","CURSO B787","DO","DO","CURSO B787","CURSO B787","HB6\nCurso B767\n(08:30-17:30hrs)","HANDS ON B767","Reva de Servicio\n(08:30-17:30 hrs)\nDÍA 1\nSVC DE TCS","DO","DO","CURSO B787","RESERVA IET","CUMP","CUMP","RESERVA IET","DO"]},{"bp":"2369641","nombre":"Elizabeth Torres","dias":["LCK B767\n- LIM-SCL\n- LA 2413 (12:05-15:45 hrs)\nLCK B767\n- SCL-LIM\n- LA 2412 (17:10-21:00 hrs)","RESERVA IET TARDE \n(16:30 - 17:30 )","DO","DO","RTI \n(E-LEARNING HABILITACIÓN)","RTI: VIRTUAL\nA320F / B767\n(08:30-17:30 hrs)\nINS TITULAR \n(HABILITACIÓN)\nGRUPO 1","RTI: VIRTUAL\nA320F / B767\n(08:30-17:30 hrs)\nINS TITULAR\n(HABILITACIÓN)\nGRUPO 1","FERIADO","RTI \n(E-LEARNING HABILITACIÓN)","DO","DO","LCK A320F\nLIM-CUZ-LIM\nLA 2013 (10:30:40-10:00 hrs)\nLA 2014 (10:40-12:15 hrs)\nLCK A320F\nLIM-CIX-LIM\nLA 2152 (13:25-14:45 hrs)\nLA 2153  (15:30-17:05 hrs)","LCK A320F\nLIM-CUZ-LIM\nLA 2075 (10:30:40-10:00 hrs)\nLA 2076(10:40-12:15 hrs)\nLCK A320F\nLIM-PCL-LIM\nLA 2360 (13:25-14:45 hrs)\nLA 2361(15:30-17:05 hrs)","Blanco","LCK B767\n- LIM-MIA\n- LA 2480 (00:15-06:20 hrs)","Habilitacion B767\n- MIA-LIM\n- LA 2481 (15:55-21:40 hrs)","DO","DO","INICIAL G11","LCK A320F\nLIM-CUZ-LIM\nLA 2013 (10:30:40-10:00 hrs)\nLA 2014 (10:40-12:15 hrs)\nLCK A320F\nLIM-CUZ-LIM\nLA 2028 (13:25-14:45 hrs)\nLA 2029 (15:30-17:05 hrs)","LCK A320F\nLIM-CJA-LIM\nLA 2295 (10:30:40-10:00 hrs)\nLA 2294 (10:40-12:15 hrs)","DO","DO","DO","DO","CURSO 50%","INICIAL G11","LCK A320F\nLIM-PIU-LIM\nLA 2306 (10:30:40-10:00 hrs)\nLA 2307 (10:40-12:15 hrs)\nLCK A320F\nLIM-TRU-LIM\nLA 2131(13:25-14:45 hrs)\nLA 2132(15:30-17:05 hrs)","RESERVA IET","CURSO 50%","DO"]},{"dias":["VACACIONES","VACACIONES","VACACIONES","VACACIONES","VACACIONES","VACACIONES","VACACIONES","VACACIONES","VACACIONES","VACACIONES","VACACIONES","VACACIONES","VACACIONES","VACACIONES","VACACIONES","LCK B767\n- LIM-SCL\n- LA 2413 (12:05-15:45 hrs)\nLCK B767\n- SCL-LIM\n- LA 2412 (17:10-21:00 hrs)","DO","DO","CURSO 50%","AUDITORIA\nPROCAB: REVISIÓN PROCESOS, POLÍTICAS Y DOCUMENTOS","RTI: VIRTUAL\nA320F / B767\n(08:30-17:30 hrs)\nINS TITULAR\nGRUPO 4","RESERVA IET","LCK A320F\nLIM-PIU-LIM\nLA 2306(10:30:40-10:00 hrs)\nLA 2307 (10:40-12:15 hrs)","DO","DO","Blanco","LCK B767\n- LIM-MIA\n- LA 2480 (00:15-06:20 hrs)","PD\n- MIA-LIM\n- LA 2481 (15:55-21:40 hrs)","HO FILE TARDE","Inicial G10","DO"],"nombre":"Patricia Najar","bp":"2369624"},{"nombre":"Javier Zapata","dias":[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DO","DO","LCK A320F\nLIM-PIU-LIM\nLA 2306(10:30:40-10:00 hrs)\nLA 2307 (10:40-12:15 hrs)\nLCK A320F\nLIM-TRU-LIM\nLA 2131(13:25-14:45 hrs)\nLA 2132(15:30-17:05 hrs)","LCK B767\n- LIM-MIA\n- LA 2487 (12:05-15:45 hrs)\nLCK B767\n- MIA-LIM\n- LA 2486(17:10-21:00 hrs)","RESERVA IET TARDE \n(16:30 - 17:30)","LCK A320F\nLIM-TCQ-LIM\nLA 2067(10:30:40-10:00 hrs)\nLA 2068 (10:40-12:15 hrs)","Inicial G10","DO"],"bp":"3134911"},{"dias":["LCK A320F\nLIM-CIX-LIM\nLA 2152(10:30:40-10:00 hrs)\nLA 2153 (10:40-12:15 hrs)","LCK B767\n- LIM-SCL\n- LA 2413 (12:05-15:45 hrs)\nLCK B767\n- SCL-LIM\n- LA 2412 (17:10-21:00 hrs)","DO","DO","DO","HO FILE","LCK A320F\nLIM-AQP-LIM\nLA 2123 (10:30:40-10:00 hrs)\nLA 2124 (10:40-12:15 hrs)\nLCK A320F\nLIM-TRU-LIM\nLA 2135(13:25-14:45 hrs)\nLA 2136(15:30-17:05 hrs)","FERIADO","REUNIÓN INSTRUCTORES","DO","DO","LCK A320F\nLIM-CIX-LIM\nLA 2274(10:30:40-10:00 hrs)\nLA 2275(10:40-12:15 hrs)\nLCK A320F\nLIM-TPP-LIM\nLA 2087(13:25-14:45 hrs)\nLA 2088 (15:30-17:05 hrs)","RESERVA IET","RTI: PRÁCTICA\nA320F / B767\n(08:30-17:30 hrs)\nINS APOYO\nGRUPO 2","Inicial G10","DO","DO","VACACIONES","VACACIONES","VACACIONES","VACACIONES","VACACIONES","VACACIONES","VACACIONES","VACACIONES","LCK A320F\nLIM-TPP-LIM\nLA 2087 (10:30:40-10:00 hrs)\nLA 2088 (10:40-12:15 hrs)","INICIAL G12","Blanco","LCK B767\n- LIM-MIA\n- LA 2480 (00:15-06:20 hrs)","LCK B767\n- MIA-LIM\n- LA 2481 (15:55-21:40 hrs)","DO"],"bp":"3750335","nombre":"Jefferson Mendez"},{"bp":"3852423","dias":["RESERVA IET TARDE \n(13:30 - 17:30","LCK A320F\nLIM-AQP-LIM\nLA 2045 (10:30:40-10:00 hrs)\nLA 2046 (10:40-12:15 hrs)\nLCK A320F\nLIM-CUZ-LIM\nLA 2207(13:25-14:45 hrs)\nLA 2208 (15:30-17:05 hrs)","DO","DO","DO","DO","BACK UP JB","FERIADO","BACK UP JB","DO","DO","Reva de Servicio\n(08:30-17:30 hrs)\nDÍA 1\nSVC DE JSBS","LCK A320F\nLIM-CJA-LIM\nLA 2350 (10:30:40-10:00 hrs)\nLA 2351 (10:40-12:15 hrs)\nLCK A320F\nLIM-TPP-LIM\nLA 2087(13:25-14:45 hrs)\nLA 2088 (15:30-17:05 hrs)","RTI: PRÁCTICA\nA320F / B767\n(08:30-17:30 hrs)\nINS APOYO TM A320F\nGRUPO 2","RTI: VIRTUAL\nA320F / B767\n(08:30-17:30 hrs)\nINS APOYO\nGRUPO 3","Inicial G10","DO","DO","CHEQUEO RENOVACIÓN IDE A320","INICIAL G11","RTI: VIRTUAL\nA320F / B767\n(08:30-17:30 hrs)\nINS TITULAR\nGRUPO 4","LCK B767\n- LIM-SCL\n- LA 2413 (12:05-15:45 hrs)\nLCK B767\n- SCL-LIM\n- LA 2412 (17:10-21:00 hrs)","HO FILE TARDE\n (16:30 - 17:30)","DO","DO","LCK A320F\nLIM-TBP-LIM\nLA 2052 (10:30:40-10:00 hrs)\nLA 2051 (10:40-12:15 hrs)","Blanco","LCK B767\n- LIM-MIA\n- LA 2480 (00:15-06:20 hrs)","LCK B767\n- MIA-LIM\n- LA 2695","HO FILE TARDE \n(14:00 - 17:30)","DO"],"nombre":"Gabriela Ungaro"},{"nombre":"Mariella Carrasco","bp":"2604360","dias":["IOSA","IOSA","DO","DO","LCK B767\n- LIM-MIA\n- LA 2694 (13:30-19:35 hrs)","Blanco","LCK B767\n- MIA-LIM\n- LA 2699 (23:15-05:00 hrs)","FERIADO","REUNIÓN INSTRUCTORES","DO","DO","TALLER VOLUNTARIO DE SEGURIDAD","RTI: VIRTUAL\nA320F / B767\n(08:30-17:30 hrs)\nINS TITULAR\nGRUPO 2","RTI: VIRTUAL\nA320F / B767\n(08:30-17:30 hrs)\nINS TITULAR\nGRUPO 3","RTI: VIRTUAL\nA320F / B767\n(08:30-17:30 hrs)\nINS APOYO TM\nGRUPO 3","INICIAL G11","DO","DO","CHEQUEO RENOVACIÓN IDE A320","LCK B767\n- LIM-MIA\n- LA 2694 (13:30-19:35 hrs)","Blanco","Habilitación *\n- MIA-LIM\n- LA 2699 (23:15-05:00 hrs)","LCK B767\n- LIM-SCL\n- LA 2413 (12:05-15:45 hrs)\nLCK B767\n- SCL-LIM\n- LA 2412 (17:10-21:00 hrs)","DO","DO","DO","DO","RESERVA IET\n (11:30 am - 17:30 pm)","LCK A320F\nLIM-CUZ-LIM\nLA 2007(10:30:40-10:00 hrs)\nLA 2008(10:40-12:15 hrs)\nLCK A320F\nLIM-TPP-LIM\nLA 2087(13:25-14:45 hrs)\nLA 2088(15:30-17:05 hrs)","Reva de Servicio\n(08:30-17:30 hrs)\nDÍA 1\nSVC DE TCS","DO"]},{"bp":"2823133","nombre":"Cesar Campos","dias":["Inicial G10","DESAYUNO","DO","DO","HO FILE","Reva de Servicio\n(08:30-17:30 hrs)\nDÍA 1\nSVC DE TCS","RTI: PRÁCTICA\nA320F / B767\n(08:30-17:30 hrs)\nINS APOYO\nGRUPO 1","FERIADO","REUNIÓN INSTRUCTORES","DO","DO","INICIAL G12","INICIAL G12","RTI: PRÁCTICA\nA320F / B767\n(08:30-17:30 hrs)\nINS APOYO\nGRUPO 2","DO","DO","DO","DO","TALLER VOLUNTARIO DE SEGURIDAD","DITCHING B787","CURSO 50%","CURSO 50%","CURSO 50%","DO","DO","INICIAL G11","TALLER VOLUNTARIO DE SEGURIDAD","INICIAL G11","RESERVA IET","RESERVA IET","DO"]},{"dias":["VACACIONES","VACACIONES","VACACIONES","VACACIONES","VACACIONES","VACACIONES","VACACIONES","VACACIONES","VACACIONES","VACACIONES","VACACIONES","VACACIONES","VACACIONES","VACACIONES","VACACIONES","VACACIONES","VACACIONES","VACACIONES","TALLER VOLUNTARIO DE SEGURIDAD","CURSO ESTANDARIZACIÓN PM","RTI: VIRTUAL\nA320F / B767\n(08:30-17:30 hrs)\nINS TITULAR\nGRUPO 4","Inicial G10","HB6\nCurso B767\n(08:30-17:30hrs)","DO","DO","CHEQUEO BIANUAL INSTRUCTOR B767","CHEQUEO BIANUAL INSTRUCTOR B767","CHEQUEO BIANUAL INSTRUCTOR B767","Inicial G10","RESERVA IET","DO"],"nombre":"Kevin Segovia","bp":"3189967"},{"nombre":"Milagros Salas","dias":["DESAYUNO","Inicial G10","DO","DO","VACACIONES","VACACIONES","VACACIONES","VACACIONES","VACACIONES","VACACIONES","VACACIONES","VACACIONES","VACACIONES","VACACIONES","VACACIONES","VACACIONES","VACACIONES","VACACIONES","VACACIONES","INICIAL G12","VUELO IDA LIM SCL","COBUS SCL A320XLR","VUELO REGRESO SCL LIM","DO","DO","Inicial G10","CURSO 50%","Inicial G10","CURSO 50%","RESERVA IET","DO"],"bp":"2415373"},{"nombre":"Judith Fernandez","dias":["Inicial G10","Inicial G10","DO","DO","INICIAL G11","INICIAL G11","INICIAL G11","VACACIONES","VACACIONES","VACACIONES","VACACIONES","VACACIONES","VACACIONES","VACACIONES","VACACIONES","INICIAL G12","DO","DO","INICIAL G12","DITCHING B767","INICIAL G12","INICIAL G12","Inicial G10","DO","DO","CHEQUEO BIANUAL INSTRUCTOR B767","CHEQUEO BIANUAL INSTRUCTOR B767","CHEQUEO BIANUAL INSTRUCTOR B767","INICIAL G12","INICIAL G12","DO"],"bp":"2440915"},{"nombre":"Rafael Nieto","dias":["ADM","ADM","DO","DO","ADM","ADM","ADM","FERIADO","REUNIÓN INSTRUCTORES","DO","DO","ADM","ADM","ADM","ADM","ADM","DO","DO","ADM","ADM","ADM","ADM","ADM","DO","DO","ADM","ADM","ADM","ADM","ADM","DO"],"bp":"3796947"},{"nombre":"Gianfranco Celiz","bp":"3841387","dias":["RESERVA IET","BLOQUEO IET","DO","DO","Inicial G10","Inicial G10","Inicial G10","FERIADO","REUNIÓN INSTRUCTORES","DO","DO","INICIAL G11","INICIAL G11","RTI: PRÁCTICA\nA320F / B767\n(08:30-17:30 hrs)\nINS TITULAR\nGRUPO 2","DO","DO","DO","DO","Reva de Servicio\n(08:30-17:30 hrs)\nDÍA 1\nSVC DE TCS","RTI: VIRTUAL\nA320F / B767 / B787\n(08:30-17:30 hrs)\nINS TITULAR\nGRUPO 4","INICIAL G11","INICIAL G11","INICIAL G11","DO","DO","INICIAL G12","RTI: VIRTUAL\nA320F / B767 / B787\n(08:30-17:30 hrs)\nINS TITULAR\nGRUPO 5","Inicial G10","INICIAL G11","INICIAL G11","DO"]}]}</t>
  </si>
  <si>
    <t>2026-11</t>
  </si>
  <si>
    <t>{"mes":"2026-11","fuente":"Rol Instructores LP NOVIEMBRE","hoja":"ROL INS","instructores":[{"bp":"2713993","nombre":"Fiorella Ruiz","dias":["VACACIONES","VACACIONES","VACACIONES","VACACIONES","RTI: PRÁCTICA\nA320F / B767 / B787\n(08:30-17:30 hrs)\nINS TITULAR\nINS APOYO\nGrupo 1","CURSO","FDS","FDS","PRENSA","EXP RECIENTE A320F\n EXTRA\n LIM-CJA-LIM\n LA 2299 (11:30-12:55 hrs)\n LA 2298 (13:40-14:50 hrs)","Chequeo Renovación IDE B767","VUELO PAPA","VUELO ifa 06:40 am","VUELO PAPA","VUELO PAPA","VUELO PAPA regresa 90 pm","RESERVA IET TARDE\n (14:30-16:00 hrs)","Chequeo Latam B787\n - LIM-SCL\n - LA 2697 (09:35-13:00 hrs)\n Chequeo Latam B787\n - SCL-LIM\n - LA 2696 (16:00-19:45 hrs)","RESERVA IET TARDE\n (14:00-15:40 hrs)","LCK A320F\n  LIM-AQP-LIM\n  LA 2123 (09:15-10:45 hrs)\n  LA 2124 (11:25-13:00 hrs)\n  LCK A320F\n  LIM-TPP-LIM\n  LA 2087 (14:10-15:35 hrs)\n  LA 2088 (16:10-17:30 hrs)","FDS","FDS","Chequeo DGAC B787\n Avión energizado\n (08:30-17:30 hrs)\n 7 TC","RECALIFICACIÓN B787\n  EN TIERRA\n  (08:30-16:00 hrs)\n  1 JSB","LCK B787\n- LIM-SCL\n- LA 2697 (09:35-13:00 hrs)\nLCK B787\n- SCL-LIM\n- LA 2696 (16:00-19:45 hrs)","RESERVA IET TARDE\n (14:00-16:00 hrs)","Chequeo Latam B787\n- LIM-SCL\n- LA 2697 (09:35-13:00 hrs)\nChequeo Latam B787\n- SCL-LIM\n- LA 2696 (16:00-19:45 hrs)","FDS","FDS","Chequeo DGAC B787 \nAvión energizado"]},{"bp":"2396710","nombre":"Sebastian Correa","dias":["DO","VACACIONES","VACACIONES","VACACIONES","VACACIONES","VACACIONES","FDS","FDS","RESERVA IET\n (08:30-16:00 hrs)","LCK B787\n- LIM-SCL\n- LA 2697 (09:35-13:00 hrs)\nLCK B787\n- SCL-LIM\n- LA 2696 (16:00-19:45 hrs)","LCK B767\n VUELO LIM-MIA-LIM\n 2480/2481\n (Pres. 23:15)\n INS TITULAR\n Grupo 1","LCK B767\n PERNOCTA MIA","LCK B767\n REGRESO 2481\n (Fin 22:25)","FDS","FDS","LCK B787\n- LIM-SCL\n- LA 2697 (09:35-13:00 hrs)\nLCK B787\n- SCL-LIM\n- LA 2696 (16:00-19:45 hrs)","RESERVA IET TARDE\n(14:00-16:00 hrs)","EXP RECIENTE B787\n EXTRA\n - LIM-SCL\n - LA 2697 (09:35-13:00 hrs)\n - SCL-LIM\n - LA 2696 (16:00-19:45 hrs)","RESERVA IET TARDE\n(14:00-16:00 hrs)","LCK B787\n- LIM-SCL\n- LA 2697 (09:35-13:00 hrs)\nLCK B787\n- SCL-LIM\n- LA 2696 (16:00-19:45 hrs)","FDS","FDS","Chequeo Latam B787\n- LIM-SCL\n- LA 2697 (09:35-13:00 hrs)\nChequeo Latam B787\n- SCL-LIM\n- LA 2696 (16:00-19:45 hrs)","RESERVA IET TARDE","Chequeo DGAC B787\n Avión energizado\n (08:30-16:00 hrs)\n 5 TC","LCK B787\n - LIM-SCL\n - LA 2697 (09:35-13:00 hrs)\n LCK B787\n - SCL-LIM\n - LA 2696 (16:00-19:45 hrs)","RESERVA IET TARDE","FDS","FDS","Chequeo Latam B787\n- LIM-SCL\n- LA 2697 (09:35-13:00 hrs)\nChequeo Latam B787\n- SCL-LIM\n- LA 2696 (16:00-19:45 hrs)"]},{"bp":"1271571","nombre":"Christian Rondon","dias":["DO","REENTRENAMIENTO B767\n VUELO LIM-SCL-LIM\n 2487/2486\n (Pres. 11:00)\n INS TITULAR\n Grupo 1","RESERVA IET TARDE","DESAYUNO\n (08:30-12:00 hrs)","RESERVA IET","CURSO","FDS","FDS","PRENSA","RESERVA IET TARDE\n (14:00-16:00 hrs)","Chequeo Latam B787\n- LIM-SCL\n- LA 2697 (09:35-13:00 hrs)\nChequeo Latam B787\n- SCL-LIM\n- LA 2696 (16:00-19:45 hrs)","RESERVA IET TARDE\n (14:00-16:00 hrs)","Chequeo Latam B787\n - LIM-SCL\n - LA 2697 (09:35-13:00 hrs)\n Chequeo Latam B787\n - SCL-LIM\n - LA 2696 (16:00-19:45 hrs)","FDS","LIM FCO","LIM FCO","LIM FCO","LIM FCO","LIM FCO","LIM FCO","LIM FCO LLEGA \nllega sabado 09 am","FDS","EXP RECIENTE B767\n  EXTRA\n  VUELO LIM-SCL-LIM\n  2487/2486\n  (Pres. 11:00 - Fin 21:25)","RESERVA IET TARDE","LCK B767\n VUELO LIM-MIA-LIM\n 2480/2481\n (Pres. 23:15)\n INS TITULAR\n Grupo 1","LCK B767\n PERNOCTA MIA","LCK B767\n REGRESO 2481\n (Fin 22:25)","FDS","FDS","RESERVA IET"]},{"bp":"2843319","nombre":"Karen Santa Cruz","dias":["DO","RTI \n(E-LEARNING HABILITACIÓN)","RTI \n( HABILITACIÓN)","RTI \n( HABILITACIÓN)","RTI \n( HABILITACIÓN)","RTI \n(E-LEARNING HABILITACIÓN)","DO","DO","LCK B767\n VUELO LIM-MIA-LIM\n 2694/2699\n (Pres. 12:30)\n INS TITULAR\n Grupo 1","LCK B767\n REGRESO 2699 23:10","LCK B767\n REGRESO 2699\n (Fin 05:30)","REENTRENAMIENTO A320F\n  LIM-CUZ-LIM\n  LA 2007 (08:50-10:15 hrs)\n  LA 2008 (11:20-12:55 hrs)\n  HABILITACIÓN A320F\n  LIM-TPP-LIM\n  LA 2087 (14:10-15:35 hrs)\n  LA 2088 (16:10-17:30 hrs)","REUNIÓN INSTRUCTORES","DO","DO","EXP RECIENTE B767\n VUELO LIM-SCL-LIM\n 2487/2486\n (Pres. 11:00 - Fin 21:25)","LCK B767\n VUELO LIM-MIA-LIM\n 2480/2695\n (Pres. 23:15)\n INS TITULAR\n Grupo 1","LCK B767\n PERNOCTA MIA","LCK B767\n REGRESO 2695\n (Fin 23:00)","EXP RECIENTE A320F\n OPERA COMO PARTE DE LA TRIPULACIÓN\n LIM-AQP-LIM\n LA 2236 (17:50-19:30 hrs)\n LA 2237 (20:10-21:45 hrs)","DO","DO","LIM ATL","AUDITORIA","ATL LIM","DO","DO","DO","DO","LCK A320F\n  LIM-CUZ-LIM\n  LA 2075 (10:45-12:10 hrs)\n  LA 2076 (12:50-14:25 hrs)\n LCK A320F\n  LIM-PCL-LIM\n  LA 2360 (15:35-16:50 hrs)\n  LA 2361 (17:25-18:40 hrs)"]},{"bp":"3779550","nombre":"Jennifert Acurio","dias":["VACACIONES","VACACIONES","VACACIONES","VACACIONES","VACACIONES","VACACIONES","VACACIONES","VACACIONES","VACACIONES","VACACIONES","VACACIONES","VACACIONES","VACACIONES","VACACIONES","VACACIONES","INICIAL G11","CHEQUEO LATAM B767\n VUELO LIM-SCL-LIM\n 2487/2486\n (Pres. 11:00)\n INS TITULAR\n Grupo 2","RESERVA IET TARDE\n (14:00-16:00 hrs)","Reentrenamiento alumna B787\n- LIM-SCL\n- LA 2697 (09:35-13:00 hrs)\nReentrenamiento alumna B787\n- SCL-LIM\n- LA 2696 (16:00-19:45 hrs)","RESERVA IET TARDE","DO","DO","LCK B767\n VUELO LIM-MIA-LIM\n 2694/2699\n (Pres. 12:30)\n INS TITULAR\n Grupo 2","LCK B767\n REGRESO 2699 23:10","LCK B767\n REGRESO 2699\n (Fin 05:30)","LCK A320F\n  LIM-AQP-LIM\n  LA 2123 (09:15-10:45 hrs)\n  LA 2124 (11:25-13:00 hrs)\n  LCK A320F\n  LIM-TPP-LIM\n  LA 2087 (14:10-15:35 hrs)\n  LA 2088 (16:10-17:30 hrs)","RESERVA IET TARDE","DO","DO","RESERVA IET"]},{"bp":"29530","nombre":"Jazmin Guerra","dias":["DO","CHEQUEO LATAM B767 (3 TC HB6)\n  VUELO LIM-MIA-LIM\n  2694/2699\n  (Pres. 12:30)\n  INS TITULAR\n  Grupo 2","CHEQUEO LATAM B767\n  REGRESO 2699 23:10","CHEQUEO LATAM B767\n  REGRESO 2699\n  (Fin 05:30)","INICIAL G11","CURSO","DO","DO","PRENSA","EXP RECIENTE A320F\n  OPERA COMO PARTE DE LA TRIPULACIÓN\n  LIM-CJA-LIM\n  LA 2299 (11:30-12:55 hrs)\n  LA 2298 (13:40-14:50 hrs)","LCK A320F\n  LIM-AQP-LIM\n  LA 2123 (09:15-10:45 hrs)\n  LA 2124 (11:25-13:00 hrs)\n LCK A320F\n  LIM-CUZ-LIM\n  LA 2232 (14:15-15:40 hrs)\n  LA 2233 (16:25-18:00 hrs)","RESERVA IET TARDE","VUELO PAPA","VUELO PAPA vuelo salida 7 am","VUELO PAPA regresa 8:50 pm","LCK + RECALIFICACIÓN B767\n  VUELO LIM-MIA-LIM\n  2480/2481\n  (Pres. 23:15)\n  INS TITULAR\n  Grupo 2","LCK + RECALIFICACIÓN B767\n  PERNOCTA MIA","LCK + RECALIFICACIÓN B767\n REGRESO 2481\n (Fin 22:25)","DO","DO","DO","DO","LCK B767\n VUELO LIM-MIA-LIM\n 2480/2481\n (Pres. 23:15)\n INS TITULAR\n Grupo 2","LCK B767\n PERNOCTA MIA","LCK B767\n REGRESO 2481\n (Fin 22:25)","RESERVA IET TARDE\n (15:00-15:40 hrs)","LCK A320F\n  LIM-AQP-LIM\n  LA 2123 (09:15-10:45 hrs)\n  LA 2124 (11:25-13:00 hrs)\n  LCK A320F\n  LIM-TPP-LIM\n  LA 2087 (14:10-15:35 hrs)\n  LA 2088 (16:10-17:30 hrs)","DO","DO","LCK B767\n  VUELO LIM-MIA-LIM\n  2694/2699\n  (Pres. 12:30)\n  INS TITULAR\n  Grupo 2"]},{"bp":"3217561","nombre":"Claudia Flores","dias":["DO","VACACIONES","VACACIONES","VACACIONES","VACACIONES","VACACIONES","VACACIONES","VACACIONES","VACACIONES","VACACIONES","VACACIONES","VACACIONES","REUNIÓN INSTRUCTORES","DO","DO","INICIAL G11","LCK B767\n VUELO LIM-MIA-LIM\n 2694/2699\n (Pres. 12:30)\n INS TITULAR\n Grupo 2","LCK B767\n REGRESO 2699 23:10","LCK B767\n REGRESO 2699\n (Fin 05:30)","EXP RECIENTE A320F\n OPERA COMO PARTE DE LA TRIPULACIÓN\n LIM-UIO-LIM\n LA 2382 (13:20-15:45 hrs)\n LA 2383 (16:45-19:00 hrs)","DO","DO","LCK B767\n VUELO LIM-SCL-LIM\n 2487/2486\n (Pres. 11:00)\n INS TITULAR\n Grupo 2","LCK B767\n VUELO LIM-MIA-LIM\n 2480/2695\n (Pres. 23:15)\n INS TITULAR\n Grupo 2","LCK B767\n PERNOCTA MIA","LCK B767\n REGRESO 2695\n (Fin 23:00)","RESERVA IET TARDE\n(15:35-17:30 hrs)","DO","DO","LCK A320F\n  LIM-AQP-LIM\n  LA 2123 (09:15-10:45 hrs)\n  LA 2124 (11:25-13:00 hrs)\n  LCK A320F\n  LIM-TPP-LIM\n  LA 2087 (14:10-15:35 hrs)\n  LA 2088 (16:10-17:30 hrs)"]},{"bp":"71348","nombre":"Karla Moz","dias":["","","","","","","DO","DO","","","","","","","","","","","","RESERVA IET","DO","DO","","","","","","DO","DO","RESERVA IET"]},{"bp":"967092","nombre":"Erika Dávila","dias":["DO","RRVV","INICIAL G11","RTI: PRÁCTICA\nA320F / B767 / B787\n(08:30-17:30 hrs)\nINS APOYO TM\nGrupo 1","RTI: PRÁCTICA\nA320F / B767 / B787\n(08:30-17:30 hrs)\nINS TITULAR\nGrupo 1","INICIAL G12","DO","DO","Ditching Presencial\n+ Hands On B767","RESERVA IET","RESERVA IET","RESERVA IET","REUNIÓN INSTRUCTORES","DO","DO","DO","DO","RESERVA IET\n (08:30-16:00 hrs)","Reentrenamiento B787\n- LIM-SCL\n- LA 2697 (09:35-13:00 hrs)\nHabilitación B787\n- SCL-LIM\n- LA 2696 (16:00-19:45 hrs)","RESERVA IET TARDE","DO","DO","Reva de Servicio\n JEFES\n (08:30-17:30 hrs)\n INS TITULAR\n 25 TRIP","RESERVA IET","HANDS ON B787+","RESERVA IET","RESERVA IET","DO","DO","RESERVA IET"]},{"bp":"2369641","nombre":"Elizabeth Torres","dias":["DO","INICIAL G11","INICIAL G11","CURSO CRM","CURSO CRM","CURSO CRM","DO","DO","REENTRENAMIENTO B767\n VUELO LIM-SCL-LIM\n 2487/2486\n (Pres. 11:00)\n INS TITULAR\n Grupo 2","RESERVA IET TARDE","LCK B767\n VUELO LIM-MIA-LIM\n 2694/2693\n (Pres. 12:30)\n INS TITULAR\n Grupo 2","LCK B767\n PERNOCTA MIA","LCK B767\n REGRESO 2693\n (Fin 06:35)","DO","DO","INICIAL G12\n (08:30-15:40 hrs)","LCK + RECALIFICACIÓN A320F\n  LIM-AQP-LIM\n  LA 2123 (09:15-10:45 hrs)\n  LA 2124 (11:25-13:00 hrs)\n  LCK A320F\n  LIM-TPP-LIM\n  LA 2087 (14:10-15:35 hrs)\n  LA 2088 (16:10-17:30 hrs)","LCK B767\n VUELO LIM-MIA-LIM\n 2694/2693\n (Pres. 12:30)\nALUMNA Grupo 3","LCK B767\n PERNOCTA MIA","LCK B767\nALUMNA\n REGRESO 2693\n (Fin 06:35)","DO","DO","VACACIONES","VACACIONES","VACACIONES","VACACIONES","VACACIONES","VACACIONES","VACACIONES","VACACIONES"]},{"bp":"2369624","nombre":"Patricia Najar","dias":["DO","EXP RECIENTE B767\n OPERA COMO JEFA\n VUELO LIM-SCL-LIM\n 2487/2486\n (Pres. 11:00 - Fin 21:25)","RESERVA IET TARDE","LCK B767\n VUELO LIM-MIA-LIM\n 2694/2693\n (Pres. 12:30)\n INS TITULAR\n Grupo 2","B","LCK B767\n REGRESO 2693\n (Fin 06:35)","DO","DO","INICIAL G12","LCK B767\n VUELO LIM-MIA-LIM\n 2694/2699\n (Pres. 12:30)\n INS TITULAR\n Grupo 2","LCK B767\n REGRESO 2699 23:10","LCK B767\n REGRESO 2699\n (Fin 05:30)","REUNIÓN INSTRUCTORES","DO","DO","INICIAL G12","HANDS ON (08:30-17:30 hrs)","LCK A320F\n  LIM-CUZ-LIM\n  LA 2007 (08:50-10:15 hrs)\n  LA 2008 (11:20-12:55 hrs)\n  LCK A320F\n  LIM-TPP-LIM\n  LA 2087 (14:10-15:35 hrs)\n  LA 2088 (16:10-17:30 hrs)","EXP RECIENTE A320F\n OPERA COMO PARTE DE LA TRIPULACIÓN\n LIM-UIO-LIM\n LA 2382 (13:20-15:45 hrs)\n LA 2383 (16:45-19:00 hrs)","RESERVA IET TARDE","DO","DO","LCK A320F\n  LIM-AQP-LIM\n  LA 2123 (09:15-10:45 hrs)\n  LA 2124 (11:25-13:00 hrs)\n  LCK A320F\n  LIM-TPP-LIM\n  LA 2087 (14:10-15:35 hrs)\n  LA 2088 (16:10-17:30 hrs)","RESERVA IET TARDE\n (14:00-15:30 hrs)","LCK A320F\n  LIM-CUZ-LIM\n  LA 2075 (10:45-12:10 hrs)\n  LA 2076 (12:50-14:25 hrs)\n LCK A320F\n  LIM-PCL-LIM\n  LA 2360 (15:35-16:50 hrs)\n  LA 2361 (17:25-18:40 hrs)","DO","DO","DO","DO","Reva de Servicio\n TC\n (08:30-17:30 hrs)\n INS TITULAR\n 25 TRIP\n EMPALME"]},{"bp":"3134911","nombre":"Javier Zapata","dias":["DO","INICIAL G12","REENTRENAMIENTO B767 \n+\nCHEQUEO LATAM B767\n VUELO LIM-SCL-LIM\n 2487/2486\n (Pres. 11:00)\n INS TITULAR\n Grupo 3","B","LCK B767\n VUELO LIM-MIA-LIM\n 2480/2481\n (Pres. 23:15)\n INS TITULAR\n Grupo 3","LCK B767\n REGRESO 2481\n (Fin 22:25)","DO","DO","LCK B767\n VUELO LIM-MIA-LIM\n 2480/2481\n (Pres. 23:15)\n INS TITULAR\n Grupo 3","LCK B767\n PERNOCTA MIA","LCK B767\n REGRESO 2481\n (Fin 22:25)","RESERVA IET TARDE\n (15:00-17:30 hrs)","REUNIÓN INSTRUCTORES","DO","DO","LCK B767\n VUELO LIM-MIA-LIM\n 2694/2699\n (Pres. 12:30)\n INS TITULAR\n Grupo 1","LCK B767\n REGRESO 2699 23:10","LCK B767\n REGRESO 2699\n (Fin 05:30)","LCK A320F\n  LIM-AQP-LIM\n  LA 2123 (09:15-10:45 hrs)\n  LA 2124 (11:25-13:00 hrs)\n LCK A320F\n  LIM-TPP-LIM\n  LA 2087 (14:10-15:35 hrs)\n  LA 2088 (16:10-17:30 hrs)","DO","DO","DO","DO","LCK A320F\n  LIM-AQP-LIM\n  LA 2123 (09:15-10:45 hrs)\n  LA 2124 (11:25-13:00 hrs)\n  LCK A320F\n  LIM-TPP-LIM\n  LA 2087 (14:10-15:35 hrs)\n  LA 2088 (16:10-17:30 hrs)","LCK B767\n VUELO LIM-MIA-LIM\n 2694/2693\n (Pres. 12:30)\n INS TITULAR\n Grupo 3","LCK B767\n PERNOCTA MIA","LCK B767\n REGRESO 2693\n (Fin 06:35)","DO","DO","RESERVA IET"]},{"bp":"3750335","nombre":"Jefferson Mendez","dias":["VACACIONES","VACACIONES","VACACIONES","VACACIONES","VACACIONES","VACACIONES","VACACIONES","DO","INICIAL G12","INICIAL G11","Chequeo Renovación IDE B767","Chequeo Renovación IDE B767","Chequeo Renovación IDE B767","DO","DO","LCK + RECALIFICACIÓN B767\n VUELO LIM-SCL-LIM\n 2487/2486\n (Pres. 11:00)\n INS TITULAR\n Grupo 3","RESERVA IET \nTARDE","LCK B767\n VUELO LIM-MIA-LIM\n 2480/2481\n (Pres. 23:15)\n INS TITULAR\n Grupo 3","LCK B767\n PERNOCTA MIA","LCK B767\n REGRESO 2481\n (Fin 22:25)","DO","DO","RESERVA IET","CHEQUEO DGAC B767 (5 TC HB6)\n AVION ENERGIZADO\n (08:30-17:30)\n INS TITULAR\n Grupo 3","RESERVA IET","RESERVA IET TARDE","RESERVA IET","DO","DO","RESERVA IET"]},{"bp":"3852423","nombre":"Gabriela Ungaro","dias":["DO","RRVV","EXP RECIENTE A320F\n OPERA COMO PARTE DE LA TRIPULACIÓN\n LIM-CJA-LIM\n LA 2299 (11:30-12:55 hrs)\n LA 2298 (13:40-14:50 hrs)","RTI: PRÁCTICA\nA320F / B767 / B787\n(08:30-17:30 hrs)\nINS APOYO\nGrupo 1","RESERVA IET\n (08:30-15:40 hrs)","LCK A320F\n LIM-AQP-LIM\n LA 2123 (09:15-10:45 hrs)\n LA 2124 (11:25-13:00 hrs)\n LCK A320F\n LIM-TPP-LIM\n LA 2087 (14:10-15:35 hrs)\n LA 2088 (16:10-17:30 hrs)","DO","DO","EXP RECIENTE B767\n OPERA COMO JEFA (va Elizabeth con reentrenamiento)\n VUELO LIM-SCL-LIM\n 2487/2486\n (Pres. 11:00 - Fin 21:25)","LCK B767\n VUELO LIM-MIA-LIM\n 2480/2695\n (Pres. 23:15)\n INS TITULAR\n Grupo 3","LCK B767\n PERNOCTA MIA","LCK B767\n REGRESO 2695\n (Fin 23:00)","REUNIÓN INSTRUCTORES\n TARDE (15:35-17:30 hrs)","DO","DO","CHEQUEO DGAC B767 (5 TC HB6)\n AVION ENERGIZADO\n (08:30-17:30)\n INS TITULAR\n Grupo 3","RESERVA IET","LCK B767\n VUELO LIM-MIA-LIM\n 2694/2693\n (Pres. 12:30)\n INS TITULAR\n Grupo 3","LCK B767\n PERNOCTA MIA","LCK B767\n REGRESO 2693\n (Fin 06:35)","DO","DO","RESERVA IET","RESERVA IET\n (08:30-15:40 hrs)","LCK A320F\n  LIM-AQP-LIM\n  LA 2123 (09:15-10:45 hrs)\n  LA 2124 (11:25-13:00 hrs)\n  LCK A320F\n  LIM-CUZ-LIM\n  LA 2232 (14:15-15:40 hrs)\n  LA 2233 (16:25-18:00 hrs)","DO","DO","DO","DO","RESERVA IET"]},{"bp":"2604360","nombre":"Mariella Carrasco","dias":["DO","RRVV","LCK B767\n VUELO LIM-MIA-LIM\n 2480/2695\n (Pres. 23:15)\n INS TITULAR\n Grupo 3","LCK B767\n PERNOCTA MIA","LCK B767\n REGRESO 2695\n (Fin 23:00)","RESERVA IET TARDE\n (15:35-17:30 hrs)","DO","DO","Reva de Servicio\n TC\n (08:30-17:30 hrs)\n INS TITULAR\n 25 TRIP\n EMPALME","RESERVA IET","RTI: VIRTUAL\nA320F / B767\n(08:30-17:30 hrs)\nINS TITULAR\nGRUPO 2","EXP RECIENTE B767\n OPERA COMO PARTE DE LA TRIPULACIÓN\n VUELO LIM-SCL-LIM\n 2487/2486\n (Pres. 11:00 - Fin 21:25)","REUNIÓN INSTRUCTORES\n TARDE","DO","DO","VACACIONES","VACACIONES","VACACIONES","VACACIONES","VACACIONES","VACACIONES","VACACIONES","LCK A320F\n  LIM-CUZ-LIM\n  LA 2075 (10:45-12:10 hrs)\n  LA 2076 (12:50-14:25 hrs)\n LCK A320F\n  LIM-PCL-LIM\n  LA 2360 (15:35-16:50 hrs)\n  LA 2361 (17:25-18:40 hrs)","LCK B767\n VUELO LIM-MIA-LIM\n 2694/2699\n (Pres. 12:30)\n INS TITULAR\n Grupo 3","LCK B767\n REGRESO 2699 23:10","LCK B767\n REGRESO 2699\n (Fin 05:30)","","DO","DO","RESERVA IET"]},{"bp":"2823133","nombre":"Cesar Campos","dias":["DO","RRVV","INICIAL G11","INICIAL G11","Reva de Servicio\n TC\n (08:30-17:30 hrs)\n INS TITULAR\n 25 TRIP\n EMPALME","TALLER VOLUNTARIO DE SEGURIDAD","DO","DO","RESERVA IET","RESERVA IET","RTI: VIRTUAL\nA320F / B767\n(08:30-17:30 hrs)\nINS TITULAR\nGRUPO 2","RESERVA IET","REUNIÓN INSTRUCTORES","DO","DO","TALLER VOLUNTARIO","RTI: VIRTUAL\nA320F / B767\n(08:30-17:30 hrs)\nINS TITULAR\nGRUPO 4","RESERVA IET","RESERVA IET","RESERVA IET","DO","DO","RESERVA IET","EXP RECIENTE B767\n OPERA COMO JEFA\n VUELO LIM-SCL-LIM\n 2487/2486\n (Pres. 11:00 - Fin 21:25)","RESERVA IET TARDE","DO","DO","DO","DO","RESERVA IET"]},{"bp":"3189967","nombre":"Kevin Segovia","dias":["DO","RTI \n(E-LEARNING HABILITACIÓN)","RTI: VIRTUAL\nA320F / B767 / B787\n(08:30-17:30 hrs)\nINS TITULAR\nHABILITACIÓN\nGrupo 1","RTI: PRÁCTICA\nA320F / B767 / B787\n(08:30-17:30 hrs)\nINS TITULAR\nHABILITACIÓN\nGrupo 1","RTI \n(E-LEARNING HABILITACIÓN)","TALLER VOLUNTARIO DE SEGURIDAD","DO","DO","RESERVA IET","RTI: VIRTUAL\nA320F / B767\n(08:30-17:30 hrs)\nINS TITULAR\nGRUPO 2","RESERVA IET","RTI: VIRTUAL\nA320F / B767\n(08:30-17:30 hrs)\nINS TITULAR\nGRUPO 3","REUNIÓN INSTRUCTORES","DO","DO","TALLER VOLUNTARIO","RESERVA IET","RTI: VIRTUAL\nA320F / B767\n(08:30-17:30 hrs)\nINS TITULAR\nGRUPO 5","RESERVA IET","RESERVA IET","DO","DO","TALLER VOLUNTARIO","CHEQUEO DGAC B767","RESERVA IET","DO","DO","DO","DO","RESERVA IET"]},{"bp":"2415373","nombre":"Milagros Salas","dias":["DO","INICIAL G12","Reva de Servicio\n TC\n (08:30-17:30 hrs)\n INS TITULAR\n 25 TRIP\n EMPALME","INICIAL G11","INICIAL G11","TALLER VOLUNTARIO DE SEGURIDAD","DO","DO","Reentrenamiento A320F\n LIM-AQP-LIM\n LA 2123 (09:15-10:45 hrs)\n LA 2124 (11:25-13:00 hrs)\n Reentrenamiento A320F\n LIM-TPP-LIM\n LA 2087 (14:10-15:35 hrs)\n LA 2088 (16:10-17:30 hrs)","RESERVA IET TARDE","RTI: VIRTUAL\nA320F / B767\n(08:30-17:30 hrs)\nINS TITULAR\nGRUPO 3","RTI: VIRTUAL\nA320F / B767\n(08:30-17:30 hrs)\nINS TITULAR\nGRUPO 3","REUNIÓN INSTRUCTORES","DO","DO","TALLER VOLUNTARIO","RESERVA IET","RESERVA IET","RESERVA IET","RESERVA IET","DO","DO","TALLER VOLUNTARIO","HANDS ON B767\n (08:30-17:30 hrs)\n 1 TC","RESERVA IET","DO","DO","DO","DO","RESERVA IET"]},{"bp":"2440915","nombre":"Judith Fernandez","dias":["DO","INICIAL G12","INICIAL G12","INICIAL G12","RTI: PRÁCTICA\nA320F / B767 / B787\n(08:30-17:30 hrs)\nINS APOYO\nGrupo 1","Reva de Servicio\n TC\n (08:30-17:30 hrs)\n INS TITULAR\n 25 TRIP\n EMPALME","DO","DO","SITUACIONES DE EMERGENCIA\nTM A320","EXP RECIENTE B767\n OPERA COMO JEFA\n VUELO LIM-SCL-LIM\n 2487/2486\n (Pres. 11:00 - Fin 21:25)","RESERVA IET TARDE","Ditching Presencial\n+ Hands On A320","REUNIÓN INSTRUCTORES","DO","DO","Reva de Servicio\n TC\n (08:30-17:30 hrs)\n INS TITULAR\n 25 TRIP\n EMPALME","RESERVA IET","RTI: VIRTUAL\nA320F / B767\n(08:30-17:30 hrs)\nINS TITULAR\nGRUPO 4","RTI: VIRTUAL\nA320F / B767\n(08:30-17:30 hrs)\nINS TITULAR\nGRUPO 5","RESERVA IET","DO","DO","TALLER VOLUNTARIO","RESERVA IET","RESERVA IET","DO","DO","DO","DO","RESERVA IET"]},{"bp":"3796947","nombre":"Rafael Nieto","dias":["DO","","","","","","DO","DO","","","","","","DO","DO","","RESERVA IET","","","RESERVA IET","DO","DO","RESERVA IET","RESERVA IET","RESERVA IET","","","DO","DO","RESERVA IET"]},{"bp":"3841387","nombre":"Gianfranco Celiz","dias":["DO","RRVV","CUM","CUM","SITUACIONES DE EMERGENCIA\nA320 TM","Ditching Presencial\n+ Hands On A320","DO","DO","INICIAL G12","INICIAL G12","INICIAL G12","INICIAL G12","REUNIÓN INSTRUCTORES","DO","DO","RESERVA IET","RESERVA IET","RTI: VIRTUAL\nA320F / B767\n(08:30-17:30 hrs)\nINS TITULAR\nGRUPO 4","RTI: VIRTUAL\nA320F / B767\n(08:30-17:30 hrs)\nINS TITULAR\nGRUPO 5","RESERVA IET","DO","DO","RESERVA IET","RESERVA IET","RESERVA IET","DO","DO","DO","DO","EXP RECIENTE B767\n OPERA COMO JEFA\n VUELO LIM-SCL-LIM\n 2487/2486\n (Pres. 11:00 - Fin 21:25)"]}]}</t>
  </si>
  <si>
    <t>Google Sheet</t>
  </si>
  <si>
    <t>id</t>
  </si>
  <si>
    <t>Nombre (como aparece en el rol)</t>
  </si>
  <si>
    <t>Nombre completo</t>
  </si>
  <si>
    <t>Correo corporativo</t>
  </si>
  <si>
    <t>Flota</t>
  </si>
  <si>
    <t>Categoría</t>
  </si>
  <si>
    <t>Estado en dotación</t>
  </si>
  <si>
    <t>Observaciones</t>
  </si>
  <si>
    <t>2713993</t>
  </si>
  <si>
    <t>Fiorella Ruiz</t>
  </si>
  <si>
    <t>Instructor</t>
  </si>
  <si>
    <t>NB</t>
  </si>
  <si>
    <t>INS</t>
  </si>
  <si>
    <t>OOF</t>
  </si>
  <si>
    <t>SI</t>
  </si>
  <si>
    <t>Datos de dotación en otro formato (flota NB/WB, categoría INS, estado OOF). Validar.</t>
  </si>
  <si>
    <t>2396710</t>
  </si>
  <si>
    <t>Sebastian Correa</t>
  </si>
  <si>
    <t>1271571</t>
  </si>
  <si>
    <t>Christian Rondon</t>
  </si>
  <si>
    <t>WB</t>
  </si>
  <si>
    <t>2843319</t>
  </si>
  <si>
    <t>Karen Santa Cruz</t>
  </si>
  <si>
    <t>A319/A320/B767/B787</t>
  </si>
  <si>
    <t>JSB</t>
  </si>
  <si>
    <t>3779550</t>
  </si>
  <si>
    <t>Jennifert Acurio</t>
  </si>
  <si>
    <t>29530</t>
  </si>
  <si>
    <t>Jazmin Guerra</t>
  </si>
  <si>
    <t>GUERRA SUAREZ JAZMIN KARINA</t>
  </si>
  <si>
    <t>3217561</t>
  </si>
  <si>
    <t>Claudia Flores</t>
  </si>
  <si>
    <t>71348</t>
  </si>
  <si>
    <t>Karla Moz</t>
  </si>
  <si>
    <t>JSBS</t>
  </si>
  <si>
    <t>LP</t>
  </si>
  <si>
    <t>Flota sin dato en la hoja de dotación.</t>
  </si>
  <si>
    <t>967092</t>
  </si>
  <si>
    <t>Erika Dávila</t>
  </si>
  <si>
    <t>2369641</t>
  </si>
  <si>
    <t>Elizabeth Torres</t>
  </si>
  <si>
    <t>A319/A320/A321/B767</t>
  </si>
  <si>
    <t>2369624</t>
  </si>
  <si>
    <t>Patricia Najar</t>
  </si>
  <si>
    <t>3134911</t>
  </si>
  <si>
    <t>Javier Zapata</t>
  </si>
  <si>
    <t>3750335</t>
  </si>
  <si>
    <t>Jefferson Mendez</t>
  </si>
  <si>
    <t>3852423</t>
  </si>
  <si>
    <t>Gabriela Ungaro</t>
  </si>
  <si>
    <t>2604360</t>
  </si>
  <si>
    <t>Mariella Carrasco</t>
  </si>
  <si>
    <t>2823133</t>
  </si>
  <si>
    <t>Cesar Campos</t>
  </si>
  <si>
    <t>3189967</t>
  </si>
  <si>
    <t>Kevin Segovia</t>
  </si>
  <si>
    <t>2415373</t>
  </si>
  <si>
    <t>Milagros Salas</t>
  </si>
  <si>
    <t>2440915</t>
  </si>
  <si>
    <t>Judith Fernandez</t>
  </si>
  <si>
    <t>3796947</t>
  </si>
  <si>
    <t>Rafael Nieto</t>
  </si>
  <si>
    <t>NIETO SAENZ RAFAEL ANTONIO</t>
  </si>
  <si>
    <t>NME</t>
  </si>
  <si>
    <t>3841387</t>
  </si>
  <si>
    <t>Gianfranco Celiz</t>
  </si>
  <si>
    <t>6019028</t>
  </si>
  <si>
    <t>Fernando Celadita</t>
  </si>
  <si>
    <t>FERNANDO CELADITA GASPAR</t>
  </si>
  <si>
    <t>fernando.celadita@latam.com</t>
  </si>
  <si>
    <t>Administrador</t>
  </si>
  <si>
    <t>6014982</t>
  </si>
  <si>
    <t>Mario Fernandez</t>
  </si>
  <si>
    <t>Mario Martin Fernandez Moscoso</t>
  </si>
  <si>
    <t>mario.fernandez@latam.com</t>
  </si>
  <si>
    <t>Mes</t>
  </si>
  <si>
    <t>Google Sheet (enlace o ID)</t>
  </si>
  <si>
    <t>Hoja</t>
  </si>
  <si>
    <t>Última sincronización</t>
  </si>
  <si>
    <t>Instructores</t>
  </si>
  <si>
    <t>Archivo</t>
  </si>
  <si>
    <t>https://docs.google.com/spreadsheets/d/1B0IizPnZybvm3cm1nnRhKSUHGl0WcEAmeiK3gvEaqxw/edit?gid=681297197#gid=681297197</t>
  </si>
  <si>
    <t>ROL INS</t>
  </si>
  <si>
    <t>OK · 38 días sin asignar.</t>
  </si>
  <si>
    <t>Rol Instructores LP NOVIEMBRE · ROL INS</t>
  </si>
  <si>
    <t>Tipo</t>
  </si>
  <si>
    <t>asignado</t>
  </si>
  <si>
    <t>SICK</t>
  </si>
  <si>
    <t>Recurrente Auditor 2026</t>
  </si>
  <si>
    <t>Patricia del Pilar Najar</t>
  </si>
  <si>
    <t>Reunión Instructores</t>
  </si>
  <si>
    <t>no se asignó</t>
  </si>
  <si>
    <t>Luis Bacigalupo</t>
  </si>
  <si>
    <t>TTT CRM SVC</t>
  </si>
  <si>
    <t>TTT REVA SVC</t>
  </si>
  <si>
    <t>LDS</t>
  </si>
  <si>
    <t>Certificación INS Externo</t>
  </si>
  <si>
    <t>VC</t>
  </si>
  <si>
    <t>Auditoría Carpetas Técnicas</t>
  </si>
  <si>
    <t>Preparación IOSA 2026</t>
  </si>
  <si>
    <t>Auditoría PRO CAB</t>
  </si>
  <si>
    <t>CHEQUEO RENOVACIÓN IDE A320F</t>
  </si>
  <si>
    <t>CHEQUEO BI ANUAL INSTRUCTOR</t>
  </si>
  <si>
    <t>Curso INS B787 - Instructor</t>
  </si>
  <si>
    <t>Curso INS B787</t>
  </si>
  <si>
    <t>EXAMEN TEÓRICO DGAC 787</t>
  </si>
  <si>
    <t>ASIGNAR VUELO EXP REC A320 ANTES DE 07 DE SEPT</t>
  </si>
  <si>
    <t>CURSO FORMACIÓN FACILICTADORES CRM</t>
  </si>
  <si>
    <t>CLASE MODELO B787</t>
  </si>
  <si>
    <t>CHEQUEO BI ANUAL INST B767 - HACER CARTA
17/09: LA2698 (LIM - MIA)
18/09: LA2695 (MIA - LIM)</t>
  </si>
  <si>
    <t>ASIGNAR VUELO EXP REC A320 ANTES DE 20 DE SEPT</t>
  </si>
  <si>
    <t>ASIGNAR VUELO EXP REC B787 ANTES DE 23 DE SEPT</t>
  </si>
  <si>
    <t>CHEQUEO RENOVACIÓN IDE B767 - HACER CARTA
23/09: LA2698 (LIM - MIA)
24/09: LA2695 (MIA - LIM)</t>
  </si>
  <si>
    <t>Preparación Auditoría IOSA CAB</t>
  </si>
  <si>
    <t>ASIGNAR VUELO EXP REC B787 ANTES DE 07 OCT</t>
  </si>
  <si>
    <t>Experiencia reciente programada</t>
  </si>
  <si>
    <t>Última experiencia reciente</t>
  </si>
  <si>
    <t>VENCIDO</t>
  </si>
  <si>
    <t>Fecha y hora</t>
  </si>
  <si>
    <t>Correo</t>
  </si>
  <si>
    <t>Evento</t>
  </si>
  <si>
    <t>Resultado</t>
  </si>
  <si>
    <t>Dispositivo / navegador</t>
  </si>
  <si>
    <t>Intento fallido</t>
  </si>
  <si>
    <t>Cuenta sin activar</t>
  </si>
  <si>
    <t>Chrome en Windows</t>
  </si>
  <si>
    <t>Ingreso</t>
  </si>
  <si>
    <t>OK</t>
  </si>
  <si>
    <t>Código temporal generado</t>
  </si>
  <si>
    <t>Por Fernando Celadita</t>
  </si>
  <si>
    <t>Salida</t>
  </si>
  <si>
    <t>Chrome en Android</t>
  </si>
  <si>
    <t>Activación de cuenta</t>
  </si>
  <si>
    <t>Contraseña incorrecta</t>
  </si>
  <si>
    <t>Chrome en Linux</t>
  </si>
  <si>
    <t>Total de ingresos</t>
  </si>
  <si>
    <t>Último ingreso</t>
  </si>
  <si>
    <t>Último cierre de sesión</t>
  </si>
  <si>
    <t>Intentos fallidos</t>
  </si>
  <si>
    <t>Días desde el último ingreso</t>
  </si>
  <si>
    <t>Vista</t>
  </si>
  <si>
    <t>Alcance</t>
  </si>
  <si>
    <t>Vista por instructor</t>
  </si>
  <si>
    <t>El instructor ve solo su propio rol (según su BP). El administrador puede elegir a cualquiera.</t>
  </si>
  <si>
    <t>Indicadores</t>
  </si>
  <si>
    <t>NO</t>
  </si>
  <si>
    <t>Equidad del Freeze, tendencias, alertas.</t>
  </si>
  <si>
    <t>Seguimiento del mes</t>
  </si>
  <si>
    <t>Confirmaciones y observaciones por instructor.</t>
  </si>
  <si>
    <t>Rol completo</t>
  </si>
  <si>
    <t>Matriz con todos los instructores del mes.</t>
  </si>
  <si>
    <t>Equipo por día</t>
  </si>
  <si>
    <t>Quiénes tienen actividad cada día.</t>
  </si>
  <si>
    <t>Actualizar rol</t>
  </si>
  <si>
    <t>Carga del Excel del Freeze del mes.</t>
  </si>
  <si>
    <t>Usuarios y accesos</t>
  </si>
  <si>
    <t>Códigos de acceso, sesiones e ingresos. Nunca disponible para instructores.</t>
  </si>
  <si>
    <t>Ventana de solicitudes, aprobación y saldo del equipo por periodo DGAC. Cada instructor ve sus propias vacaciones en Mi rol.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</si>
</sst>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dd/mm/yyyy\ hh:mm:ss"/>
    <numFmt numFmtId="167" formatCode="dd/mm/yyyy\ hh:mm"/>
  </numFmts>
  <fonts count="8">
    <font>
      <sz val="11.0"/>
      <color theme="1"/>
      <name val="Calibri"/>
      <scheme val="minor"/>
    </font>
    <font>
      <b/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</fills>
  <borders count="2">
    <border/>
    <border>
      <left style="thin">
        <color rgb="FFC9D0DB"/>
      </left>
      <right style="thin">
        <color rgb="FFC9D0DB"/>
      </right>
      <top style="thin">
        <color rgb="FFC9D0DB"/>
      </top>
      <bottom style="thin">
        <color rgb="FFC9D0DB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4" numFmtId="165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1" fillId="2" fontId="5" numFmtId="0" xfId="0" applyAlignment="1" applyBorder="1" applyFill="1" applyFont="1">
      <alignment horizontal="left" shrinkToFit="0" vertical="center" wrapText="1"/>
    </xf>
    <xf borderId="1" fillId="0" fontId="3" numFmtId="49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6" numFmtId="49" xfId="0" applyAlignment="1" applyFont="1" applyNumberFormat="1">
      <alignment readingOrder="0"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0" fontId="4" numFmtId="0" xfId="0" applyFont="1"/>
    <xf borderId="0" fillId="0" fontId="7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0" fillId="0" fontId="6" numFmtId="165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6" xfId="0" applyAlignment="1" applyFont="1" applyNumberFormat="1">
      <alignment shrinkToFit="0" vertical="bottom" wrapText="0"/>
    </xf>
    <xf borderId="1" fillId="0" fontId="3" numFmtId="167" xfId="0" applyAlignment="1" applyBorder="1" applyFont="1" applyNumberFormat="1">
      <alignment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0IizPnZybvm3cm1nnRhKSUHGl0WcEAmeiK3gvEaqxw/edit?gid=681297197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10">
      <c r="A10" s="2" t="s">
        <v>13</v>
      </c>
      <c r="B10" s="3" t="s">
        <v>14</v>
      </c>
    </row>
    <row r="11">
      <c r="A11" s="2" t="s">
        <v>15</v>
      </c>
      <c r="B11" s="3" t="s">
        <v>16</v>
      </c>
    </row>
    <row r="12">
      <c r="A12" s="4" t="s">
        <v>17</v>
      </c>
      <c r="B12" s="4" t="s">
        <v>18</v>
      </c>
    </row>
    <row r="13">
      <c r="A13" s="4" t="s">
        <v>19</v>
      </c>
      <c r="B13" s="4" t="s">
        <v>20</v>
      </c>
    </row>
    <row r="14">
      <c r="A14" s="4" t="s">
        <v>21</v>
      </c>
      <c r="B14" s="4" t="s">
        <v>22</v>
      </c>
    </row>
    <row r="15">
      <c r="A15" s="4" t="s">
        <v>23</v>
      </c>
      <c r="B15" s="4" t="s">
        <v>24</v>
      </c>
    </row>
    <row r="16">
      <c r="A16" s="4" t="s">
        <v>25</v>
      </c>
      <c r="B16" s="4" t="s">
        <v>26</v>
      </c>
    </row>
    <row r="17">
      <c r="A17" s="4" t="s">
        <v>27</v>
      </c>
      <c r="B17" s="4" t="s">
        <v>28</v>
      </c>
    </row>
    <row r="18">
      <c r="A18" s="4" t="s">
        <v>29</v>
      </c>
      <c r="B18" s="4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41.14"/>
    <col customWidth="1" min="3" max="3" width="18.29"/>
    <col customWidth="1" min="4" max="5" width="16.29"/>
    <col customWidth="1" min="6" max="7" width="15.86"/>
    <col customWidth="1" min="8" max="8" width="16.29"/>
    <col customWidth="1" min="9" max="9" width="23.71"/>
  </cols>
  <sheetData>
    <row r="1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5" t="s">
        <v>39</v>
      </c>
    </row>
    <row r="2">
      <c r="A2" s="4">
        <v>29530.0</v>
      </c>
      <c r="B2" s="4" t="s">
        <v>40</v>
      </c>
      <c r="C2" s="6">
        <v>40567.0</v>
      </c>
      <c r="D2" s="6">
        <v>45681.0</v>
      </c>
      <c r="E2" s="6">
        <v>46046.0</v>
      </c>
      <c r="F2" s="7">
        <v>40.0</v>
      </c>
      <c r="G2" s="7">
        <v>41.0</v>
      </c>
      <c r="H2" s="7">
        <v>41.0</v>
      </c>
      <c r="I2" s="5" t="s">
        <v>41</v>
      </c>
    </row>
    <row r="3">
      <c r="A3" s="4">
        <v>71348.0</v>
      </c>
      <c r="B3" s="4" t="s">
        <v>42</v>
      </c>
      <c r="C3" s="6">
        <v>38223.0</v>
      </c>
      <c r="D3" s="6">
        <v>45893.0</v>
      </c>
      <c r="E3" s="6">
        <v>46258.0</v>
      </c>
      <c r="F3" s="7">
        <v>45.0</v>
      </c>
      <c r="G3" s="7">
        <v>45.0</v>
      </c>
      <c r="H3" s="7">
        <v>7.0</v>
      </c>
      <c r="I3" s="5" t="s">
        <v>43</v>
      </c>
    </row>
    <row r="4">
      <c r="A4" s="4">
        <v>967092.0</v>
      </c>
      <c r="B4" s="4" t="s">
        <v>44</v>
      </c>
      <c r="C4" s="6">
        <v>38139.0</v>
      </c>
      <c r="D4" s="6">
        <v>45809.0</v>
      </c>
      <c r="E4" s="6">
        <v>46174.0</v>
      </c>
      <c r="F4" s="7">
        <v>45.0</v>
      </c>
      <c r="G4" s="7">
        <v>45.0</v>
      </c>
      <c r="H4" s="7">
        <v>46.0</v>
      </c>
      <c r="I4" s="5" t="s">
        <v>45</v>
      </c>
    </row>
    <row r="5">
      <c r="A5" s="4">
        <v>1271571.0</v>
      </c>
      <c r="B5" s="4" t="s">
        <v>46</v>
      </c>
      <c r="D5" s="6">
        <v>45950.0</v>
      </c>
      <c r="E5" s="6">
        <v>46315.0</v>
      </c>
      <c r="F5" s="7">
        <v>45.0</v>
      </c>
      <c r="G5" s="7">
        <v>45.0</v>
      </c>
      <c r="H5" s="7">
        <v>21.0</v>
      </c>
      <c r="I5" s="5" t="s">
        <v>47</v>
      </c>
    </row>
    <row r="6">
      <c r="A6" s="4">
        <v>2369624.0</v>
      </c>
      <c r="B6" s="4" t="s">
        <v>48</v>
      </c>
      <c r="C6" s="6">
        <v>39187.0</v>
      </c>
      <c r="D6" s="6">
        <v>45762.0</v>
      </c>
      <c r="E6" s="6">
        <v>46127.0</v>
      </c>
      <c r="F6" s="7">
        <v>44.0</v>
      </c>
      <c r="G6" s="7">
        <v>45.0</v>
      </c>
      <c r="H6" s="7">
        <v>42.0</v>
      </c>
      <c r="I6" s="5" t="s">
        <v>49</v>
      </c>
    </row>
    <row r="7">
      <c r="A7" s="4">
        <v>2369641.0</v>
      </c>
      <c r="B7" s="4" t="s">
        <v>50</v>
      </c>
      <c r="C7" s="6">
        <v>39197.0</v>
      </c>
      <c r="D7" s="6">
        <v>45772.0</v>
      </c>
      <c r="E7" s="6">
        <v>46137.0</v>
      </c>
      <c r="F7" s="7">
        <v>44.0</v>
      </c>
      <c r="G7" s="7">
        <v>45.0</v>
      </c>
      <c r="H7" s="7">
        <v>42.0</v>
      </c>
      <c r="I7" s="5" t="s">
        <v>51</v>
      </c>
    </row>
    <row r="8">
      <c r="A8" s="4">
        <v>2396710.0</v>
      </c>
      <c r="B8" s="4" t="s">
        <v>52</v>
      </c>
      <c r="D8" s="6">
        <v>45823.0</v>
      </c>
      <c r="E8" s="6">
        <v>46188.0</v>
      </c>
      <c r="F8" s="7">
        <v>43.0</v>
      </c>
      <c r="G8" s="7">
        <v>45.0</v>
      </c>
      <c r="H8" s="7">
        <v>31.0</v>
      </c>
      <c r="I8" s="5" t="s">
        <v>53</v>
      </c>
    </row>
    <row r="9">
      <c r="A9" s="4">
        <v>2415373.0</v>
      </c>
      <c r="B9" s="4" t="s">
        <v>54</v>
      </c>
      <c r="C9" s="6">
        <v>39295.0</v>
      </c>
      <c r="D9" s="6">
        <v>45870.0</v>
      </c>
      <c r="E9" s="6">
        <v>46235.0</v>
      </c>
      <c r="F9" s="7">
        <v>44.0</v>
      </c>
      <c r="G9" s="7">
        <v>45.0</v>
      </c>
      <c r="H9" s="7">
        <v>44.0</v>
      </c>
      <c r="I9" s="5" t="s">
        <v>55</v>
      </c>
    </row>
    <row r="10">
      <c r="A10" s="4">
        <v>2440915.0</v>
      </c>
      <c r="B10" s="4" t="s">
        <v>56</v>
      </c>
      <c r="C10" s="6">
        <v>39356.0</v>
      </c>
      <c r="D10" s="6">
        <v>45931.0</v>
      </c>
      <c r="E10" s="6">
        <v>46296.0</v>
      </c>
      <c r="F10" s="7">
        <v>44.0</v>
      </c>
      <c r="G10" s="7">
        <v>45.0</v>
      </c>
      <c r="H10" s="7">
        <v>44.0</v>
      </c>
      <c r="I10" s="5" t="s">
        <v>57</v>
      </c>
    </row>
    <row r="11">
      <c r="A11" s="4">
        <v>2604360.0</v>
      </c>
      <c r="B11" s="4" t="s">
        <v>58</v>
      </c>
      <c r="C11" s="6">
        <v>40301.0</v>
      </c>
      <c r="D11" s="6">
        <v>45780.0</v>
      </c>
      <c r="E11" s="6">
        <v>46145.0</v>
      </c>
      <c r="F11" s="7">
        <v>41.0</v>
      </c>
      <c r="G11" s="7">
        <v>42.0</v>
      </c>
      <c r="H11" s="7">
        <v>40.0</v>
      </c>
      <c r="I11" s="5" t="s">
        <v>59</v>
      </c>
    </row>
    <row r="12">
      <c r="A12" s="4">
        <v>2713993.0</v>
      </c>
      <c r="B12" s="4" t="s">
        <v>60</v>
      </c>
      <c r="D12" s="6">
        <v>45689.0</v>
      </c>
      <c r="E12" s="6">
        <v>46054.0</v>
      </c>
      <c r="F12" s="7">
        <v>45.0</v>
      </c>
      <c r="G12" s="7">
        <v>45.0</v>
      </c>
      <c r="H12" s="7">
        <v>41.0</v>
      </c>
      <c r="I12" s="5" t="s">
        <v>61</v>
      </c>
    </row>
    <row r="13">
      <c r="A13" s="4">
        <v>2823133.0</v>
      </c>
      <c r="B13" s="4" t="s">
        <v>62</v>
      </c>
      <c r="C13" s="6">
        <v>40546.0</v>
      </c>
      <c r="D13" s="6">
        <v>45660.0</v>
      </c>
      <c r="E13" s="6">
        <v>46025.0</v>
      </c>
      <c r="F13" s="7">
        <v>40.0</v>
      </c>
      <c r="G13" s="7">
        <v>41.0</v>
      </c>
      <c r="H13" s="7">
        <v>41.0</v>
      </c>
      <c r="I13" s="5" t="s">
        <v>63</v>
      </c>
    </row>
    <row r="14">
      <c r="A14" s="4">
        <v>2843319.0</v>
      </c>
      <c r="B14" s="4" t="s">
        <v>64</v>
      </c>
      <c r="C14" s="6">
        <v>40026.0</v>
      </c>
      <c r="D14" s="6">
        <v>45870.0</v>
      </c>
      <c r="E14" s="6">
        <v>46235.0</v>
      </c>
      <c r="F14" s="7">
        <v>42.0</v>
      </c>
      <c r="G14" s="7">
        <v>43.0</v>
      </c>
      <c r="H14" s="7">
        <v>42.0</v>
      </c>
      <c r="I14" s="5" t="s">
        <v>65</v>
      </c>
    </row>
    <row r="15">
      <c r="A15" s="4">
        <v>3134911.0</v>
      </c>
      <c r="B15" s="4" t="s">
        <v>66</v>
      </c>
      <c r="C15" s="6">
        <v>40462.0</v>
      </c>
      <c r="D15" s="6">
        <v>45941.0</v>
      </c>
      <c r="E15" s="6">
        <v>46306.0</v>
      </c>
      <c r="F15" s="7">
        <v>41.0</v>
      </c>
      <c r="G15" s="7">
        <v>42.0</v>
      </c>
      <c r="H15" s="7">
        <v>46.0</v>
      </c>
      <c r="I15" s="5" t="s">
        <v>67</v>
      </c>
    </row>
    <row r="16">
      <c r="A16" s="4">
        <v>3189967.0</v>
      </c>
      <c r="B16" s="4" t="s">
        <v>68</v>
      </c>
      <c r="C16" s="6">
        <v>40546.0</v>
      </c>
      <c r="D16" s="6">
        <v>45660.0</v>
      </c>
      <c r="E16" s="6">
        <v>46025.0</v>
      </c>
      <c r="F16" s="7">
        <v>40.0</v>
      </c>
      <c r="G16" s="7">
        <v>41.0</v>
      </c>
      <c r="H16" s="7">
        <v>41.0</v>
      </c>
      <c r="I16" s="5" t="s">
        <v>69</v>
      </c>
    </row>
    <row r="17">
      <c r="A17" s="4">
        <v>3217561.0</v>
      </c>
      <c r="B17" s="4" t="s">
        <v>70</v>
      </c>
      <c r="C17" s="6">
        <v>40567.0</v>
      </c>
      <c r="D17" s="6">
        <v>45681.0</v>
      </c>
      <c r="E17" s="6">
        <v>46046.0</v>
      </c>
      <c r="F17" s="7">
        <v>40.0</v>
      </c>
      <c r="G17" s="7">
        <v>41.0</v>
      </c>
      <c r="H17" s="7">
        <v>41.0</v>
      </c>
      <c r="I17" s="5" t="s">
        <v>71</v>
      </c>
    </row>
    <row r="18">
      <c r="A18" s="4">
        <v>3750335.0</v>
      </c>
      <c r="B18" s="4" t="s">
        <v>72</v>
      </c>
      <c r="C18" s="6">
        <v>42186.0</v>
      </c>
      <c r="D18" s="6">
        <v>45839.0</v>
      </c>
      <c r="E18" s="6">
        <v>46204.0</v>
      </c>
      <c r="F18" s="7">
        <v>36.0</v>
      </c>
      <c r="G18" s="7">
        <v>37.0</v>
      </c>
      <c r="H18" s="7">
        <v>35.0</v>
      </c>
      <c r="I18" s="5" t="s">
        <v>73</v>
      </c>
    </row>
    <row r="19">
      <c r="A19" s="4">
        <v>3779550.0</v>
      </c>
      <c r="B19" s="4" t="s">
        <v>74</v>
      </c>
      <c r="C19" s="6">
        <v>41470.0</v>
      </c>
      <c r="D19" s="6">
        <v>45853.0</v>
      </c>
      <c r="E19" s="6">
        <v>46218.0</v>
      </c>
      <c r="F19" s="7">
        <v>38.0</v>
      </c>
      <c r="G19" s="7">
        <v>39.0</v>
      </c>
      <c r="H19" s="7">
        <v>38.0</v>
      </c>
      <c r="I19" s="5" t="s">
        <v>75</v>
      </c>
    </row>
    <row r="20">
      <c r="A20" s="4">
        <v>3796947.0</v>
      </c>
      <c r="B20" s="4" t="s">
        <v>76</v>
      </c>
      <c r="C20" s="6">
        <v>41526.0</v>
      </c>
      <c r="F20" s="7">
        <v>38.0</v>
      </c>
      <c r="G20" s="7">
        <v>39.0</v>
      </c>
      <c r="H20" s="7">
        <v>8.0</v>
      </c>
      <c r="I20" s="5" t="s">
        <v>77</v>
      </c>
    </row>
    <row r="21">
      <c r="A21" s="4">
        <v>3841387.0</v>
      </c>
      <c r="B21" s="4" t="s">
        <v>78</v>
      </c>
      <c r="C21" s="6">
        <v>41656.0</v>
      </c>
      <c r="D21" s="6">
        <v>45674.0</v>
      </c>
      <c r="E21" s="6">
        <v>46039.0</v>
      </c>
      <c r="F21" s="7">
        <v>37.0</v>
      </c>
      <c r="G21" s="7">
        <v>38.0</v>
      </c>
      <c r="H21" s="7">
        <v>39.0</v>
      </c>
      <c r="I21" s="5" t="s">
        <v>79</v>
      </c>
    </row>
    <row r="22">
      <c r="A22" s="4">
        <v>3852423.0</v>
      </c>
      <c r="B22" s="4" t="s">
        <v>80</v>
      </c>
      <c r="C22" s="6">
        <v>41835.0</v>
      </c>
      <c r="D22" s="6">
        <v>45853.0</v>
      </c>
      <c r="E22" s="6">
        <v>46218.0</v>
      </c>
      <c r="F22" s="7">
        <v>37.0</v>
      </c>
      <c r="G22" s="7">
        <v>38.0</v>
      </c>
      <c r="H22" s="7">
        <v>39.0</v>
      </c>
      <c r="I22" s="5" t="s">
        <v>81</v>
      </c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31</v>
      </c>
      <c r="B1" s="4" t="s">
        <v>82</v>
      </c>
    </row>
    <row r="2">
      <c r="A2" s="4">
        <v>29530.0</v>
      </c>
      <c r="B2" s="6">
        <v>45299.0</v>
      </c>
    </row>
    <row r="3">
      <c r="A3" s="4">
        <v>29530.0</v>
      </c>
      <c r="B3" s="6">
        <v>45300.0</v>
      </c>
    </row>
    <row r="4">
      <c r="A4" s="4">
        <v>29530.0</v>
      </c>
      <c r="B4" s="6">
        <v>45301.0</v>
      </c>
    </row>
    <row r="5">
      <c r="A5" s="4">
        <v>29530.0</v>
      </c>
      <c r="B5" s="6">
        <v>45302.0</v>
      </c>
    </row>
    <row r="6">
      <c r="A6" s="4">
        <v>29530.0</v>
      </c>
      <c r="B6" s="6">
        <v>45303.0</v>
      </c>
    </row>
    <row r="7">
      <c r="A7" s="4">
        <v>29530.0</v>
      </c>
      <c r="B7" s="6">
        <v>45304.0</v>
      </c>
    </row>
    <row r="8">
      <c r="A8" s="4">
        <v>29530.0</v>
      </c>
      <c r="B8" s="6">
        <v>45305.0</v>
      </c>
    </row>
    <row r="9">
      <c r="A9" s="4">
        <v>29530.0</v>
      </c>
      <c r="B9" s="6">
        <v>45306.0</v>
      </c>
    </row>
    <row r="10">
      <c r="A10" s="4">
        <v>29530.0</v>
      </c>
      <c r="B10" s="6">
        <v>45307.0</v>
      </c>
    </row>
    <row r="11">
      <c r="A11" s="4">
        <v>29530.0</v>
      </c>
      <c r="B11" s="6">
        <v>45308.0</v>
      </c>
    </row>
    <row r="12">
      <c r="A12" s="4">
        <v>29530.0</v>
      </c>
      <c r="B12" s="6">
        <v>45309.0</v>
      </c>
    </row>
    <row r="13">
      <c r="A13" s="4">
        <v>29530.0</v>
      </c>
      <c r="B13" s="6">
        <v>45310.0</v>
      </c>
    </row>
    <row r="14">
      <c r="A14" s="4">
        <v>29530.0</v>
      </c>
      <c r="B14" s="6">
        <v>45311.0</v>
      </c>
    </row>
    <row r="15">
      <c r="A15" s="4">
        <v>29530.0</v>
      </c>
      <c r="B15" s="6">
        <v>45436.0</v>
      </c>
    </row>
    <row r="16">
      <c r="A16" s="4">
        <v>29530.0</v>
      </c>
      <c r="B16" s="6">
        <v>45437.0</v>
      </c>
    </row>
    <row r="17">
      <c r="A17" s="4">
        <v>29530.0</v>
      </c>
      <c r="B17" s="6">
        <v>45438.0</v>
      </c>
    </row>
    <row r="18">
      <c r="A18" s="4">
        <v>29530.0</v>
      </c>
      <c r="B18" s="6">
        <v>45439.0</v>
      </c>
    </row>
    <row r="19">
      <c r="A19" s="4">
        <v>29530.0</v>
      </c>
      <c r="B19" s="6">
        <v>45440.0</v>
      </c>
    </row>
    <row r="20">
      <c r="A20" s="4">
        <v>29530.0</v>
      </c>
      <c r="B20" s="6">
        <v>45441.0</v>
      </c>
    </row>
    <row r="21">
      <c r="A21" s="4">
        <v>29530.0</v>
      </c>
      <c r="B21" s="6">
        <v>45442.0</v>
      </c>
    </row>
    <row r="22">
      <c r="A22" s="4">
        <v>29530.0</v>
      </c>
      <c r="B22" s="6">
        <v>45443.0</v>
      </c>
    </row>
    <row r="23">
      <c r="A23" s="4">
        <v>29530.0</v>
      </c>
      <c r="B23" s="6">
        <v>45444.0</v>
      </c>
    </row>
    <row r="24">
      <c r="A24" s="4">
        <v>29530.0</v>
      </c>
      <c r="B24" s="6">
        <v>45445.0</v>
      </c>
    </row>
    <row r="25">
      <c r="A25" s="4">
        <v>29530.0</v>
      </c>
      <c r="B25" s="6">
        <v>45446.0</v>
      </c>
    </row>
    <row r="26">
      <c r="A26" s="4">
        <v>29530.0</v>
      </c>
      <c r="B26" s="6">
        <v>45447.0</v>
      </c>
    </row>
    <row r="27">
      <c r="A27" s="4">
        <v>29530.0</v>
      </c>
      <c r="B27" s="6">
        <v>45448.0</v>
      </c>
    </row>
    <row r="28">
      <c r="A28" s="4">
        <v>29530.0</v>
      </c>
      <c r="B28" s="6">
        <v>45449.0</v>
      </c>
    </row>
    <row r="29">
      <c r="A29" s="4">
        <v>29530.0</v>
      </c>
      <c r="B29" s="6">
        <v>45450.0</v>
      </c>
    </row>
    <row r="30">
      <c r="A30" s="4">
        <v>29530.0</v>
      </c>
      <c r="B30" s="6">
        <v>45589.0</v>
      </c>
    </row>
    <row r="31">
      <c r="A31" s="4">
        <v>29530.0</v>
      </c>
      <c r="B31" s="6">
        <v>45590.0</v>
      </c>
    </row>
    <row r="32">
      <c r="A32" s="4">
        <v>29530.0</v>
      </c>
      <c r="B32" s="6">
        <v>45591.0</v>
      </c>
    </row>
    <row r="33">
      <c r="A33" s="4">
        <v>29530.0</v>
      </c>
      <c r="B33" s="6">
        <v>45592.0</v>
      </c>
    </row>
    <row r="34">
      <c r="A34" s="4">
        <v>29530.0</v>
      </c>
      <c r="B34" s="6">
        <v>45593.0</v>
      </c>
    </row>
    <row r="35">
      <c r="A35" s="4">
        <v>29530.0</v>
      </c>
      <c r="B35" s="6">
        <v>45594.0</v>
      </c>
    </row>
    <row r="36">
      <c r="A36" s="4">
        <v>29530.0</v>
      </c>
      <c r="B36" s="6">
        <v>45595.0</v>
      </c>
    </row>
    <row r="37">
      <c r="A37" s="4">
        <v>29530.0</v>
      </c>
      <c r="B37" s="6">
        <v>45596.0</v>
      </c>
    </row>
    <row r="38">
      <c r="A38" s="4">
        <v>29530.0</v>
      </c>
      <c r="B38" s="6">
        <v>45597.0</v>
      </c>
    </row>
    <row r="39">
      <c r="A39" s="4">
        <v>29530.0</v>
      </c>
      <c r="B39" s="6">
        <v>45598.0</v>
      </c>
    </row>
    <row r="40">
      <c r="A40" s="4">
        <v>29530.0</v>
      </c>
      <c r="B40" s="6">
        <v>45599.0</v>
      </c>
    </row>
    <row r="41">
      <c r="A41" s="4">
        <v>29530.0</v>
      </c>
      <c r="B41" s="6">
        <v>45600.0</v>
      </c>
    </row>
    <row r="42">
      <c r="A42" s="4">
        <v>29530.0</v>
      </c>
      <c r="B42" s="6">
        <v>45601.0</v>
      </c>
    </row>
    <row r="43">
      <c r="A43" s="4">
        <v>29530.0</v>
      </c>
      <c r="B43" s="6">
        <v>45602.0</v>
      </c>
    </row>
    <row r="44">
      <c r="A44" s="4">
        <v>29530.0</v>
      </c>
      <c r="B44" s="6">
        <v>45603.0</v>
      </c>
    </row>
    <row r="45">
      <c r="A45" s="4">
        <v>29530.0</v>
      </c>
      <c r="B45" s="6">
        <v>45604.0</v>
      </c>
    </row>
    <row r="46">
      <c r="A46" s="4">
        <v>29530.0</v>
      </c>
      <c r="B46" s="6">
        <v>45605.0</v>
      </c>
    </row>
    <row r="47">
      <c r="A47" s="4">
        <v>29530.0</v>
      </c>
      <c r="B47" s="6">
        <v>45606.0</v>
      </c>
    </row>
    <row r="48">
      <c r="A48" s="4">
        <v>29530.0</v>
      </c>
      <c r="B48" s="6">
        <v>45607.0</v>
      </c>
    </row>
    <row r="49">
      <c r="A49" s="4">
        <v>29530.0</v>
      </c>
      <c r="B49" s="6">
        <v>45608.0</v>
      </c>
    </row>
    <row r="50">
      <c r="A50" s="4">
        <v>29530.0</v>
      </c>
      <c r="B50" s="6">
        <v>45609.0</v>
      </c>
    </row>
    <row r="51">
      <c r="A51" s="4">
        <v>29530.0</v>
      </c>
      <c r="B51" s="6">
        <v>45610.0</v>
      </c>
    </row>
    <row r="52">
      <c r="A52" s="4">
        <v>29530.0</v>
      </c>
      <c r="B52" s="6">
        <v>45611.0</v>
      </c>
    </row>
    <row r="53">
      <c r="A53" s="4">
        <v>29530.0</v>
      </c>
      <c r="B53" s="6">
        <v>45612.0</v>
      </c>
    </row>
    <row r="54">
      <c r="A54" s="4">
        <v>29530.0</v>
      </c>
      <c r="B54" s="6">
        <v>45755.0</v>
      </c>
    </row>
    <row r="55">
      <c r="A55" s="4">
        <v>29530.0</v>
      </c>
      <c r="B55" s="6">
        <v>45756.0</v>
      </c>
    </row>
    <row r="56">
      <c r="A56" s="4">
        <v>29530.0</v>
      </c>
      <c r="B56" s="6">
        <v>45757.0</v>
      </c>
    </row>
    <row r="57">
      <c r="A57" s="4">
        <v>29530.0</v>
      </c>
      <c r="B57" s="6">
        <v>45758.0</v>
      </c>
    </row>
    <row r="58">
      <c r="A58" s="4">
        <v>29530.0</v>
      </c>
      <c r="B58" s="6">
        <v>45759.0</v>
      </c>
    </row>
    <row r="59">
      <c r="A59" s="4">
        <v>29530.0</v>
      </c>
      <c r="B59" s="6">
        <v>45760.0</v>
      </c>
    </row>
    <row r="60">
      <c r="A60" s="4">
        <v>29530.0</v>
      </c>
      <c r="B60" s="6">
        <v>45761.0</v>
      </c>
    </row>
    <row r="61">
      <c r="A61" s="4">
        <v>29530.0</v>
      </c>
      <c r="B61" s="6">
        <v>45762.0</v>
      </c>
    </row>
    <row r="62">
      <c r="A62" s="4">
        <v>29530.0</v>
      </c>
      <c r="B62" s="6">
        <v>45763.0</v>
      </c>
    </row>
    <row r="63">
      <c r="A63" s="4">
        <v>29530.0</v>
      </c>
      <c r="B63" s="6">
        <v>45764.0</v>
      </c>
    </row>
    <row r="64">
      <c r="A64" s="4">
        <v>29530.0</v>
      </c>
      <c r="B64" s="6">
        <v>45765.0</v>
      </c>
    </row>
    <row r="65">
      <c r="A65" s="4">
        <v>29530.0</v>
      </c>
      <c r="B65" s="6">
        <v>45766.0</v>
      </c>
    </row>
    <row r="66">
      <c r="A66" s="4">
        <v>29530.0</v>
      </c>
      <c r="B66" s="6">
        <v>45767.0</v>
      </c>
    </row>
    <row r="67">
      <c r="A67" s="4">
        <v>29530.0</v>
      </c>
      <c r="B67" s="6">
        <v>45768.0</v>
      </c>
    </row>
    <row r="68">
      <c r="A68" s="4">
        <v>29530.0</v>
      </c>
      <c r="B68" s="6">
        <v>45769.0</v>
      </c>
    </row>
    <row r="69">
      <c r="A69" s="4">
        <v>29530.0</v>
      </c>
      <c r="B69" s="6">
        <v>45954.0</v>
      </c>
    </row>
    <row r="70">
      <c r="A70" s="4">
        <v>29530.0</v>
      </c>
      <c r="B70" s="6">
        <v>45955.0</v>
      </c>
    </row>
    <row r="71">
      <c r="A71" s="4">
        <v>29530.0</v>
      </c>
      <c r="B71" s="6">
        <v>45956.0</v>
      </c>
    </row>
    <row r="72">
      <c r="A72" s="4">
        <v>29530.0</v>
      </c>
      <c r="B72" s="6">
        <v>45957.0</v>
      </c>
    </row>
    <row r="73">
      <c r="A73" s="4">
        <v>29530.0</v>
      </c>
      <c r="B73" s="6">
        <v>45958.0</v>
      </c>
    </row>
    <row r="74">
      <c r="A74" s="4">
        <v>29530.0</v>
      </c>
      <c r="B74" s="6">
        <v>45959.0</v>
      </c>
    </row>
    <row r="75">
      <c r="A75" s="4">
        <v>29530.0</v>
      </c>
      <c r="B75" s="6">
        <v>45960.0</v>
      </c>
    </row>
    <row r="76">
      <c r="A76" s="4">
        <v>29530.0</v>
      </c>
      <c r="B76" s="6">
        <v>45961.0</v>
      </c>
    </row>
    <row r="77">
      <c r="A77" s="4">
        <v>29530.0</v>
      </c>
      <c r="B77" s="6">
        <v>45962.0</v>
      </c>
    </row>
    <row r="78">
      <c r="A78" s="4">
        <v>29530.0</v>
      </c>
      <c r="B78" s="6">
        <v>45963.0</v>
      </c>
    </row>
    <row r="79">
      <c r="A79" s="4">
        <v>29530.0</v>
      </c>
      <c r="B79" s="6">
        <v>45964.0</v>
      </c>
    </row>
    <row r="80">
      <c r="A80" s="4">
        <v>29530.0</v>
      </c>
      <c r="B80" s="6">
        <v>45965.0</v>
      </c>
    </row>
    <row r="81">
      <c r="A81" s="4">
        <v>29530.0</v>
      </c>
      <c r="B81" s="6">
        <v>45966.0</v>
      </c>
    </row>
    <row r="82">
      <c r="A82" s="4">
        <v>29530.0</v>
      </c>
      <c r="B82" s="6">
        <v>45967.0</v>
      </c>
    </row>
    <row r="83">
      <c r="A83" s="4">
        <v>29530.0</v>
      </c>
      <c r="B83" s="6">
        <v>45968.0</v>
      </c>
    </row>
    <row r="84">
      <c r="A84" s="4">
        <v>29530.0</v>
      </c>
      <c r="B84" s="6">
        <v>45969.0</v>
      </c>
    </row>
    <row r="85">
      <c r="A85" s="4">
        <v>29530.0</v>
      </c>
      <c r="B85" s="6">
        <v>45970.0</v>
      </c>
    </row>
    <row r="86">
      <c r="A86" s="4">
        <v>29530.0</v>
      </c>
      <c r="B86" s="6">
        <v>45971.0</v>
      </c>
    </row>
    <row r="87">
      <c r="A87" s="4">
        <v>29530.0</v>
      </c>
      <c r="B87" s="6">
        <v>45972.0</v>
      </c>
    </row>
    <row r="88">
      <c r="A88" s="4">
        <v>29530.0</v>
      </c>
      <c r="B88" s="6">
        <v>45973.0</v>
      </c>
    </row>
    <row r="89">
      <c r="A89" s="4">
        <v>29530.0</v>
      </c>
      <c r="B89" s="6">
        <v>45974.0</v>
      </c>
    </row>
    <row r="90">
      <c r="A90" s="4">
        <v>29530.0</v>
      </c>
      <c r="B90" s="6">
        <v>45975.0</v>
      </c>
    </row>
    <row r="91">
      <c r="A91" s="4">
        <v>29530.0</v>
      </c>
      <c r="B91" s="6">
        <v>45976.0</v>
      </c>
    </row>
    <row r="92">
      <c r="A92" s="4">
        <v>29530.0</v>
      </c>
      <c r="B92" s="6">
        <v>45977.0</v>
      </c>
    </row>
    <row r="93">
      <c r="A93" s="4">
        <v>29530.0</v>
      </c>
      <c r="B93" s="6">
        <v>45978.0</v>
      </c>
    </row>
    <row r="94">
      <c r="A94" s="4">
        <v>29530.0</v>
      </c>
      <c r="B94" s="6">
        <v>46166.0</v>
      </c>
    </row>
    <row r="95">
      <c r="A95" s="4">
        <v>29530.0</v>
      </c>
      <c r="B95" s="6">
        <v>46167.0</v>
      </c>
    </row>
    <row r="96">
      <c r="A96" s="4">
        <v>29530.0</v>
      </c>
      <c r="B96" s="6">
        <v>46168.0</v>
      </c>
    </row>
    <row r="97">
      <c r="A97" s="4">
        <v>29530.0</v>
      </c>
      <c r="B97" s="6">
        <v>46169.0</v>
      </c>
    </row>
    <row r="98">
      <c r="A98" s="4">
        <v>29530.0</v>
      </c>
      <c r="B98" s="6">
        <v>46170.0</v>
      </c>
    </row>
    <row r="99">
      <c r="A99" s="4">
        <v>29530.0</v>
      </c>
      <c r="B99" s="6">
        <v>46171.0</v>
      </c>
    </row>
    <row r="100">
      <c r="A100" s="4">
        <v>29530.0</v>
      </c>
      <c r="B100" s="6">
        <v>46172.0</v>
      </c>
    </row>
    <row r="101">
      <c r="A101" s="4">
        <v>29530.0</v>
      </c>
      <c r="B101" s="6">
        <v>46173.0</v>
      </c>
    </row>
    <row r="102">
      <c r="A102" s="4">
        <v>29530.0</v>
      </c>
      <c r="B102" s="6">
        <v>46174.0</v>
      </c>
    </row>
    <row r="103">
      <c r="A103" s="4">
        <v>29530.0</v>
      </c>
      <c r="B103" s="6">
        <v>46175.0</v>
      </c>
    </row>
    <row r="104">
      <c r="A104" s="4">
        <v>29530.0</v>
      </c>
      <c r="B104" s="6">
        <v>46176.0</v>
      </c>
    </row>
    <row r="105">
      <c r="A105" s="4">
        <v>29530.0</v>
      </c>
      <c r="B105" s="6">
        <v>46177.0</v>
      </c>
    </row>
    <row r="106">
      <c r="A106" s="4">
        <v>29530.0</v>
      </c>
      <c r="B106" s="6">
        <v>46178.0</v>
      </c>
    </row>
    <row r="107">
      <c r="A107" s="4">
        <v>29530.0</v>
      </c>
      <c r="B107" s="6">
        <v>46179.0</v>
      </c>
    </row>
    <row r="108">
      <c r="A108" s="4">
        <v>29530.0</v>
      </c>
      <c r="B108" s="6">
        <v>46180.0</v>
      </c>
    </row>
    <row r="109">
      <c r="A109" s="4">
        <v>29530.0</v>
      </c>
      <c r="B109" s="6">
        <v>46296.0</v>
      </c>
    </row>
    <row r="110">
      <c r="A110" s="4">
        <v>29530.0</v>
      </c>
      <c r="B110" s="6">
        <v>46297.0</v>
      </c>
    </row>
    <row r="111">
      <c r="A111" s="4">
        <v>29530.0</v>
      </c>
      <c r="B111" s="6">
        <v>46298.0</v>
      </c>
    </row>
    <row r="112">
      <c r="A112" s="4">
        <v>29530.0</v>
      </c>
      <c r="B112" s="6">
        <v>46299.0</v>
      </c>
    </row>
    <row r="113">
      <c r="A113" s="4">
        <v>29530.0</v>
      </c>
      <c r="B113" s="6">
        <v>46300.0</v>
      </c>
    </row>
    <row r="114">
      <c r="A114" s="4">
        <v>29530.0</v>
      </c>
      <c r="B114" s="6">
        <v>46301.0</v>
      </c>
    </row>
    <row r="115">
      <c r="A115" s="4">
        <v>29530.0</v>
      </c>
      <c r="B115" s="6">
        <v>46302.0</v>
      </c>
    </row>
    <row r="116">
      <c r="A116" s="4">
        <v>29530.0</v>
      </c>
      <c r="B116" s="6">
        <v>46303.0</v>
      </c>
    </row>
    <row r="117">
      <c r="A117" s="4">
        <v>29530.0</v>
      </c>
      <c r="B117" s="6">
        <v>46304.0</v>
      </c>
    </row>
    <row r="118">
      <c r="A118" s="4">
        <v>29530.0</v>
      </c>
      <c r="B118" s="6">
        <v>46305.0</v>
      </c>
    </row>
    <row r="119">
      <c r="A119" s="4">
        <v>29530.0</v>
      </c>
      <c r="B119" s="6">
        <v>46306.0</v>
      </c>
    </row>
    <row r="120">
      <c r="A120" s="4">
        <v>29530.0</v>
      </c>
      <c r="B120" s="6">
        <v>46307.0</v>
      </c>
    </row>
    <row r="121">
      <c r="A121" s="4">
        <v>29530.0</v>
      </c>
      <c r="B121" s="6">
        <v>46308.0</v>
      </c>
    </row>
    <row r="122">
      <c r="A122" s="4">
        <v>29530.0</v>
      </c>
      <c r="B122" s="6">
        <v>46309.0</v>
      </c>
    </row>
    <row r="123">
      <c r="A123" s="4">
        <v>29530.0</v>
      </c>
      <c r="B123" s="6">
        <v>46310.0</v>
      </c>
    </row>
    <row r="124">
      <c r="A124" s="4">
        <v>71348.0</v>
      </c>
      <c r="B124" s="6">
        <v>45420.0</v>
      </c>
    </row>
    <row r="125">
      <c r="A125" s="4">
        <v>71348.0</v>
      </c>
      <c r="B125" s="6">
        <v>45421.0</v>
      </c>
    </row>
    <row r="126">
      <c r="A126" s="4">
        <v>71348.0</v>
      </c>
      <c r="B126" s="6">
        <v>45422.0</v>
      </c>
    </row>
    <row r="127">
      <c r="A127" s="4">
        <v>71348.0</v>
      </c>
      <c r="B127" s="6">
        <v>45423.0</v>
      </c>
    </row>
    <row r="128">
      <c r="A128" s="4">
        <v>71348.0</v>
      </c>
      <c r="B128" s="6">
        <v>45424.0</v>
      </c>
    </row>
    <row r="129">
      <c r="A129" s="4">
        <v>71348.0</v>
      </c>
      <c r="B129" s="6">
        <v>45425.0</v>
      </c>
    </row>
    <row r="130">
      <c r="A130" s="4">
        <v>71348.0</v>
      </c>
      <c r="B130" s="6">
        <v>45426.0</v>
      </c>
    </row>
    <row r="131">
      <c r="A131" s="4">
        <v>71348.0</v>
      </c>
      <c r="B131" s="6">
        <v>45427.0</v>
      </c>
    </row>
    <row r="132">
      <c r="A132" s="4">
        <v>71348.0</v>
      </c>
      <c r="B132" s="6">
        <v>45428.0</v>
      </c>
    </row>
    <row r="133">
      <c r="A133" s="4">
        <v>71348.0</v>
      </c>
      <c r="B133" s="6">
        <v>45429.0</v>
      </c>
    </row>
    <row r="134">
      <c r="A134" s="4">
        <v>71348.0</v>
      </c>
      <c r="B134" s="6">
        <v>45430.0</v>
      </c>
    </row>
    <row r="135">
      <c r="A135" s="4">
        <v>71348.0</v>
      </c>
      <c r="B135" s="6">
        <v>45431.0</v>
      </c>
    </row>
    <row r="136">
      <c r="A136" s="4">
        <v>71348.0</v>
      </c>
      <c r="B136" s="6">
        <v>45432.0</v>
      </c>
    </row>
    <row r="137">
      <c r="A137" s="4">
        <v>71348.0</v>
      </c>
      <c r="B137" s="6">
        <v>45433.0</v>
      </c>
    </row>
    <row r="138">
      <c r="A138" s="4">
        <v>71348.0</v>
      </c>
      <c r="B138" s="6">
        <v>45434.0</v>
      </c>
    </row>
    <row r="139">
      <c r="A139" s="4">
        <v>71348.0</v>
      </c>
      <c r="B139" s="6">
        <v>45435.0</v>
      </c>
    </row>
    <row r="140">
      <c r="A140" s="4">
        <v>71348.0</v>
      </c>
      <c r="B140" s="6">
        <v>45481.0</v>
      </c>
    </row>
    <row r="141">
      <c r="A141" s="4">
        <v>71348.0</v>
      </c>
      <c r="B141" s="6">
        <v>45482.0</v>
      </c>
    </row>
    <row r="142">
      <c r="A142" s="4">
        <v>71348.0</v>
      </c>
      <c r="B142" s="6">
        <v>45483.0</v>
      </c>
    </row>
    <row r="143">
      <c r="A143" s="4">
        <v>71348.0</v>
      </c>
      <c r="B143" s="6">
        <v>45484.0</v>
      </c>
    </row>
    <row r="144">
      <c r="A144" s="4">
        <v>71348.0</v>
      </c>
      <c r="B144" s="6">
        <v>45485.0</v>
      </c>
    </row>
    <row r="145">
      <c r="A145" s="4">
        <v>71348.0</v>
      </c>
      <c r="B145" s="6">
        <v>45486.0</v>
      </c>
    </row>
    <row r="146">
      <c r="A146" s="4">
        <v>71348.0</v>
      </c>
      <c r="B146" s="6">
        <v>45487.0</v>
      </c>
    </row>
    <row r="147">
      <c r="A147" s="4">
        <v>71348.0</v>
      </c>
      <c r="B147" s="6">
        <v>45488.0</v>
      </c>
    </row>
    <row r="148">
      <c r="A148" s="4">
        <v>71348.0</v>
      </c>
      <c r="B148" s="6">
        <v>45536.0</v>
      </c>
    </row>
    <row r="149">
      <c r="A149" s="4">
        <v>71348.0</v>
      </c>
      <c r="B149" s="6">
        <v>45537.0</v>
      </c>
    </row>
    <row r="150">
      <c r="A150" s="4">
        <v>71348.0</v>
      </c>
      <c r="B150" s="6">
        <v>45538.0</v>
      </c>
    </row>
    <row r="151">
      <c r="A151" s="4">
        <v>71348.0</v>
      </c>
      <c r="B151" s="6">
        <v>45539.0</v>
      </c>
    </row>
    <row r="152">
      <c r="A152" s="4">
        <v>71348.0</v>
      </c>
      <c r="B152" s="6">
        <v>45540.0</v>
      </c>
    </row>
    <row r="153">
      <c r="A153" s="4">
        <v>71348.0</v>
      </c>
      <c r="B153" s="6">
        <v>45541.0</v>
      </c>
    </row>
    <row r="154">
      <c r="A154" s="4">
        <v>71348.0</v>
      </c>
      <c r="B154" s="6">
        <v>45542.0</v>
      </c>
    </row>
    <row r="155">
      <c r="A155" s="4">
        <v>71348.0</v>
      </c>
      <c r="B155" s="6">
        <v>45543.0</v>
      </c>
    </row>
    <row r="156">
      <c r="A156" s="4">
        <v>71348.0</v>
      </c>
      <c r="B156" s="6">
        <v>45544.0</v>
      </c>
    </row>
    <row r="157">
      <c r="A157" s="4">
        <v>71348.0</v>
      </c>
      <c r="B157" s="6">
        <v>45545.0</v>
      </c>
    </row>
    <row r="158">
      <c r="A158" s="4">
        <v>71348.0</v>
      </c>
      <c r="B158" s="6">
        <v>45546.0</v>
      </c>
    </row>
    <row r="159">
      <c r="A159" s="4">
        <v>71348.0</v>
      </c>
      <c r="B159" s="6">
        <v>45547.0</v>
      </c>
    </row>
    <row r="160">
      <c r="A160" s="4">
        <v>71348.0</v>
      </c>
      <c r="B160" s="6">
        <v>45548.0</v>
      </c>
    </row>
    <row r="161">
      <c r="A161" s="4">
        <v>71348.0</v>
      </c>
      <c r="B161" s="6">
        <v>45549.0</v>
      </c>
    </row>
    <row r="162">
      <c r="A162" s="4">
        <v>71348.0</v>
      </c>
      <c r="B162" s="6">
        <v>45550.0</v>
      </c>
    </row>
    <row r="163">
      <c r="A163" s="4">
        <v>71348.0</v>
      </c>
      <c r="B163" s="6">
        <v>45689.0</v>
      </c>
    </row>
    <row r="164">
      <c r="A164" s="4">
        <v>71348.0</v>
      </c>
      <c r="B164" s="6">
        <v>45690.0</v>
      </c>
    </row>
    <row r="165">
      <c r="A165" s="4">
        <v>71348.0</v>
      </c>
      <c r="B165" s="6">
        <v>45691.0</v>
      </c>
    </row>
    <row r="166">
      <c r="A166" s="4">
        <v>71348.0</v>
      </c>
      <c r="B166" s="6">
        <v>45692.0</v>
      </c>
    </row>
    <row r="167">
      <c r="A167" s="4">
        <v>71348.0</v>
      </c>
      <c r="B167" s="6">
        <v>45693.0</v>
      </c>
    </row>
    <row r="168">
      <c r="A168" s="4">
        <v>71348.0</v>
      </c>
      <c r="B168" s="6">
        <v>45694.0</v>
      </c>
    </row>
    <row r="169">
      <c r="A169" s="4">
        <v>71348.0</v>
      </c>
      <c r="B169" s="6">
        <v>45695.0</v>
      </c>
    </row>
    <row r="170">
      <c r="A170" s="4">
        <v>71348.0</v>
      </c>
      <c r="B170" s="6">
        <v>45748.0</v>
      </c>
    </row>
    <row r="171">
      <c r="A171" s="4">
        <v>71348.0</v>
      </c>
      <c r="B171" s="6">
        <v>45749.0</v>
      </c>
    </row>
    <row r="172">
      <c r="A172" s="4">
        <v>71348.0</v>
      </c>
      <c r="B172" s="6">
        <v>45750.0</v>
      </c>
    </row>
    <row r="173">
      <c r="A173" s="4">
        <v>71348.0</v>
      </c>
      <c r="B173" s="6">
        <v>45751.0</v>
      </c>
    </row>
    <row r="174">
      <c r="A174" s="4">
        <v>71348.0</v>
      </c>
      <c r="B174" s="6">
        <v>45752.0</v>
      </c>
    </row>
    <row r="175">
      <c r="A175" s="4">
        <v>71348.0</v>
      </c>
      <c r="B175" s="6">
        <v>45753.0</v>
      </c>
    </row>
    <row r="176">
      <c r="A176" s="4">
        <v>71348.0</v>
      </c>
      <c r="B176" s="6">
        <v>45754.0</v>
      </c>
    </row>
    <row r="177">
      <c r="A177" s="4">
        <v>71348.0</v>
      </c>
      <c r="B177" s="6">
        <v>45755.0</v>
      </c>
    </row>
    <row r="178">
      <c r="A178" s="4">
        <v>71348.0</v>
      </c>
      <c r="B178" s="6">
        <v>45756.0</v>
      </c>
    </row>
    <row r="179">
      <c r="A179" s="4">
        <v>71348.0</v>
      </c>
      <c r="B179" s="6">
        <v>45757.0</v>
      </c>
    </row>
    <row r="180">
      <c r="A180" s="4">
        <v>71348.0</v>
      </c>
      <c r="B180" s="6">
        <v>45758.0</v>
      </c>
    </row>
    <row r="181">
      <c r="A181" s="4">
        <v>71348.0</v>
      </c>
      <c r="B181" s="6">
        <v>45759.0</v>
      </c>
    </row>
    <row r="182">
      <c r="A182" s="4">
        <v>71348.0</v>
      </c>
      <c r="B182" s="6">
        <v>45760.0</v>
      </c>
    </row>
    <row r="183">
      <c r="A183" s="4">
        <v>71348.0</v>
      </c>
      <c r="B183" s="6">
        <v>45761.0</v>
      </c>
    </row>
    <row r="184">
      <c r="A184" s="4">
        <v>71348.0</v>
      </c>
      <c r="B184" s="6">
        <v>45762.0</v>
      </c>
    </row>
    <row r="185">
      <c r="A185" s="4">
        <v>71348.0</v>
      </c>
      <c r="B185" s="6">
        <v>45862.0</v>
      </c>
    </row>
    <row r="186">
      <c r="A186" s="4">
        <v>71348.0</v>
      </c>
      <c r="B186" s="6">
        <v>45863.0</v>
      </c>
    </row>
    <row r="187">
      <c r="A187" s="4">
        <v>71348.0</v>
      </c>
      <c r="B187" s="6">
        <v>45864.0</v>
      </c>
    </row>
    <row r="188">
      <c r="A188" s="4">
        <v>71348.0</v>
      </c>
      <c r="B188" s="6">
        <v>45865.0</v>
      </c>
    </row>
    <row r="189">
      <c r="A189" s="4">
        <v>71348.0</v>
      </c>
      <c r="B189" s="6">
        <v>45866.0</v>
      </c>
    </row>
    <row r="190">
      <c r="A190" s="4">
        <v>71348.0</v>
      </c>
      <c r="B190" s="6">
        <v>45867.0</v>
      </c>
    </row>
    <row r="191">
      <c r="A191" s="4">
        <v>71348.0</v>
      </c>
      <c r="B191" s="6">
        <v>45868.0</v>
      </c>
    </row>
    <row r="192">
      <c r="A192" s="4">
        <v>71348.0</v>
      </c>
      <c r="B192" s="6">
        <v>45869.0</v>
      </c>
    </row>
    <row r="193">
      <c r="A193" s="4">
        <v>71348.0</v>
      </c>
      <c r="B193" s="6">
        <v>45962.0</v>
      </c>
    </row>
    <row r="194">
      <c r="A194" s="4">
        <v>71348.0</v>
      </c>
      <c r="B194" s="6">
        <v>45963.0</v>
      </c>
    </row>
    <row r="195">
      <c r="A195" s="4">
        <v>71348.0</v>
      </c>
      <c r="B195" s="6">
        <v>45964.0</v>
      </c>
    </row>
    <row r="196">
      <c r="A196" s="4">
        <v>71348.0</v>
      </c>
      <c r="B196" s="6">
        <v>45965.0</v>
      </c>
    </row>
    <row r="197">
      <c r="A197" s="4">
        <v>71348.0</v>
      </c>
      <c r="B197" s="6">
        <v>45966.0</v>
      </c>
    </row>
    <row r="198">
      <c r="A198" s="4">
        <v>71348.0</v>
      </c>
      <c r="B198" s="6">
        <v>45967.0</v>
      </c>
    </row>
    <row r="199">
      <c r="A199" s="4">
        <v>71348.0</v>
      </c>
      <c r="B199" s="6">
        <v>45968.0</v>
      </c>
    </row>
    <row r="200">
      <c r="A200" s="4">
        <v>71348.0</v>
      </c>
      <c r="B200" s="6">
        <v>45969.0</v>
      </c>
    </row>
    <row r="201">
      <c r="A201" s="4">
        <v>71348.0</v>
      </c>
      <c r="B201" s="6">
        <v>45970.0</v>
      </c>
    </row>
    <row r="202">
      <c r="A202" s="4">
        <v>71348.0</v>
      </c>
      <c r="B202" s="6">
        <v>45971.0</v>
      </c>
    </row>
    <row r="203">
      <c r="A203" s="4">
        <v>71348.0</v>
      </c>
      <c r="B203" s="6">
        <v>45972.0</v>
      </c>
    </row>
    <row r="204">
      <c r="A204" s="4">
        <v>71348.0</v>
      </c>
      <c r="B204" s="6">
        <v>45973.0</v>
      </c>
    </row>
    <row r="205">
      <c r="A205" s="4">
        <v>71348.0</v>
      </c>
      <c r="B205" s="6">
        <v>45974.0</v>
      </c>
    </row>
    <row r="206">
      <c r="A206" s="4">
        <v>71348.0</v>
      </c>
      <c r="B206" s="6">
        <v>45975.0</v>
      </c>
    </row>
    <row r="207">
      <c r="A207" s="4">
        <v>71348.0</v>
      </c>
      <c r="B207" s="6">
        <v>45976.0</v>
      </c>
    </row>
    <row r="208">
      <c r="A208" s="4">
        <v>71348.0</v>
      </c>
      <c r="B208" s="6">
        <v>46054.0</v>
      </c>
    </row>
    <row r="209">
      <c r="A209" s="4">
        <v>71348.0</v>
      </c>
      <c r="B209" s="6">
        <v>46055.0</v>
      </c>
    </row>
    <row r="210">
      <c r="A210" s="4">
        <v>71348.0</v>
      </c>
      <c r="B210" s="6">
        <v>46056.0</v>
      </c>
    </row>
    <row r="211">
      <c r="A211" s="4">
        <v>71348.0</v>
      </c>
      <c r="B211" s="6">
        <v>46057.0</v>
      </c>
    </row>
    <row r="212">
      <c r="A212" s="4">
        <v>71348.0</v>
      </c>
      <c r="B212" s="6">
        <v>46058.0</v>
      </c>
    </row>
    <row r="213">
      <c r="A213" s="4">
        <v>71348.0</v>
      </c>
      <c r="B213" s="6">
        <v>46059.0</v>
      </c>
    </row>
    <row r="214">
      <c r="A214" s="4">
        <v>71348.0</v>
      </c>
      <c r="B214" s="6">
        <v>46060.0</v>
      </c>
    </row>
    <row r="215">
      <c r="A215" s="4">
        <v>967092.0</v>
      </c>
      <c r="B215" s="6">
        <v>45352.0</v>
      </c>
    </row>
    <row r="216">
      <c r="A216" s="4">
        <v>967092.0</v>
      </c>
      <c r="B216" s="6">
        <v>45353.0</v>
      </c>
    </row>
    <row r="217">
      <c r="A217" s="4">
        <v>967092.0</v>
      </c>
      <c r="B217" s="6">
        <v>45354.0</v>
      </c>
    </row>
    <row r="218">
      <c r="A218" s="4">
        <v>967092.0</v>
      </c>
      <c r="B218" s="6">
        <v>45355.0</v>
      </c>
    </row>
    <row r="219">
      <c r="A219" s="4">
        <v>967092.0</v>
      </c>
      <c r="B219" s="6">
        <v>45356.0</v>
      </c>
    </row>
    <row r="220">
      <c r="A220" s="4">
        <v>967092.0</v>
      </c>
      <c r="B220" s="6">
        <v>45357.0</v>
      </c>
    </row>
    <row r="221">
      <c r="A221" s="4">
        <v>967092.0</v>
      </c>
      <c r="B221" s="6">
        <v>45358.0</v>
      </c>
    </row>
    <row r="222">
      <c r="A222" s="4">
        <v>967092.0</v>
      </c>
      <c r="B222" s="6">
        <v>45359.0</v>
      </c>
    </row>
    <row r="223">
      <c r="A223" s="4">
        <v>967092.0</v>
      </c>
      <c r="B223" s="6">
        <v>45360.0</v>
      </c>
    </row>
    <row r="224">
      <c r="A224" s="4">
        <v>967092.0</v>
      </c>
      <c r="B224" s="6">
        <v>45361.0</v>
      </c>
    </row>
    <row r="225">
      <c r="A225" s="4">
        <v>967092.0</v>
      </c>
      <c r="B225" s="6">
        <v>45362.0</v>
      </c>
    </row>
    <row r="226">
      <c r="A226" s="4">
        <v>967092.0</v>
      </c>
      <c r="B226" s="6">
        <v>45363.0</v>
      </c>
    </row>
    <row r="227">
      <c r="A227" s="4">
        <v>967092.0</v>
      </c>
      <c r="B227" s="6">
        <v>45364.0</v>
      </c>
    </row>
    <row r="228">
      <c r="A228" s="4">
        <v>967092.0</v>
      </c>
      <c r="B228" s="6">
        <v>45365.0</v>
      </c>
    </row>
    <row r="229">
      <c r="A229" s="4">
        <v>967092.0</v>
      </c>
      <c r="B229" s="6">
        <v>45366.0</v>
      </c>
    </row>
    <row r="230">
      <c r="A230" s="4">
        <v>967092.0</v>
      </c>
      <c r="B230" s="6">
        <v>45367.0</v>
      </c>
    </row>
    <row r="231">
      <c r="A231" s="4">
        <v>967092.0</v>
      </c>
      <c r="B231" s="6">
        <v>45368.0</v>
      </c>
    </row>
    <row r="232">
      <c r="A232" s="4">
        <v>967092.0</v>
      </c>
      <c r="B232" s="6">
        <v>45369.0</v>
      </c>
    </row>
    <row r="233">
      <c r="A233" s="4">
        <v>967092.0</v>
      </c>
      <c r="B233" s="6">
        <v>45370.0</v>
      </c>
    </row>
    <row r="234">
      <c r="A234" s="4">
        <v>967092.0</v>
      </c>
      <c r="B234" s="6">
        <v>45371.0</v>
      </c>
    </row>
    <row r="235">
      <c r="A235" s="4">
        <v>967092.0</v>
      </c>
      <c r="B235" s="6">
        <v>45372.0</v>
      </c>
    </row>
    <row r="236">
      <c r="A236" s="4">
        <v>967092.0</v>
      </c>
      <c r="B236" s="6">
        <v>45373.0</v>
      </c>
    </row>
    <row r="237">
      <c r="A237" s="4">
        <v>967092.0</v>
      </c>
      <c r="B237" s="6">
        <v>45374.0</v>
      </c>
    </row>
    <row r="238">
      <c r="A238" s="4">
        <v>967092.0</v>
      </c>
      <c r="B238" s="6">
        <v>45451.0</v>
      </c>
    </row>
    <row r="239">
      <c r="A239" s="4">
        <v>967092.0</v>
      </c>
      <c r="B239" s="6">
        <v>45452.0</v>
      </c>
    </row>
    <row r="240">
      <c r="A240" s="4">
        <v>967092.0</v>
      </c>
      <c r="B240" s="6">
        <v>45453.0</v>
      </c>
    </row>
    <row r="241">
      <c r="A241" s="4">
        <v>967092.0</v>
      </c>
      <c r="B241" s="6">
        <v>45454.0</v>
      </c>
    </row>
    <row r="242">
      <c r="A242" s="4">
        <v>967092.0</v>
      </c>
      <c r="B242" s="6">
        <v>45455.0</v>
      </c>
    </row>
    <row r="243">
      <c r="A243" s="4">
        <v>967092.0</v>
      </c>
      <c r="B243" s="6">
        <v>45456.0</v>
      </c>
    </row>
    <row r="244">
      <c r="A244" s="4">
        <v>967092.0</v>
      </c>
      <c r="B244" s="6">
        <v>45457.0</v>
      </c>
    </row>
    <row r="245">
      <c r="A245" s="4">
        <v>967092.0</v>
      </c>
      <c r="B245" s="6">
        <v>45458.0</v>
      </c>
    </row>
    <row r="246">
      <c r="A246" s="4">
        <v>967092.0</v>
      </c>
      <c r="B246" s="6">
        <v>45537.0</v>
      </c>
    </row>
    <row r="247">
      <c r="A247" s="4">
        <v>967092.0</v>
      </c>
      <c r="B247" s="6">
        <v>45538.0</v>
      </c>
    </row>
    <row r="248">
      <c r="A248" s="4">
        <v>967092.0</v>
      </c>
      <c r="B248" s="6">
        <v>45539.0</v>
      </c>
    </row>
    <row r="249">
      <c r="A249" s="4">
        <v>967092.0</v>
      </c>
      <c r="B249" s="6">
        <v>45540.0</v>
      </c>
    </row>
    <row r="250">
      <c r="A250" s="4">
        <v>967092.0</v>
      </c>
      <c r="B250" s="6">
        <v>45541.0</v>
      </c>
    </row>
    <row r="251">
      <c r="A251" s="4">
        <v>967092.0</v>
      </c>
      <c r="B251" s="6">
        <v>45542.0</v>
      </c>
    </row>
    <row r="252">
      <c r="A252" s="4">
        <v>967092.0</v>
      </c>
      <c r="B252" s="6">
        <v>45543.0</v>
      </c>
    </row>
    <row r="253">
      <c r="A253" s="4">
        <v>967092.0</v>
      </c>
      <c r="B253" s="6">
        <v>45589.0</v>
      </c>
    </row>
    <row r="254">
      <c r="A254" s="4">
        <v>967092.0</v>
      </c>
      <c r="B254" s="6">
        <v>45590.0</v>
      </c>
    </row>
    <row r="255">
      <c r="A255" s="4">
        <v>967092.0</v>
      </c>
      <c r="B255" s="6">
        <v>45591.0</v>
      </c>
    </row>
    <row r="256">
      <c r="A256" s="4">
        <v>967092.0</v>
      </c>
      <c r="B256" s="6">
        <v>45592.0</v>
      </c>
    </row>
    <row r="257">
      <c r="A257" s="4">
        <v>967092.0</v>
      </c>
      <c r="B257" s="6">
        <v>45593.0</v>
      </c>
    </row>
    <row r="258">
      <c r="A258" s="4">
        <v>967092.0</v>
      </c>
      <c r="B258" s="6">
        <v>45594.0</v>
      </c>
    </row>
    <row r="259">
      <c r="A259" s="4">
        <v>967092.0</v>
      </c>
      <c r="B259" s="6">
        <v>45595.0</v>
      </c>
    </row>
    <row r="260">
      <c r="A260" s="4">
        <v>967092.0</v>
      </c>
      <c r="B260" s="6">
        <v>45596.0</v>
      </c>
    </row>
    <row r="261">
      <c r="A261" s="4">
        <v>967092.0</v>
      </c>
      <c r="B261" s="6">
        <v>45597.0</v>
      </c>
    </row>
    <row r="262">
      <c r="A262" s="4">
        <v>967092.0</v>
      </c>
      <c r="B262" s="6">
        <v>45598.0</v>
      </c>
    </row>
    <row r="263">
      <c r="A263" s="4">
        <v>967092.0</v>
      </c>
      <c r="B263" s="6">
        <v>45599.0</v>
      </c>
    </row>
    <row r="264">
      <c r="A264" s="4">
        <v>967092.0</v>
      </c>
      <c r="B264" s="6">
        <v>45600.0</v>
      </c>
    </row>
    <row r="265">
      <c r="A265" s="4">
        <v>967092.0</v>
      </c>
      <c r="B265" s="6">
        <v>45601.0</v>
      </c>
    </row>
    <row r="266">
      <c r="A266" s="4">
        <v>967092.0</v>
      </c>
      <c r="B266" s="6">
        <v>45602.0</v>
      </c>
    </row>
    <row r="267">
      <c r="A267" s="4">
        <v>967092.0</v>
      </c>
      <c r="B267" s="6">
        <v>45603.0</v>
      </c>
    </row>
    <row r="268">
      <c r="A268" s="4">
        <v>967092.0</v>
      </c>
      <c r="B268" s="6">
        <v>45732.0</v>
      </c>
    </row>
    <row r="269">
      <c r="A269" s="4">
        <v>967092.0</v>
      </c>
      <c r="B269" s="6">
        <v>45733.0</v>
      </c>
    </row>
    <row r="270">
      <c r="A270" s="4">
        <v>967092.0</v>
      </c>
      <c r="B270" s="6">
        <v>45734.0</v>
      </c>
    </row>
    <row r="271">
      <c r="A271" s="4">
        <v>967092.0</v>
      </c>
      <c r="B271" s="6">
        <v>45735.0</v>
      </c>
    </row>
    <row r="272">
      <c r="A272" s="4">
        <v>967092.0</v>
      </c>
      <c r="B272" s="6">
        <v>45736.0</v>
      </c>
    </row>
    <row r="273">
      <c r="A273" s="4">
        <v>967092.0</v>
      </c>
      <c r="B273" s="6">
        <v>45737.0</v>
      </c>
    </row>
    <row r="274">
      <c r="A274" s="4">
        <v>967092.0</v>
      </c>
      <c r="B274" s="6">
        <v>45738.0</v>
      </c>
    </row>
    <row r="275">
      <c r="A275" s="4">
        <v>967092.0</v>
      </c>
      <c r="B275" s="6">
        <v>45739.0</v>
      </c>
    </row>
    <row r="276">
      <c r="A276" s="4">
        <v>967092.0</v>
      </c>
      <c r="B276" s="6">
        <v>45740.0</v>
      </c>
    </row>
    <row r="277">
      <c r="A277" s="4">
        <v>967092.0</v>
      </c>
      <c r="B277" s="6">
        <v>45741.0</v>
      </c>
    </row>
    <row r="278">
      <c r="A278" s="4">
        <v>967092.0</v>
      </c>
      <c r="B278" s="6">
        <v>45742.0</v>
      </c>
    </row>
    <row r="279">
      <c r="A279" s="4">
        <v>967092.0</v>
      </c>
      <c r="B279" s="6">
        <v>45743.0</v>
      </c>
    </row>
    <row r="280">
      <c r="A280" s="4">
        <v>967092.0</v>
      </c>
      <c r="B280" s="6">
        <v>45744.0</v>
      </c>
    </row>
    <row r="281">
      <c r="A281" s="4">
        <v>967092.0</v>
      </c>
      <c r="B281" s="6">
        <v>45745.0</v>
      </c>
    </row>
    <row r="282">
      <c r="A282" s="4">
        <v>967092.0</v>
      </c>
      <c r="B282" s="6">
        <v>45746.0</v>
      </c>
    </row>
    <row r="283">
      <c r="A283" s="4">
        <v>967092.0</v>
      </c>
      <c r="B283" s="6">
        <v>45747.0</v>
      </c>
    </row>
    <row r="284">
      <c r="A284" s="4">
        <v>967092.0</v>
      </c>
      <c r="B284" s="6">
        <v>45954.0</v>
      </c>
    </row>
    <row r="285">
      <c r="A285" s="4">
        <v>967092.0</v>
      </c>
      <c r="B285" s="6">
        <v>45955.0</v>
      </c>
    </row>
    <row r="286">
      <c r="A286" s="4">
        <v>967092.0</v>
      </c>
      <c r="B286" s="6">
        <v>45956.0</v>
      </c>
    </row>
    <row r="287">
      <c r="A287" s="4">
        <v>967092.0</v>
      </c>
      <c r="B287" s="6">
        <v>45957.0</v>
      </c>
    </row>
    <row r="288">
      <c r="A288" s="4">
        <v>967092.0</v>
      </c>
      <c r="B288" s="6">
        <v>45958.0</v>
      </c>
    </row>
    <row r="289">
      <c r="A289" s="4">
        <v>967092.0</v>
      </c>
      <c r="B289" s="6">
        <v>45959.0</v>
      </c>
    </row>
    <row r="290">
      <c r="A290" s="4">
        <v>967092.0</v>
      </c>
      <c r="B290" s="6">
        <v>45960.0</v>
      </c>
    </row>
    <row r="291">
      <c r="A291" s="4">
        <v>967092.0</v>
      </c>
      <c r="B291" s="6">
        <v>45961.0</v>
      </c>
    </row>
    <row r="292">
      <c r="A292" s="4">
        <v>967092.0</v>
      </c>
      <c r="B292" s="6">
        <v>46007.0</v>
      </c>
    </row>
    <row r="293">
      <c r="A293" s="4">
        <v>967092.0</v>
      </c>
      <c r="B293" s="6">
        <v>46008.0</v>
      </c>
    </row>
    <row r="294">
      <c r="A294" s="4">
        <v>967092.0</v>
      </c>
      <c r="B294" s="6">
        <v>46009.0</v>
      </c>
    </row>
    <row r="295">
      <c r="A295" s="4">
        <v>967092.0</v>
      </c>
      <c r="B295" s="6">
        <v>46010.0</v>
      </c>
    </row>
    <row r="296">
      <c r="A296" s="4">
        <v>967092.0</v>
      </c>
      <c r="B296" s="6">
        <v>46011.0</v>
      </c>
    </row>
    <row r="297">
      <c r="A297" s="4">
        <v>967092.0</v>
      </c>
      <c r="B297" s="6">
        <v>46012.0</v>
      </c>
    </row>
    <row r="298">
      <c r="A298" s="4">
        <v>967092.0</v>
      </c>
      <c r="B298" s="6">
        <v>46013.0</v>
      </c>
    </row>
    <row r="299">
      <c r="A299" s="4">
        <v>967092.0</v>
      </c>
      <c r="B299" s="6">
        <v>46014.0</v>
      </c>
    </row>
    <row r="300">
      <c r="A300" s="4">
        <v>967092.0</v>
      </c>
      <c r="B300" s="6">
        <v>46015.0</v>
      </c>
    </row>
    <row r="301">
      <c r="A301" s="4">
        <v>967092.0</v>
      </c>
      <c r="B301" s="6">
        <v>46016.0</v>
      </c>
    </row>
    <row r="302">
      <c r="A302" s="4">
        <v>967092.0</v>
      </c>
      <c r="B302" s="6">
        <v>46017.0</v>
      </c>
    </row>
    <row r="303">
      <c r="A303" s="4">
        <v>967092.0</v>
      </c>
      <c r="B303" s="6">
        <v>46018.0</v>
      </c>
    </row>
    <row r="304">
      <c r="A304" s="4">
        <v>967092.0</v>
      </c>
      <c r="B304" s="6">
        <v>46019.0</v>
      </c>
    </row>
    <row r="305">
      <c r="A305" s="4">
        <v>967092.0</v>
      </c>
      <c r="B305" s="6">
        <v>46020.0</v>
      </c>
    </row>
    <row r="306">
      <c r="A306" s="4">
        <v>967092.0</v>
      </c>
      <c r="B306" s="6">
        <v>46021.0</v>
      </c>
    </row>
    <row r="307">
      <c r="A307" s="4">
        <v>967092.0</v>
      </c>
      <c r="B307" s="6">
        <v>46022.0</v>
      </c>
    </row>
    <row r="308">
      <c r="A308" s="4">
        <v>967092.0</v>
      </c>
      <c r="B308" s="6">
        <v>46023.0</v>
      </c>
    </row>
    <row r="309">
      <c r="A309" s="4">
        <v>967092.0</v>
      </c>
      <c r="B309" s="6">
        <v>46024.0</v>
      </c>
    </row>
    <row r="310">
      <c r="A310" s="4">
        <v>967092.0</v>
      </c>
      <c r="B310" s="6">
        <v>46025.0</v>
      </c>
    </row>
    <row r="311">
      <c r="A311" s="4">
        <v>967092.0</v>
      </c>
      <c r="B311" s="6">
        <v>46026.0</v>
      </c>
    </row>
    <row r="312">
      <c r="A312" s="4">
        <v>967092.0</v>
      </c>
      <c r="B312" s="6">
        <v>46027.0</v>
      </c>
    </row>
    <row r="313">
      <c r="A313" s="4">
        <v>967092.0</v>
      </c>
      <c r="B313" s="6">
        <v>46028.0</v>
      </c>
    </row>
    <row r="314">
      <c r="A314" s="4">
        <v>967092.0</v>
      </c>
      <c r="B314" s="6">
        <v>46029.0</v>
      </c>
    </row>
    <row r="315">
      <c r="A315" s="4">
        <v>967092.0</v>
      </c>
      <c r="B315" s="6">
        <v>46046.0</v>
      </c>
    </row>
    <row r="316">
      <c r="A316" s="4">
        <v>967092.0</v>
      </c>
      <c r="B316" s="6">
        <v>46047.0</v>
      </c>
    </row>
    <row r="317">
      <c r="A317" s="4">
        <v>967092.0</v>
      </c>
      <c r="B317" s="6">
        <v>46048.0</v>
      </c>
    </row>
    <row r="318">
      <c r="A318" s="4">
        <v>967092.0</v>
      </c>
      <c r="B318" s="6">
        <v>46049.0</v>
      </c>
    </row>
    <row r="319">
      <c r="A319" s="4">
        <v>967092.0</v>
      </c>
      <c r="B319" s="6">
        <v>46050.0</v>
      </c>
    </row>
    <row r="320">
      <c r="A320" s="4">
        <v>967092.0</v>
      </c>
      <c r="B320" s="6">
        <v>46051.0</v>
      </c>
    </row>
    <row r="321">
      <c r="A321" s="4">
        <v>967092.0</v>
      </c>
      <c r="B321" s="6">
        <v>46052.0</v>
      </c>
    </row>
    <row r="322">
      <c r="A322" s="4">
        <v>967092.0</v>
      </c>
      <c r="B322" s="6">
        <v>46053.0</v>
      </c>
    </row>
    <row r="323">
      <c r="A323" s="4">
        <v>967092.0</v>
      </c>
      <c r="B323" s="6">
        <v>46054.0</v>
      </c>
    </row>
    <row r="324">
      <c r="A324" s="4">
        <v>967092.0</v>
      </c>
      <c r="B324" s="6">
        <v>46055.0</v>
      </c>
    </row>
    <row r="325">
      <c r="A325" s="4">
        <v>967092.0</v>
      </c>
      <c r="B325" s="6">
        <v>46056.0</v>
      </c>
    </row>
    <row r="326">
      <c r="A326" s="4">
        <v>967092.0</v>
      </c>
      <c r="B326" s="6">
        <v>46057.0</v>
      </c>
    </row>
    <row r="327">
      <c r="A327" s="4">
        <v>967092.0</v>
      </c>
      <c r="B327" s="6">
        <v>46058.0</v>
      </c>
    </row>
    <row r="328">
      <c r="A328" s="4">
        <v>967092.0</v>
      </c>
      <c r="B328" s="6">
        <v>46059.0</v>
      </c>
    </row>
    <row r="329">
      <c r="A329" s="4">
        <v>967092.0</v>
      </c>
      <c r="B329" s="6">
        <v>46060.0</v>
      </c>
    </row>
    <row r="330">
      <c r="A330" s="4">
        <v>967092.0</v>
      </c>
      <c r="B330" s="6">
        <v>46242.0</v>
      </c>
    </row>
    <row r="331">
      <c r="A331" s="4">
        <v>967092.0</v>
      </c>
      <c r="B331" s="6">
        <v>46243.0</v>
      </c>
    </row>
    <row r="332">
      <c r="A332" s="4">
        <v>967092.0</v>
      </c>
      <c r="B332" s="6">
        <v>46244.0</v>
      </c>
    </row>
    <row r="333">
      <c r="A333" s="4">
        <v>967092.0</v>
      </c>
      <c r="B333" s="6">
        <v>46245.0</v>
      </c>
    </row>
    <row r="334">
      <c r="A334" s="4">
        <v>967092.0</v>
      </c>
      <c r="B334" s="6">
        <v>46246.0</v>
      </c>
    </row>
    <row r="335">
      <c r="A335" s="4">
        <v>967092.0</v>
      </c>
      <c r="B335" s="6">
        <v>46247.0</v>
      </c>
    </row>
    <row r="336">
      <c r="A336" s="4">
        <v>967092.0</v>
      </c>
      <c r="B336" s="6">
        <v>46248.0</v>
      </c>
    </row>
    <row r="337">
      <c r="A337" s="4">
        <v>967092.0</v>
      </c>
      <c r="B337" s="6">
        <v>46249.0</v>
      </c>
    </row>
    <row r="338">
      <c r="A338" s="4">
        <v>967092.0</v>
      </c>
      <c r="B338" s="6">
        <v>46250.0</v>
      </c>
    </row>
    <row r="339">
      <c r="A339" s="4">
        <v>967092.0</v>
      </c>
      <c r="B339" s="6">
        <v>46251.0</v>
      </c>
    </row>
    <row r="340">
      <c r="A340" s="4">
        <v>967092.0</v>
      </c>
      <c r="B340" s="6">
        <v>46252.0</v>
      </c>
    </row>
    <row r="341">
      <c r="A341" s="4">
        <v>967092.0</v>
      </c>
      <c r="B341" s="6">
        <v>46253.0</v>
      </c>
    </row>
    <row r="342">
      <c r="A342" s="4">
        <v>967092.0</v>
      </c>
      <c r="B342" s="6">
        <v>46254.0</v>
      </c>
    </row>
    <row r="343">
      <c r="A343" s="4">
        <v>967092.0</v>
      </c>
      <c r="B343" s="6">
        <v>46255.0</v>
      </c>
    </row>
    <row r="344">
      <c r="A344" s="4">
        <v>967092.0</v>
      </c>
      <c r="B344" s="6">
        <v>46256.0</v>
      </c>
    </row>
    <row r="345">
      <c r="A345" s="4">
        <v>967092.0</v>
      </c>
      <c r="B345" s="6">
        <v>46257.0</v>
      </c>
    </row>
    <row r="346">
      <c r="A346" s="4">
        <v>967092.0</v>
      </c>
      <c r="B346" s="6">
        <v>46258.0</v>
      </c>
    </row>
    <row r="347">
      <c r="A347" s="4">
        <v>967092.0</v>
      </c>
      <c r="B347" s="6">
        <v>46259.0</v>
      </c>
    </row>
    <row r="348">
      <c r="A348" s="4">
        <v>967092.0</v>
      </c>
      <c r="B348" s="6">
        <v>46260.0</v>
      </c>
    </row>
    <row r="349">
      <c r="A349" s="4">
        <v>967092.0</v>
      </c>
      <c r="B349" s="6">
        <v>46261.0</v>
      </c>
    </row>
    <row r="350">
      <c r="A350" s="4">
        <v>967092.0</v>
      </c>
      <c r="B350" s="6">
        <v>46262.0</v>
      </c>
    </row>
    <row r="351">
      <c r="A351" s="4">
        <v>967092.0</v>
      </c>
      <c r="B351" s="6">
        <v>46263.0</v>
      </c>
    </row>
    <row r="352">
      <c r="A352" s="4">
        <v>967092.0</v>
      </c>
      <c r="B352" s="6">
        <v>46264.0</v>
      </c>
    </row>
    <row r="353">
      <c r="A353" s="4">
        <v>967092.0</v>
      </c>
      <c r="B353" s="6">
        <v>46265.0</v>
      </c>
    </row>
    <row r="354">
      <c r="A354" s="4">
        <v>1271571.0</v>
      </c>
      <c r="B354" s="6">
        <v>45333.0</v>
      </c>
    </row>
    <row r="355">
      <c r="A355" s="4">
        <v>1271571.0</v>
      </c>
      <c r="B355" s="6">
        <v>45334.0</v>
      </c>
    </row>
    <row r="356">
      <c r="A356" s="4">
        <v>1271571.0</v>
      </c>
      <c r="B356" s="6">
        <v>45335.0</v>
      </c>
    </row>
    <row r="357">
      <c r="A357" s="4">
        <v>1271571.0</v>
      </c>
      <c r="B357" s="6">
        <v>45336.0</v>
      </c>
    </row>
    <row r="358">
      <c r="A358" s="4">
        <v>1271571.0</v>
      </c>
      <c r="B358" s="6">
        <v>45337.0</v>
      </c>
    </row>
    <row r="359">
      <c r="A359" s="4">
        <v>1271571.0</v>
      </c>
      <c r="B359" s="6">
        <v>45338.0</v>
      </c>
    </row>
    <row r="360">
      <c r="A360" s="4">
        <v>1271571.0</v>
      </c>
      <c r="B360" s="6">
        <v>45339.0</v>
      </c>
    </row>
    <row r="361">
      <c r="A361" s="4">
        <v>1271571.0</v>
      </c>
      <c r="B361" s="6">
        <v>45340.0</v>
      </c>
    </row>
    <row r="362">
      <c r="A362" s="4">
        <v>1271571.0</v>
      </c>
      <c r="B362" s="6">
        <v>45341.0</v>
      </c>
    </row>
    <row r="363">
      <c r="A363" s="4">
        <v>1271571.0</v>
      </c>
      <c r="B363" s="6">
        <v>45342.0</v>
      </c>
    </row>
    <row r="364">
      <c r="A364" s="4">
        <v>1271571.0</v>
      </c>
      <c r="B364" s="6">
        <v>45343.0</v>
      </c>
    </row>
    <row r="365">
      <c r="A365" s="4">
        <v>1271571.0</v>
      </c>
      <c r="B365" s="6">
        <v>45344.0</v>
      </c>
    </row>
    <row r="366">
      <c r="A366" s="4">
        <v>1271571.0</v>
      </c>
      <c r="B366" s="6">
        <v>45345.0</v>
      </c>
    </row>
    <row r="367">
      <c r="A367" s="4">
        <v>1271571.0</v>
      </c>
      <c r="B367" s="6">
        <v>45346.0</v>
      </c>
    </row>
    <row r="368">
      <c r="A368" s="4">
        <v>1271571.0</v>
      </c>
      <c r="B368" s="6">
        <v>45347.0</v>
      </c>
    </row>
    <row r="369">
      <c r="A369" s="4">
        <v>1271571.0</v>
      </c>
      <c r="B369" s="6">
        <v>45505.0</v>
      </c>
    </row>
    <row r="370">
      <c r="A370" s="4">
        <v>1271571.0</v>
      </c>
      <c r="B370" s="6">
        <v>45506.0</v>
      </c>
    </row>
    <row r="371">
      <c r="A371" s="4">
        <v>1271571.0</v>
      </c>
      <c r="B371" s="6">
        <v>45507.0</v>
      </c>
    </row>
    <row r="372">
      <c r="A372" s="4">
        <v>1271571.0</v>
      </c>
      <c r="B372" s="6">
        <v>45508.0</v>
      </c>
    </row>
    <row r="373">
      <c r="A373" s="4">
        <v>1271571.0</v>
      </c>
      <c r="B373" s="6">
        <v>45509.0</v>
      </c>
    </row>
    <row r="374">
      <c r="A374" s="4">
        <v>1271571.0</v>
      </c>
      <c r="B374" s="6">
        <v>45510.0</v>
      </c>
    </row>
    <row r="375">
      <c r="A375" s="4">
        <v>1271571.0</v>
      </c>
      <c r="B375" s="6">
        <v>45511.0</v>
      </c>
    </row>
    <row r="376">
      <c r="A376" s="4">
        <v>1271571.0</v>
      </c>
      <c r="B376" s="6">
        <v>45512.0</v>
      </c>
    </row>
    <row r="377">
      <c r="A377" s="4">
        <v>1271571.0</v>
      </c>
      <c r="B377" s="6">
        <v>45513.0</v>
      </c>
    </row>
    <row r="378">
      <c r="A378" s="4">
        <v>1271571.0</v>
      </c>
      <c r="B378" s="6">
        <v>45514.0</v>
      </c>
    </row>
    <row r="379">
      <c r="A379" s="4">
        <v>1271571.0</v>
      </c>
      <c r="B379" s="6">
        <v>45515.0</v>
      </c>
    </row>
    <row r="380">
      <c r="A380" s="4">
        <v>1271571.0</v>
      </c>
      <c r="B380" s="6">
        <v>45516.0</v>
      </c>
    </row>
    <row r="381">
      <c r="A381" s="4">
        <v>1271571.0</v>
      </c>
      <c r="B381" s="6">
        <v>45517.0</v>
      </c>
    </row>
    <row r="382">
      <c r="A382" s="4">
        <v>1271571.0</v>
      </c>
      <c r="B382" s="6">
        <v>45518.0</v>
      </c>
    </row>
    <row r="383">
      <c r="A383" s="4">
        <v>1271571.0</v>
      </c>
      <c r="B383" s="6">
        <v>45519.0</v>
      </c>
    </row>
    <row r="384">
      <c r="A384" s="4">
        <v>1271571.0</v>
      </c>
      <c r="B384" s="6">
        <v>45712.0</v>
      </c>
    </row>
    <row r="385">
      <c r="A385" s="4">
        <v>1271571.0</v>
      </c>
      <c r="B385" s="6">
        <v>45713.0</v>
      </c>
    </row>
    <row r="386">
      <c r="A386" s="4">
        <v>1271571.0</v>
      </c>
      <c r="B386" s="6">
        <v>45714.0</v>
      </c>
    </row>
    <row r="387">
      <c r="A387" s="4">
        <v>1271571.0</v>
      </c>
      <c r="B387" s="6">
        <v>45715.0</v>
      </c>
    </row>
    <row r="388">
      <c r="A388" s="4">
        <v>1271571.0</v>
      </c>
      <c r="B388" s="6">
        <v>45716.0</v>
      </c>
    </row>
    <row r="389">
      <c r="A389" s="4">
        <v>1271571.0</v>
      </c>
      <c r="B389" s="6">
        <v>45717.0</v>
      </c>
    </row>
    <row r="390">
      <c r="A390" s="4">
        <v>1271571.0</v>
      </c>
      <c r="B390" s="6">
        <v>45718.0</v>
      </c>
    </row>
    <row r="391">
      <c r="A391" s="4">
        <v>1271571.0</v>
      </c>
      <c r="B391" s="6">
        <v>45719.0</v>
      </c>
    </row>
    <row r="392">
      <c r="A392" s="4">
        <v>1271571.0</v>
      </c>
      <c r="B392" s="6">
        <v>45720.0</v>
      </c>
    </row>
    <row r="393">
      <c r="A393" s="4">
        <v>1271571.0</v>
      </c>
      <c r="B393" s="6">
        <v>45721.0</v>
      </c>
    </row>
    <row r="394">
      <c r="A394" s="4">
        <v>1271571.0</v>
      </c>
      <c r="B394" s="6">
        <v>45722.0</v>
      </c>
    </row>
    <row r="395">
      <c r="A395" s="4">
        <v>1271571.0</v>
      </c>
      <c r="B395" s="6">
        <v>45723.0</v>
      </c>
    </row>
    <row r="396">
      <c r="A396" s="4">
        <v>1271571.0</v>
      </c>
      <c r="B396" s="6">
        <v>45724.0</v>
      </c>
    </row>
    <row r="397">
      <c r="A397" s="4">
        <v>1271571.0</v>
      </c>
      <c r="B397" s="6">
        <v>45725.0</v>
      </c>
    </row>
    <row r="398">
      <c r="A398" s="4">
        <v>1271571.0</v>
      </c>
      <c r="B398" s="6">
        <v>45740.0</v>
      </c>
    </row>
    <row r="399">
      <c r="A399" s="4">
        <v>1271571.0</v>
      </c>
      <c r="B399" s="6">
        <v>45741.0</v>
      </c>
    </row>
    <row r="400">
      <c r="A400" s="4">
        <v>1271571.0</v>
      </c>
      <c r="B400" s="6">
        <v>45820.0</v>
      </c>
    </row>
    <row r="401">
      <c r="A401" s="4">
        <v>1271571.0</v>
      </c>
      <c r="B401" s="6">
        <v>45821.0</v>
      </c>
    </row>
    <row r="402">
      <c r="A402" s="4">
        <v>1271571.0</v>
      </c>
      <c r="B402" s="6">
        <v>45931.0</v>
      </c>
    </row>
    <row r="403">
      <c r="A403" s="4">
        <v>1271571.0</v>
      </c>
      <c r="B403" s="6">
        <v>45932.0</v>
      </c>
    </row>
    <row r="404">
      <c r="A404" s="4">
        <v>1271571.0</v>
      </c>
      <c r="B404" s="6">
        <v>45933.0</v>
      </c>
    </row>
    <row r="405">
      <c r="A405" s="4">
        <v>1271571.0</v>
      </c>
      <c r="B405" s="6">
        <v>45934.0</v>
      </c>
    </row>
    <row r="406">
      <c r="A406" s="4">
        <v>1271571.0</v>
      </c>
      <c r="B406" s="6">
        <v>45935.0</v>
      </c>
    </row>
    <row r="407">
      <c r="A407" s="4">
        <v>1271571.0</v>
      </c>
      <c r="B407" s="6">
        <v>45936.0</v>
      </c>
    </row>
    <row r="408">
      <c r="A408" s="4">
        <v>1271571.0</v>
      </c>
      <c r="B408" s="6">
        <v>45937.0</v>
      </c>
    </row>
    <row r="409">
      <c r="A409" s="4">
        <v>1271571.0</v>
      </c>
      <c r="B409" s="6">
        <v>45938.0</v>
      </c>
    </row>
    <row r="410">
      <c r="A410" s="4">
        <v>1271571.0</v>
      </c>
      <c r="B410" s="6">
        <v>45939.0</v>
      </c>
    </row>
    <row r="411">
      <c r="A411" s="4">
        <v>1271571.0</v>
      </c>
      <c r="B411" s="6">
        <v>45940.0</v>
      </c>
    </row>
    <row r="412">
      <c r="A412" s="4">
        <v>1271571.0</v>
      </c>
      <c r="B412" s="6">
        <v>45941.0</v>
      </c>
    </row>
    <row r="413">
      <c r="A413" s="4">
        <v>1271571.0</v>
      </c>
      <c r="B413" s="6">
        <v>45942.0</v>
      </c>
    </row>
    <row r="414">
      <c r="A414" s="4">
        <v>1271571.0</v>
      </c>
      <c r="B414" s="6">
        <v>45943.0</v>
      </c>
    </row>
    <row r="415">
      <c r="A415" s="4">
        <v>1271571.0</v>
      </c>
      <c r="B415" s="6">
        <v>45944.0</v>
      </c>
    </row>
    <row r="416">
      <c r="A416" s="4">
        <v>1271571.0</v>
      </c>
      <c r="B416" s="6">
        <v>45945.0</v>
      </c>
    </row>
    <row r="417">
      <c r="A417" s="4">
        <v>1271571.0</v>
      </c>
      <c r="B417" s="6">
        <v>45946.0</v>
      </c>
    </row>
    <row r="418">
      <c r="A418" s="4">
        <v>1271571.0</v>
      </c>
      <c r="B418" s="6">
        <v>45947.0</v>
      </c>
    </row>
    <row r="419">
      <c r="A419" s="4">
        <v>1271571.0</v>
      </c>
      <c r="B419" s="6">
        <v>45948.0</v>
      </c>
    </row>
    <row r="420">
      <c r="A420" s="4">
        <v>1271571.0</v>
      </c>
      <c r="B420" s="6">
        <v>45949.0</v>
      </c>
    </row>
    <row r="421">
      <c r="A421" s="4">
        <v>1271571.0</v>
      </c>
      <c r="B421" s="6">
        <v>46076.0</v>
      </c>
    </row>
    <row r="422">
      <c r="A422" s="4">
        <v>1271571.0</v>
      </c>
      <c r="B422" s="6">
        <v>46077.0</v>
      </c>
    </row>
    <row r="423">
      <c r="A423" s="4">
        <v>1271571.0</v>
      </c>
      <c r="B423" s="6">
        <v>46078.0</v>
      </c>
    </row>
    <row r="424">
      <c r="A424" s="4">
        <v>1271571.0</v>
      </c>
      <c r="B424" s="6">
        <v>46079.0</v>
      </c>
    </row>
    <row r="425">
      <c r="A425" s="4">
        <v>1271571.0</v>
      </c>
      <c r="B425" s="6">
        <v>46080.0</v>
      </c>
    </row>
    <row r="426">
      <c r="A426" s="4">
        <v>1271571.0</v>
      </c>
      <c r="B426" s="6">
        <v>46081.0</v>
      </c>
    </row>
    <row r="427">
      <c r="A427" s="4">
        <v>1271571.0</v>
      </c>
      <c r="B427" s="6">
        <v>46082.0</v>
      </c>
    </row>
    <row r="428">
      <c r="A428" s="4">
        <v>1271571.0</v>
      </c>
      <c r="B428" s="6">
        <v>46153.0</v>
      </c>
    </row>
    <row r="429">
      <c r="A429" s="4">
        <v>1271571.0</v>
      </c>
      <c r="B429" s="6">
        <v>46154.0</v>
      </c>
    </row>
    <row r="430">
      <c r="A430" s="4">
        <v>1271571.0</v>
      </c>
      <c r="B430" s="6">
        <v>46155.0</v>
      </c>
    </row>
    <row r="431">
      <c r="A431" s="4">
        <v>1271571.0</v>
      </c>
      <c r="B431" s="6">
        <v>46156.0</v>
      </c>
    </row>
    <row r="432">
      <c r="A432" s="4">
        <v>1271571.0</v>
      </c>
      <c r="B432" s="6">
        <v>46157.0</v>
      </c>
    </row>
    <row r="433">
      <c r="A433" s="4">
        <v>1271571.0</v>
      </c>
      <c r="B433" s="6">
        <v>46158.0</v>
      </c>
    </row>
    <row r="434">
      <c r="A434" s="4">
        <v>1271571.0</v>
      </c>
      <c r="B434" s="6">
        <v>46159.0</v>
      </c>
    </row>
    <row r="435">
      <c r="A435" s="4">
        <v>1271571.0</v>
      </c>
      <c r="B435" s="6">
        <v>46237.0</v>
      </c>
    </row>
    <row r="436">
      <c r="A436" s="4">
        <v>1271571.0</v>
      </c>
      <c r="B436" s="6">
        <v>46238.0</v>
      </c>
    </row>
    <row r="437">
      <c r="A437" s="4">
        <v>1271571.0</v>
      </c>
      <c r="B437" s="6">
        <v>46239.0</v>
      </c>
    </row>
    <row r="438">
      <c r="A438" s="4">
        <v>1271571.0</v>
      </c>
      <c r="B438" s="6">
        <v>46240.0</v>
      </c>
    </row>
    <row r="439">
      <c r="A439" s="4">
        <v>1271571.0</v>
      </c>
      <c r="B439" s="6">
        <v>46241.0</v>
      </c>
    </row>
    <row r="440">
      <c r="A440" s="4">
        <v>1271571.0</v>
      </c>
      <c r="B440" s="6">
        <v>46242.0</v>
      </c>
    </row>
    <row r="441">
      <c r="A441" s="4">
        <v>1271571.0</v>
      </c>
      <c r="B441" s="6">
        <v>46243.0</v>
      </c>
    </row>
    <row r="442">
      <c r="A442" s="4">
        <v>2369624.0</v>
      </c>
      <c r="B442" s="6">
        <v>45380.0</v>
      </c>
    </row>
    <row r="443">
      <c r="A443" s="4">
        <v>2369624.0</v>
      </c>
      <c r="B443" s="6">
        <v>45381.0</v>
      </c>
    </row>
    <row r="444">
      <c r="A444" s="4">
        <v>2369624.0</v>
      </c>
      <c r="B444" s="6">
        <v>45382.0</v>
      </c>
    </row>
    <row r="445">
      <c r="A445" s="4">
        <v>2369624.0</v>
      </c>
      <c r="B445" s="6">
        <v>45383.0</v>
      </c>
    </row>
    <row r="446">
      <c r="A446" s="4">
        <v>2369624.0</v>
      </c>
      <c r="B446" s="6">
        <v>45384.0</v>
      </c>
    </row>
    <row r="447">
      <c r="A447" s="4">
        <v>2369624.0</v>
      </c>
      <c r="B447" s="6">
        <v>45385.0</v>
      </c>
    </row>
    <row r="448">
      <c r="A448" s="4">
        <v>2369624.0</v>
      </c>
      <c r="B448" s="6">
        <v>45386.0</v>
      </c>
    </row>
    <row r="449">
      <c r="A449" s="4">
        <v>2369624.0</v>
      </c>
      <c r="B449" s="6">
        <v>45387.0</v>
      </c>
    </row>
    <row r="450">
      <c r="A450" s="4">
        <v>2369624.0</v>
      </c>
      <c r="B450" s="6">
        <v>45388.0</v>
      </c>
    </row>
    <row r="451">
      <c r="A451" s="4">
        <v>2369624.0</v>
      </c>
      <c r="B451" s="6">
        <v>45389.0</v>
      </c>
    </row>
    <row r="452">
      <c r="A452" s="4">
        <v>2369624.0</v>
      </c>
      <c r="B452" s="6">
        <v>45566.0</v>
      </c>
    </row>
    <row r="453">
      <c r="A453" s="4">
        <v>2369624.0</v>
      </c>
      <c r="B453" s="6">
        <v>45567.0</v>
      </c>
    </row>
    <row r="454">
      <c r="A454" s="4">
        <v>2369624.0</v>
      </c>
      <c r="B454" s="6">
        <v>45568.0</v>
      </c>
    </row>
    <row r="455">
      <c r="A455" s="4">
        <v>2369624.0</v>
      </c>
      <c r="B455" s="6">
        <v>45569.0</v>
      </c>
    </row>
    <row r="456">
      <c r="A456" s="4">
        <v>2369624.0</v>
      </c>
      <c r="B456" s="6">
        <v>45570.0</v>
      </c>
    </row>
    <row r="457">
      <c r="A457" s="4">
        <v>2369624.0</v>
      </c>
      <c r="B457" s="6">
        <v>45571.0</v>
      </c>
    </row>
    <row r="458">
      <c r="A458" s="4">
        <v>2369624.0</v>
      </c>
      <c r="B458" s="6">
        <v>45572.0</v>
      </c>
    </row>
    <row r="459">
      <c r="A459" s="4">
        <v>2369624.0</v>
      </c>
      <c r="B459" s="6">
        <v>45573.0</v>
      </c>
    </row>
    <row r="460">
      <c r="A460" s="4">
        <v>2369624.0</v>
      </c>
      <c r="B460" s="6">
        <v>45574.0</v>
      </c>
    </row>
    <row r="461">
      <c r="A461" s="4">
        <v>2369624.0</v>
      </c>
      <c r="B461" s="6">
        <v>45575.0</v>
      </c>
    </row>
    <row r="462">
      <c r="A462" s="4">
        <v>2369624.0</v>
      </c>
      <c r="B462" s="6">
        <v>45576.0</v>
      </c>
    </row>
    <row r="463">
      <c r="A463" s="4">
        <v>2369624.0</v>
      </c>
      <c r="B463" s="6">
        <v>45577.0</v>
      </c>
    </row>
    <row r="464">
      <c r="A464" s="4">
        <v>2369624.0</v>
      </c>
      <c r="B464" s="6">
        <v>45578.0</v>
      </c>
    </row>
    <row r="465">
      <c r="A465" s="4">
        <v>2369624.0</v>
      </c>
      <c r="B465" s="6">
        <v>45579.0</v>
      </c>
    </row>
    <row r="466">
      <c r="A466" s="4">
        <v>2369624.0</v>
      </c>
      <c r="B466" s="6">
        <v>45580.0</v>
      </c>
    </row>
    <row r="467">
      <c r="A467" s="4">
        <v>2369624.0</v>
      </c>
      <c r="B467" s="6">
        <v>45581.0</v>
      </c>
    </row>
    <row r="468">
      <c r="A468" s="4">
        <v>2369624.0</v>
      </c>
      <c r="B468" s="6">
        <v>45582.0</v>
      </c>
    </row>
    <row r="469">
      <c r="A469" s="4">
        <v>2369624.0</v>
      </c>
      <c r="B469" s="6">
        <v>45583.0</v>
      </c>
    </row>
    <row r="470">
      <c r="A470" s="4">
        <v>2369624.0</v>
      </c>
      <c r="B470" s="6">
        <v>45584.0</v>
      </c>
    </row>
    <row r="471">
      <c r="A471" s="4">
        <v>2369624.0</v>
      </c>
      <c r="B471" s="6">
        <v>45585.0</v>
      </c>
    </row>
    <row r="472">
      <c r="A472" s="4">
        <v>2369624.0</v>
      </c>
      <c r="B472" s="6">
        <v>45586.0</v>
      </c>
    </row>
    <row r="473">
      <c r="A473" s="4">
        <v>2369624.0</v>
      </c>
      <c r="B473" s="6">
        <v>45587.0</v>
      </c>
    </row>
    <row r="474">
      <c r="A474" s="4">
        <v>2369624.0</v>
      </c>
      <c r="B474" s="6">
        <v>45588.0</v>
      </c>
    </row>
    <row r="475">
      <c r="A475" s="4">
        <v>2369624.0</v>
      </c>
      <c r="B475" s="6">
        <v>45642.0</v>
      </c>
    </row>
    <row r="476">
      <c r="A476" s="4">
        <v>2369624.0</v>
      </c>
      <c r="B476" s="6">
        <v>45643.0</v>
      </c>
    </row>
    <row r="477">
      <c r="A477" s="4">
        <v>2369624.0</v>
      </c>
      <c r="B477" s="6">
        <v>45644.0</v>
      </c>
    </row>
    <row r="478">
      <c r="A478" s="4">
        <v>2369624.0</v>
      </c>
      <c r="B478" s="6">
        <v>45645.0</v>
      </c>
    </row>
    <row r="479">
      <c r="A479" s="4">
        <v>2369624.0</v>
      </c>
      <c r="B479" s="6">
        <v>45646.0</v>
      </c>
    </row>
    <row r="480">
      <c r="A480" s="4">
        <v>2369624.0</v>
      </c>
      <c r="B480" s="6">
        <v>45647.0</v>
      </c>
    </row>
    <row r="481">
      <c r="A481" s="4">
        <v>2369624.0</v>
      </c>
      <c r="B481" s="6">
        <v>45648.0</v>
      </c>
    </row>
    <row r="482">
      <c r="A482" s="4">
        <v>2369624.0</v>
      </c>
      <c r="B482" s="6">
        <v>45649.0</v>
      </c>
    </row>
    <row r="483">
      <c r="A483" s="4">
        <v>2369624.0</v>
      </c>
      <c r="B483" s="6">
        <v>45750.0</v>
      </c>
    </row>
    <row r="484">
      <c r="A484" s="4">
        <v>2369624.0</v>
      </c>
      <c r="B484" s="6">
        <v>45751.0</v>
      </c>
    </row>
    <row r="485">
      <c r="A485" s="4">
        <v>2369624.0</v>
      </c>
      <c r="B485" s="6">
        <v>45752.0</v>
      </c>
    </row>
    <row r="486">
      <c r="A486" s="4">
        <v>2369624.0</v>
      </c>
      <c r="B486" s="6">
        <v>45753.0</v>
      </c>
    </row>
    <row r="487">
      <c r="A487" s="4">
        <v>2369624.0</v>
      </c>
      <c r="B487" s="6">
        <v>45754.0</v>
      </c>
    </row>
    <row r="488">
      <c r="A488" s="4">
        <v>2369624.0</v>
      </c>
      <c r="B488" s="6">
        <v>45755.0</v>
      </c>
    </row>
    <row r="489">
      <c r="A489" s="4">
        <v>2369624.0</v>
      </c>
      <c r="B489" s="6">
        <v>45756.0</v>
      </c>
    </row>
    <row r="490">
      <c r="A490" s="4">
        <v>2369624.0</v>
      </c>
      <c r="B490" s="6">
        <v>45757.0</v>
      </c>
    </row>
    <row r="491">
      <c r="A491" s="4">
        <v>2369624.0</v>
      </c>
      <c r="B491" s="6">
        <v>45758.0</v>
      </c>
    </row>
    <row r="492">
      <c r="A492" s="4">
        <v>2369624.0</v>
      </c>
      <c r="B492" s="6">
        <v>45759.0</v>
      </c>
    </row>
    <row r="493">
      <c r="A493" s="4">
        <v>2369624.0</v>
      </c>
      <c r="B493" s="6">
        <v>45760.0</v>
      </c>
    </row>
    <row r="494">
      <c r="A494" s="4">
        <v>2369624.0</v>
      </c>
      <c r="B494" s="6">
        <v>45761.0</v>
      </c>
    </row>
    <row r="495">
      <c r="A495" s="4">
        <v>2369624.0</v>
      </c>
      <c r="B495" s="6">
        <v>45762.0</v>
      </c>
    </row>
    <row r="496">
      <c r="A496" s="4">
        <v>2369624.0</v>
      </c>
      <c r="B496" s="6">
        <v>45764.0</v>
      </c>
    </row>
    <row r="497">
      <c r="A497" s="4">
        <v>2369624.0</v>
      </c>
      <c r="B497" s="6">
        <v>45765.0</v>
      </c>
    </row>
    <row r="498">
      <c r="A498" s="4">
        <v>2369624.0</v>
      </c>
      <c r="B498" s="6">
        <v>45766.0</v>
      </c>
    </row>
    <row r="499">
      <c r="A499" s="4">
        <v>2369624.0</v>
      </c>
      <c r="B499" s="6">
        <v>45767.0</v>
      </c>
    </row>
    <row r="500">
      <c r="A500" s="4">
        <v>2369624.0</v>
      </c>
      <c r="B500" s="6">
        <v>45768.0</v>
      </c>
    </row>
    <row r="501">
      <c r="A501" s="4">
        <v>2369624.0</v>
      </c>
      <c r="B501" s="6">
        <v>45769.0</v>
      </c>
    </row>
    <row r="502">
      <c r="A502" s="4">
        <v>2369624.0</v>
      </c>
      <c r="B502" s="6">
        <v>45770.0</v>
      </c>
    </row>
    <row r="503">
      <c r="A503" s="4">
        <v>2369624.0</v>
      </c>
      <c r="B503" s="6">
        <v>45771.0</v>
      </c>
    </row>
    <row r="504">
      <c r="A504" s="4">
        <v>2369624.0</v>
      </c>
      <c r="B504" s="6">
        <v>45772.0</v>
      </c>
    </row>
    <row r="505">
      <c r="A505" s="4">
        <v>2369624.0</v>
      </c>
      <c r="B505" s="6">
        <v>45773.0</v>
      </c>
    </row>
    <row r="506">
      <c r="A506" s="4">
        <v>2369624.0</v>
      </c>
      <c r="B506" s="6">
        <v>45774.0</v>
      </c>
    </row>
    <row r="507">
      <c r="A507" s="4">
        <v>2369624.0</v>
      </c>
      <c r="B507" s="6">
        <v>45775.0</v>
      </c>
    </row>
    <row r="508">
      <c r="A508" s="4">
        <v>2369624.0</v>
      </c>
      <c r="B508" s="6">
        <v>45776.0</v>
      </c>
    </row>
    <row r="509">
      <c r="A509" s="4">
        <v>2369624.0</v>
      </c>
      <c r="B509" s="6">
        <v>45777.0</v>
      </c>
    </row>
    <row r="510">
      <c r="A510" s="4">
        <v>2369624.0</v>
      </c>
      <c r="B510" s="6">
        <v>45931.0</v>
      </c>
    </row>
    <row r="511">
      <c r="A511" s="4">
        <v>2369624.0</v>
      </c>
      <c r="B511" s="6">
        <v>45932.0</v>
      </c>
    </row>
    <row r="512">
      <c r="A512" s="4">
        <v>2369624.0</v>
      </c>
      <c r="B512" s="6">
        <v>45933.0</v>
      </c>
    </row>
    <row r="513">
      <c r="A513" s="4">
        <v>2369624.0</v>
      </c>
      <c r="B513" s="6">
        <v>45934.0</v>
      </c>
    </row>
    <row r="514">
      <c r="A514" s="4">
        <v>2369624.0</v>
      </c>
      <c r="B514" s="6">
        <v>45935.0</v>
      </c>
    </row>
    <row r="515">
      <c r="A515" s="4">
        <v>2369624.0</v>
      </c>
      <c r="B515" s="6">
        <v>45936.0</v>
      </c>
    </row>
    <row r="516">
      <c r="A516" s="4">
        <v>2369624.0</v>
      </c>
      <c r="B516" s="6">
        <v>45937.0</v>
      </c>
    </row>
    <row r="517">
      <c r="A517" s="4">
        <v>2369624.0</v>
      </c>
      <c r="B517" s="6">
        <v>45938.0</v>
      </c>
    </row>
    <row r="518">
      <c r="A518" s="4">
        <v>2369624.0</v>
      </c>
      <c r="B518" s="6">
        <v>45939.0</v>
      </c>
    </row>
    <row r="519">
      <c r="A519" s="4">
        <v>2369624.0</v>
      </c>
      <c r="B519" s="6">
        <v>45940.0</v>
      </c>
    </row>
    <row r="520">
      <c r="A520" s="4">
        <v>2369624.0</v>
      </c>
      <c r="B520" s="6">
        <v>45941.0</v>
      </c>
    </row>
    <row r="521">
      <c r="A521" s="4">
        <v>2369624.0</v>
      </c>
      <c r="B521" s="6">
        <v>45942.0</v>
      </c>
    </row>
    <row r="522">
      <c r="A522" s="4">
        <v>2369624.0</v>
      </c>
      <c r="B522" s="6">
        <v>45943.0</v>
      </c>
    </row>
    <row r="523">
      <c r="A523" s="4">
        <v>2369624.0</v>
      </c>
      <c r="B523" s="6">
        <v>45944.0</v>
      </c>
    </row>
    <row r="524">
      <c r="A524" s="4">
        <v>2369624.0</v>
      </c>
      <c r="B524" s="6">
        <v>45945.0</v>
      </c>
    </row>
    <row r="525">
      <c r="A525" s="4">
        <v>2369624.0</v>
      </c>
      <c r="B525" s="6">
        <v>46015.0</v>
      </c>
    </row>
    <row r="526">
      <c r="A526" s="4">
        <v>2369624.0</v>
      </c>
      <c r="B526" s="6">
        <v>46016.0</v>
      </c>
    </row>
    <row r="527">
      <c r="A527" s="4">
        <v>2369624.0</v>
      </c>
      <c r="B527" s="6">
        <v>46017.0</v>
      </c>
    </row>
    <row r="528">
      <c r="A528" s="4">
        <v>2369624.0</v>
      </c>
      <c r="B528" s="6">
        <v>46018.0</v>
      </c>
    </row>
    <row r="529">
      <c r="A529" s="4">
        <v>2369624.0</v>
      </c>
      <c r="B529" s="6">
        <v>46019.0</v>
      </c>
    </row>
    <row r="530">
      <c r="A530" s="4">
        <v>2369624.0</v>
      </c>
      <c r="B530" s="6">
        <v>46020.0</v>
      </c>
    </row>
    <row r="531">
      <c r="A531" s="4">
        <v>2369624.0</v>
      </c>
      <c r="B531" s="6">
        <v>46021.0</v>
      </c>
    </row>
    <row r="532">
      <c r="A532" s="4">
        <v>2369624.0</v>
      </c>
      <c r="B532" s="6">
        <v>46022.0</v>
      </c>
    </row>
    <row r="533">
      <c r="A533" s="4">
        <v>2369624.0</v>
      </c>
      <c r="B533" s="6">
        <v>46023.0</v>
      </c>
    </row>
    <row r="534">
      <c r="A534" s="4">
        <v>2369624.0</v>
      </c>
      <c r="B534" s="6">
        <v>46024.0</v>
      </c>
    </row>
    <row r="535">
      <c r="A535" s="4">
        <v>2369624.0</v>
      </c>
      <c r="B535" s="6">
        <v>46025.0</v>
      </c>
    </row>
    <row r="536">
      <c r="A536" s="4">
        <v>2369624.0</v>
      </c>
      <c r="B536" s="6">
        <v>46026.0</v>
      </c>
    </row>
    <row r="537">
      <c r="A537" s="4">
        <v>2369624.0</v>
      </c>
      <c r="B537" s="6">
        <v>46027.0</v>
      </c>
    </row>
    <row r="538">
      <c r="A538" s="4">
        <v>2369624.0</v>
      </c>
      <c r="B538" s="6">
        <v>46028.0</v>
      </c>
    </row>
    <row r="539">
      <c r="A539" s="4">
        <v>2369624.0</v>
      </c>
      <c r="B539" s="6">
        <v>46128.0</v>
      </c>
    </row>
    <row r="540">
      <c r="A540" s="4">
        <v>2369624.0</v>
      </c>
      <c r="B540" s="6">
        <v>46129.0</v>
      </c>
    </row>
    <row r="541">
      <c r="A541" s="4">
        <v>2369624.0</v>
      </c>
      <c r="B541" s="6">
        <v>46130.0</v>
      </c>
    </row>
    <row r="542">
      <c r="A542" s="4">
        <v>2369624.0</v>
      </c>
      <c r="B542" s="6">
        <v>46131.0</v>
      </c>
    </row>
    <row r="543">
      <c r="A543" s="4">
        <v>2369624.0</v>
      </c>
      <c r="B543" s="6">
        <v>46132.0</v>
      </c>
    </row>
    <row r="544">
      <c r="A544" s="4">
        <v>2369624.0</v>
      </c>
      <c r="B544" s="6">
        <v>46133.0</v>
      </c>
    </row>
    <row r="545">
      <c r="A545" s="4">
        <v>2369624.0</v>
      </c>
      <c r="B545" s="6">
        <v>46134.0</v>
      </c>
    </row>
    <row r="546">
      <c r="A546" s="4">
        <v>2369624.0</v>
      </c>
      <c r="B546" s="6">
        <v>46235.0</v>
      </c>
    </row>
    <row r="547">
      <c r="A547" s="4">
        <v>2369624.0</v>
      </c>
      <c r="B547" s="6">
        <v>46236.0</v>
      </c>
    </row>
    <row r="548">
      <c r="A548" s="4">
        <v>2369624.0</v>
      </c>
      <c r="B548" s="6">
        <v>46237.0</v>
      </c>
    </row>
    <row r="549">
      <c r="A549" s="4">
        <v>2369624.0</v>
      </c>
      <c r="B549" s="6">
        <v>46238.0</v>
      </c>
    </row>
    <row r="550">
      <c r="A550" s="4">
        <v>2369624.0</v>
      </c>
      <c r="B550" s="6">
        <v>46239.0</v>
      </c>
    </row>
    <row r="551">
      <c r="A551" s="4">
        <v>2369624.0</v>
      </c>
      <c r="B551" s="6">
        <v>46240.0</v>
      </c>
    </row>
    <row r="552">
      <c r="A552" s="4">
        <v>2369624.0</v>
      </c>
      <c r="B552" s="6">
        <v>46241.0</v>
      </c>
    </row>
    <row r="553">
      <c r="A553" s="4">
        <v>2369624.0</v>
      </c>
      <c r="B553" s="6">
        <v>46266.0</v>
      </c>
    </row>
    <row r="554">
      <c r="A554" s="4">
        <v>2369624.0</v>
      </c>
      <c r="B554" s="6">
        <v>46267.0</v>
      </c>
    </row>
    <row r="555">
      <c r="A555" s="4">
        <v>2369624.0</v>
      </c>
      <c r="B555" s="6">
        <v>46268.0</v>
      </c>
    </row>
    <row r="556">
      <c r="A556" s="4">
        <v>2369624.0</v>
      </c>
      <c r="B556" s="6">
        <v>46269.0</v>
      </c>
    </row>
    <row r="557">
      <c r="A557" s="4">
        <v>2369624.0</v>
      </c>
      <c r="B557" s="6">
        <v>46270.0</v>
      </c>
    </row>
    <row r="558">
      <c r="A558" s="4">
        <v>2369624.0</v>
      </c>
      <c r="B558" s="6">
        <v>46271.0</v>
      </c>
    </row>
    <row r="559">
      <c r="A559" s="4">
        <v>2369624.0</v>
      </c>
      <c r="B559" s="6">
        <v>46272.0</v>
      </c>
    </row>
    <row r="560">
      <c r="A560" s="4">
        <v>2369624.0</v>
      </c>
      <c r="B560" s="6">
        <v>46296.0</v>
      </c>
    </row>
    <row r="561">
      <c r="A561" s="4">
        <v>2369624.0</v>
      </c>
      <c r="B561" s="6">
        <v>46297.0</v>
      </c>
    </row>
    <row r="562">
      <c r="A562" s="4">
        <v>2369624.0</v>
      </c>
      <c r="B562" s="6">
        <v>46298.0</v>
      </c>
    </row>
    <row r="563">
      <c r="A563" s="4">
        <v>2369624.0</v>
      </c>
      <c r="B563" s="6">
        <v>46299.0</v>
      </c>
    </row>
    <row r="564">
      <c r="A564" s="4">
        <v>2369624.0</v>
      </c>
      <c r="B564" s="6">
        <v>46300.0</v>
      </c>
    </row>
    <row r="565">
      <c r="A565" s="4">
        <v>2369624.0</v>
      </c>
      <c r="B565" s="6">
        <v>46301.0</v>
      </c>
    </row>
    <row r="566">
      <c r="A566" s="4">
        <v>2369624.0</v>
      </c>
      <c r="B566" s="6">
        <v>46302.0</v>
      </c>
    </row>
    <row r="567">
      <c r="A567" s="4">
        <v>2369624.0</v>
      </c>
      <c r="B567" s="6">
        <v>46303.0</v>
      </c>
    </row>
    <row r="568">
      <c r="A568" s="4">
        <v>2369624.0</v>
      </c>
      <c r="B568" s="6">
        <v>46304.0</v>
      </c>
    </row>
    <row r="569">
      <c r="A569" s="4">
        <v>2369624.0</v>
      </c>
      <c r="B569" s="6">
        <v>46305.0</v>
      </c>
    </row>
    <row r="570">
      <c r="A570" s="4">
        <v>2369624.0</v>
      </c>
      <c r="B570" s="6">
        <v>46306.0</v>
      </c>
    </row>
    <row r="571">
      <c r="A571" s="4">
        <v>2369624.0</v>
      </c>
      <c r="B571" s="6">
        <v>46307.0</v>
      </c>
    </row>
    <row r="572">
      <c r="A572" s="4">
        <v>2369624.0</v>
      </c>
      <c r="B572" s="6">
        <v>46308.0</v>
      </c>
    </row>
    <row r="573">
      <c r="A573" s="4">
        <v>2369624.0</v>
      </c>
      <c r="B573" s="6">
        <v>46309.0</v>
      </c>
    </row>
    <row r="574">
      <c r="A574" s="4">
        <v>2369624.0</v>
      </c>
      <c r="B574" s="6">
        <v>46310.0</v>
      </c>
    </row>
    <row r="575">
      <c r="A575" s="4">
        <v>2369641.0</v>
      </c>
      <c r="B575" s="6">
        <v>45292.0</v>
      </c>
    </row>
    <row r="576">
      <c r="A576" s="4">
        <v>2369641.0</v>
      </c>
      <c r="B576" s="6">
        <v>45293.0</v>
      </c>
    </row>
    <row r="577">
      <c r="A577" s="4">
        <v>2369641.0</v>
      </c>
      <c r="B577" s="6">
        <v>45294.0</v>
      </c>
    </row>
    <row r="578">
      <c r="A578" s="4">
        <v>2369641.0</v>
      </c>
      <c r="B578" s="6">
        <v>45295.0</v>
      </c>
    </row>
    <row r="579">
      <c r="A579" s="4">
        <v>2369641.0</v>
      </c>
      <c r="B579" s="6">
        <v>45296.0</v>
      </c>
    </row>
    <row r="580">
      <c r="A580" s="4">
        <v>2369641.0</v>
      </c>
      <c r="B580" s="6">
        <v>45297.0</v>
      </c>
    </row>
    <row r="581">
      <c r="A581" s="4">
        <v>2369641.0</v>
      </c>
      <c r="B581" s="6">
        <v>45298.0</v>
      </c>
    </row>
    <row r="582">
      <c r="A582" s="4">
        <v>2369641.0</v>
      </c>
      <c r="B582" s="6">
        <v>45299.0</v>
      </c>
    </row>
    <row r="583">
      <c r="A583" s="4">
        <v>2369641.0</v>
      </c>
      <c r="B583" s="6">
        <v>45300.0</v>
      </c>
    </row>
    <row r="584">
      <c r="A584" s="4">
        <v>2369641.0</v>
      </c>
      <c r="B584" s="6">
        <v>45301.0</v>
      </c>
    </row>
    <row r="585">
      <c r="A585" s="4">
        <v>2369641.0</v>
      </c>
      <c r="B585" s="6">
        <v>45466.0</v>
      </c>
    </row>
    <row r="586">
      <c r="A586" s="4">
        <v>2369641.0</v>
      </c>
      <c r="B586" s="6">
        <v>45467.0</v>
      </c>
    </row>
    <row r="587">
      <c r="A587" s="4">
        <v>2369641.0</v>
      </c>
      <c r="B587" s="6">
        <v>45468.0</v>
      </c>
    </row>
    <row r="588">
      <c r="A588" s="4">
        <v>2369641.0</v>
      </c>
      <c r="B588" s="6">
        <v>45469.0</v>
      </c>
    </row>
    <row r="589">
      <c r="A589" s="4">
        <v>2369641.0</v>
      </c>
      <c r="B589" s="6">
        <v>45470.0</v>
      </c>
    </row>
    <row r="590">
      <c r="A590" s="4">
        <v>2369641.0</v>
      </c>
      <c r="B590" s="6">
        <v>45471.0</v>
      </c>
    </row>
    <row r="591">
      <c r="A591" s="4">
        <v>2369641.0</v>
      </c>
      <c r="B591" s="6">
        <v>45472.0</v>
      </c>
    </row>
    <row r="592">
      <c r="A592" s="4">
        <v>2369641.0</v>
      </c>
      <c r="B592" s="6">
        <v>45473.0</v>
      </c>
    </row>
    <row r="593">
      <c r="A593" s="4">
        <v>2369641.0</v>
      </c>
      <c r="B593" s="6">
        <v>45543.0</v>
      </c>
    </row>
    <row r="594">
      <c r="A594" s="4">
        <v>2369641.0</v>
      </c>
      <c r="B594" s="6">
        <v>45544.0</v>
      </c>
    </row>
    <row r="595">
      <c r="A595" s="4">
        <v>2369641.0</v>
      </c>
      <c r="B595" s="6">
        <v>45545.0</v>
      </c>
    </row>
    <row r="596">
      <c r="A596" s="4">
        <v>2369641.0</v>
      </c>
      <c r="B596" s="6">
        <v>45546.0</v>
      </c>
    </row>
    <row r="597">
      <c r="A597" s="4">
        <v>2369641.0</v>
      </c>
      <c r="B597" s="6">
        <v>45547.0</v>
      </c>
    </row>
    <row r="598">
      <c r="A598" s="4">
        <v>2369641.0</v>
      </c>
      <c r="B598" s="6">
        <v>45548.0</v>
      </c>
    </row>
    <row r="599">
      <c r="A599" s="4">
        <v>2369641.0</v>
      </c>
      <c r="B599" s="6">
        <v>45549.0</v>
      </c>
    </row>
    <row r="600">
      <c r="A600" s="4">
        <v>2369641.0</v>
      </c>
      <c r="B600" s="6">
        <v>45550.0</v>
      </c>
    </row>
    <row r="601">
      <c r="A601" s="4">
        <v>2369641.0</v>
      </c>
      <c r="B601" s="6">
        <v>45551.0</v>
      </c>
    </row>
    <row r="602">
      <c r="A602" s="4">
        <v>2369641.0</v>
      </c>
      <c r="B602" s="6">
        <v>45552.0</v>
      </c>
    </row>
    <row r="603">
      <c r="A603" s="4">
        <v>2369641.0</v>
      </c>
      <c r="B603" s="6">
        <v>45553.0</v>
      </c>
    </row>
    <row r="604">
      <c r="A604" s="4">
        <v>2369641.0</v>
      </c>
      <c r="B604" s="6">
        <v>45554.0</v>
      </c>
    </row>
    <row r="605">
      <c r="A605" s="4">
        <v>2369641.0</v>
      </c>
      <c r="B605" s="6">
        <v>45555.0</v>
      </c>
    </row>
    <row r="606">
      <c r="A606" s="4">
        <v>2369641.0</v>
      </c>
      <c r="B606" s="6">
        <v>45556.0</v>
      </c>
    </row>
    <row r="607">
      <c r="A607" s="4">
        <v>2369641.0</v>
      </c>
      <c r="B607" s="6">
        <v>45557.0</v>
      </c>
    </row>
    <row r="608">
      <c r="A608" s="4">
        <v>2369641.0</v>
      </c>
      <c r="B608" s="6">
        <v>45558.0</v>
      </c>
    </row>
    <row r="609">
      <c r="A609" s="4">
        <v>2369641.0</v>
      </c>
      <c r="B609" s="6">
        <v>45559.0</v>
      </c>
    </row>
    <row r="610">
      <c r="A610" s="4">
        <v>2369641.0</v>
      </c>
      <c r="B610" s="6">
        <v>45560.0</v>
      </c>
    </row>
    <row r="611">
      <c r="A611" s="4">
        <v>2369641.0</v>
      </c>
      <c r="B611" s="6">
        <v>45561.0</v>
      </c>
    </row>
    <row r="612">
      <c r="A612" s="4">
        <v>2369641.0</v>
      </c>
      <c r="B612" s="6">
        <v>45562.0</v>
      </c>
    </row>
    <row r="613">
      <c r="A613" s="4">
        <v>2369641.0</v>
      </c>
      <c r="B613" s="6">
        <v>45563.0</v>
      </c>
    </row>
    <row r="614">
      <c r="A614" s="4">
        <v>2369641.0</v>
      </c>
      <c r="B614" s="6">
        <v>45564.0</v>
      </c>
    </row>
    <row r="615">
      <c r="A615" s="4">
        <v>2369641.0</v>
      </c>
      <c r="B615" s="6">
        <v>45565.0</v>
      </c>
    </row>
    <row r="616">
      <c r="A616" s="4">
        <v>2369641.0</v>
      </c>
      <c r="B616" s="6">
        <v>45658.0</v>
      </c>
    </row>
    <row r="617">
      <c r="A617" s="4">
        <v>2369641.0</v>
      </c>
      <c r="B617" s="6">
        <v>45659.0</v>
      </c>
    </row>
    <row r="618">
      <c r="A618" s="4">
        <v>2369641.0</v>
      </c>
      <c r="B618" s="6">
        <v>45660.0</v>
      </c>
    </row>
    <row r="619">
      <c r="A619" s="4">
        <v>2369641.0</v>
      </c>
      <c r="B619" s="6">
        <v>45661.0</v>
      </c>
    </row>
    <row r="620">
      <c r="A620" s="4">
        <v>2369641.0</v>
      </c>
      <c r="B620" s="6">
        <v>45662.0</v>
      </c>
    </row>
    <row r="621">
      <c r="A621" s="4">
        <v>2369641.0</v>
      </c>
      <c r="B621" s="6">
        <v>45663.0</v>
      </c>
    </row>
    <row r="622">
      <c r="A622" s="4">
        <v>2369641.0</v>
      </c>
      <c r="B622" s="6">
        <v>45664.0</v>
      </c>
    </row>
    <row r="623">
      <c r="A623" s="4">
        <v>2369641.0</v>
      </c>
      <c r="B623" s="6">
        <v>45665.0</v>
      </c>
    </row>
    <row r="624">
      <c r="A624" s="4">
        <v>2369641.0</v>
      </c>
      <c r="B624" s="6">
        <v>45666.0</v>
      </c>
    </row>
    <row r="625">
      <c r="A625" s="4">
        <v>2369641.0</v>
      </c>
      <c r="B625" s="6">
        <v>45667.0</v>
      </c>
    </row>
    <row r="626">
      <c r="A626" s="4">
        <v>2369641.0</v>
      </c>
      <c r="B626" s="6">
        <v>45668.0</v>
      </c>
    </row>
    <row r="627">
      <c r="A627" s="4">
        <v>2369641.0</v>
      </c>
      <c r="B627" s="6">
        <v>45669.0</v>
      </c>
    </row>
    <row r="628">
      <c r="A628" s="4">
        <v>2369641.0</v>
      </c>
      <c r="B628" s="6">
        <v>45793.0</v>
      </c>
    </row>
    <row r="629">
      <c r="A629" s="4">
        <v>2369641.0</v>
      </c>
      <c r="B629" s="6">
        <v>45794.0</v>
      </c>
    </row>
    <row r="630">
      <c r="A630" s="4">
        <v>2369641.0</v>
      </c>
      <c r="B630" s="6">
        <v>45795.0</v>
      </c>
    </row>
    <row r="631">
      <c r="A631" s="4">
        <v>2369641.0</v>
      </c>
      <c r="B631" s="6">
        <v>45796.0</v>
      </c>
    </row>
    <row r="632">
      <c r="A632" s="4">
        <v>2369641.0</v>
      </c>
      <c r="B632" s="6">
        <v>45797.0</v>
      </c>
    </row>
    <row r="633">
      <c r="A633" s="4">
        <v>2369641.0</v>
      </c>
      <c r="B633" s="6">
        <v>45798.0</v>
      </c>
    </row>
    <row r="634">
      <c r="A634" s="4">
        <v>2369641.0</v>
      </c>
      <c r="B634" s="6">
        <v>45799.0</v>
      </c>
    </row>
    <row r="635">
      <c r="A635" s="4">
        <v>2369641.0</v>
      </c>
      <c r="B635" s="6">
        <v>45800.0</v>
      </c>
    </row>
    <row r="636">
      <c r="A636" s="4">
        <v>2369641.0</v>
      </c>
      <c r="B636" s="6">
        <v>45908.0</v>
      </c>
    </row>
    <row r="637">
      <c r="A637" s="4">
        <v>2369641.0</v>
      </c>
      <c r="B637" s="6">
        <v>45909.0</v>
      </c>
    </row>
    <row r="638">
      <c r="A638" s="4">
        <v>2369641.0</v>
      </c>
      <c r="B638" s="6">
        <v>45910.0</v>
      </c>
    </row>
    <row r="639">
      <c r="A639" s="4">
        <v>2369641.0</v>
      </c>
      <c r="B639" s="6">
        <v>45911.0</v>
      </c>
    </row>
    <row r="640">
      <c r="A640" s="4">
        <v>2369641.0</v>
      </c>
      <c r="B640" s="6">
        <v>45912.0</v>
      </c>
    </row>
    <row r="641">
      <c r="A641" s="4">
        <v>2369641.0</v>
      </c>
      <c r="B641" s="6">
        <v>45913.0</v>
      </c>
    </row>
    <row r="642">
      <c r="A642" s="4">
        <v>2369641.0</v>
      </c>
      <c r="B642" s="6">
        <v>45914.0</v>
      </c>
    </row>
    <row r="643">
      <c r="A643" s="4">
        <v>2369641.0</v>
      </c>
      <c r="B643" s="6">
        <v>45915.0</v>
      </c>
    </row>
    <row r="644">
      <c r="A644" s="4">
        <v>2369641.0</v>
      </c>
      <c r="B644" s="6">
        <v>45999.0</v>
      </c>
    </row>
    <row r="645">
      <c r="A645" s="4">
        <v>2369641.0</v>
      </c>
      <c r="B645" s="6">
        <v>46000.0</v>
      </c>
    </row>
    <row r="646">
      <c r="A646" s="4">
        <v>2369641.0</v>
      </c>
      <c r="B646" s="6">
        <v>46001.0</v>
      </c>
    </row>
    <row r="647">
      <c r="A647" s="4">
        <v>2369641.0</v>
      </c>
      <c r="B647" s="6">
        <v>46002.0</v>
      </c>
    </row>
    <row r="648">
      <c r="A648" s="4">
        <v>2369641.0</v>
      </c>
      <c r="B648" s="6">
        <v>46003.0</v>
      </c>
    </row>
    <row r="649">
      <c r="A649" s="4">
        <v>2369641.0</v>
      </c>
      <c r="B649" s="6">
        <v>46004.0</v>
      </c>
    </row>
    <row r="650">
      <c r="A650" s="4">
        <v>2369641.0</v>
      </c>
      <c r="B650" s="6">
        <v>46005.0</v>
      </c>
    </row>
    <row r="651">
      <c r="A651" s="4">
        <v>2369641.0</v>
      </c>
      <c r="B651" s="6">
        <v>46006.0</v>
      </c>
    </row>
    <row r="652">
      <c r="A652" s="4">
        <v>2369641.0</v>
      </c>
      <c r="B652" s="6">
        <v>46007.0</v>
      </c>
    </row>
    <row r="653">
      <c r="A653" s="4">
        <v>2369641.0</v>
      </c>
      <c r="B653" s="6">
        <v>46008.0</v>
      </c>
    </row>
    <row r="654">
      <c r="A654" s="4">
        <v>2369641.0</v>
      </c>
      <c r="B654" s="6">
        <v>46009.0</v>
      </c>
    </row>
    <row r="655">
      <c r="A655" s="4">
        <v>2369641.0</v>
      </c>
      <c r="B655" s="6">
        <v>46010.0</v>
      </c>
    </row>
    <row r="656">
      <c r="A656" s="4">
        <v>2369641.0</v>
      </c>
      <c r="B656" s="6">
        <v>46011.0</v>
      </c>
    </row>
    <row r="657">
      <c r="A657" s="4">
        <v>2369641.0</v>
      </c>
      <c r="B657" s="6">
        <v>46012.0</v>
      </c>
    </row>
    <row r="658">
      <c r="A658" s="4">
        <v>2369641.0</v>
      </c>
      <c r="B658" s="6">
        <v>46013.0</v>
      </c>
    </row>
    <row r="659">
      <c r="A659" s="4">
        <v>2369641.0</v>
      </c>
      <c r="B659" s="6">
        <v>46014.0</v>
      </c>
    </row>
    <row r="660">
      <c r="A660" s="4">
        <v>2369641.0</v>
      </c>
      <c r="B660" s="6">
        <v>46023.0</v>
      </c>
    </row>
    <row r="661">
      <c r="A661" s="4">
        <v>2369641.0</v>
      </c>
      <c r="B661" s="6">
        <v>46024.0</v>
      </c>
    </row>
    <row r="662">
      <c r="A662" s="4">
        <v>2369641.0</v>
      </c>
      <c r="B662" s="6">
        <v>46025.0</v>
      </c>
    </row>
    <row r="663">
      <c r="A663" s="4">
        <v>2369641.0</v>
      </c>
      <c r="B663" s="6">
        <v>46026.0</v>
      </c>
    </row>
    <row r="664">
      <c r="A664" s="4">
        <v>2369641.0</v>
      </c>
      <c r="B664" s="6">
        <v>46027.0</v>
      </c>
    </row>
    <row r="665">
      <c r="A665" s="4">
        <v>2369641.0</v>
      </c>
      <c r="B665" s="6">
        <v>46028.0</v>
      </c>
    </row>
    <row r="666">
      <c r="A666" s="4">
        <v>2369641.0</v>
      </c>
      <c r="B666" s="6">
        <v>46029.0</v>
      </c>
    </row>
    <row r="667">
      <c r="A667" s="4">
        <v>2369641.0</v>
      </c>
      <c r="B667" s="6">
        <v>46030.0</v>
      </c>
    </row>
    <row r="668">
      <c r="A668" s="4">
        <v>2369641.0</v>
      </c>
      <c r="B668" s="6">
        <v>46031.0</v>
      </c>
    </row>
    <row r="669">
      <c r="A669" s="4">
        <v>2369641.0</v>
      </c>
      <c r="B669" s="6">
        <v>46032.0</v>
      </c>
    </row>
    <row r="670">
      <c r="A670" s="4">
        <v>2369641.0</v>
      </c>
      <c r="B670" s="6">
        <v>46033.0</v>
      </c>
    </row>
    <row r="671">
      <c r="A671" s="4">
        <v>2369641.0</v>
      </c>
      <c r="B671" s="6">
        <v>46034.0</v>
      </c>
    </row>
    <row r="672">
      <c r="A672" s="4">
        <v>2369641.0</v>
      </c>
      <c r="B672" s="6">
        <v>46196.0</v>
      </c>
    </row>
    <row r="673">
      <c r="A673" s="4">
        <v>2369641.0</v>
      </c>
      <c r="B673" s="6">
        <v>46197.0</v>
      </c>
    </row>
    <row r="674">
      <c r="A674" s="4">
        <v>2369641.0</v>
      </c>
      <c r="B674" s="6">
        <v>46198.0</v>
      </c>
    </row>
    <row r="675">
      <c r="A675" s="4">
        <v>2369641.0</v>
      </c>
      <c r="B675" s="6">
        <v>46199.0</v>
      </c>
    </row>
    <row r="676">
      <c r="A676" s="4">
        <v>2369641.0</v>
      </c>
      <c r="B676" s="6">
        <v>46200.0</v>
      </c>
    </row>
    <row r="677">
      <c r="A677" s="4">
        <v>2369641.0</v>
      </c>
      <c r="B677" s="6">
        <v>46201.0</v>
      </c>
    </row>
    <row r="678">
      <c r="A678" s="4">
        <v>2369641.0</v>
      </c>
      <c r="B678" s="6">
        <v>46202.0</v>
      </c>
    </row>
    <row r="679">
      <c r="A679" s="4">
        <v>2369641.0</v>
      </c>
      <c r="B679" s="6">
        <v>46203.0</v>
      </c>
    </row>
    <row r="680">
      <c r="A680" s="4">
        <v>2369641.0</v>
      </c>
      <c r="B680" s="6">
        <v>46281.0</v>
      </c>
    </row>
    <row r="681">
      <c r="A681" s="4">
        <v>2369641.0</v>
      </c>
      <c r="B681" s="6">
        <v>46282.0</v>
      </c>
    </row>
    <row r="682">
      <c r="A682" s="4">
        <v>2369641.0</v>
      </c>
      <c r="B682" s="6">
        <v>46283.0</v>
      </c>
    </row>
    <row r="683">
      <c r="A683" s="4">
        <v>2369641.0</v>
      </c>
      <c r="B683" s="6">
        <v>46284.0</v>
      </c>
    </row>
    <row r="684">
      <c r="A684" s="4">
        <v>2369641.0</v>
      </c>
      <c r="B684" s="6">
        <v>46285.0</v>
      </c>
    </row>
    <row r="685">
      <c r="A685" s="4">
        <v>2369641.0</v>
      </c>
      <c r="B685" s="6">
        <v>46286.0</v>
      </c>
    </row>
    <row r="686">
      <c r="A686" s="4">
        <v>2369641.0</v>
      </c>
      <c r="B686" s="6">
        <v>46287.0</v>
      </c>
    </row>
    <row r="687">
      <c r="A687" s="4">
        <v>2369641.0</v>
      </c>
      <c r="B687" s="6">
        <v>46288.0</v>
      </c>
    </row>
    <row r="688">
      <c r="A688" s="4">
        <v>2369641.0</v>
      </c>
      <c r="B688" s="6">
        <v>46289.0</v>
      </c>
    </row>
    <row r="689">
      <c r="A689" s="4">
        <v>2369641.0</v>
      </c>
      <c r="B689" s="6">
        <v>46290.0</v>
      </c>
    </row>
    <row r="690">
      <c r="A690" s="4">
        <v>2369641.0</v>
      </c>
      <c r="B690" s="6">
        <v>46291.0</v>
      </c>
    </row>
    <row r="691">
      <c r="A691" s="4">
        <v>2369641.0</v>
      </c>
      <c r="B691" s="6">
        <v>46292.0</v>
      </c>
    </row>
    <row r="692">
      <c r="A692" s="4">
        <v>2369641.0</v>
      </c>
      <c r="B692" s="6">
        <v>46293.0</v>
      </c>
    </row>
    <row r="693">
      <c r="A693" s="4">
        <v>2369641.0</v>
      </c>
      <c r="B693" s="6">
        <v>46294.0</v>
      </c>
    </row>
    <row r="694">
      <c r="A694" s="4">
        <v>2369641.0</v>
      </c>
      <c r="B694" s="6">
        <v>46295.0</v>
      </c>
    </row>
    <row r="695">
      <c r="A695" s="4">
        <v>2396710.0</v>
      </c>
      <c r="B695" s="6">
        <v>45355.0</v>
      </c>
    </row>
    <row r="696">
      <c r="A696" s="4">
        <v>2396710.0</v>
      </c>
      <c r="B696" s="6">
        <v>45356.0</v>
      </c>
    </row>
    <row r="697">
      <c r="A697" s="4">
        <v>2396710.0</v>
      </c>
      <c r="B697" s="6">
        <v>45357.0</v>
      </c>
    </row>
    <row r="698">
      <c r="A698" s="4">
        <v>2396710.0</v>
      </c>
      <c r="B698" s="6">
        <v>45358.0</v>
      </c>
    </row>
    <row r="699">
      <c r="A699" s="4">
        <v>2396710.0</v>
      </c>
      <c r="B699" s="6">
        <v>45359.0</v>
      </c>
    </row>
    <row r="700">
      <c r="A700" s="4">
        <v>2396710.0</v>
      </c>
      <c r="B700" s="6">
        <v>45360.0</v>
      </c>
    </row>
    <row r="701">
      <c r="A701" s="4">
        <v>2396710.0</v>
      </c>
      <c r="B701" s="6">
        <v>45361.0</v>
      </c>
    </row>
    <row r="702">
      <c r="A702" s="4">
        <v>2396710.0</v>
      </c>
      <c r="B702" s="6">
        <v>45383.0</v>
      </c>
    </row>
    <row r="703">
      <c r="A703" s="4">
        <v>2396710.0</v>
      </c>
      <c r="B703" s="6">
        <v>45384.0</v>
      </c>
    </row>
    <row r="704">
      <c r="A704" s="4">
        <v>2396710.0</v>
      </c>
      <c r="B704" s="6">
        <v>45598.0</v>
      </c>
    </row>
    <row r="705">
      <c r="A705" s="4">
        <v>2396710.0</v>
      </c>
      <c r="B705" s="6">
        <v>45599.0</v>
      </c>
    </row>
    <row r="706">
      <c r="A706" s="4">
        <v>2396710.0</v>
      </c>
      <c r="B706" s="6">
        <v>45600.0</v>
      </c>
    </row>
    <row r="707">
      <c r="A707" s="4">
        <v>2396710.0</v>
      </c>
      <c r="B707" s="6">
        <v>45601.0</v>
      </c>
    </row>
    <row r="708">
      <c r="A708" s="4">
        <v>2396710.0</v>
      </c>
      <c r="B708" s="6">
        <v>45602.0</v>
      </c>
    </row>
    <row r="709">
      <c r="A709" s="4">
        <v>2396710.0</v>
      </c>
      <c r="B709" s="6">
        <v>45603.0</v>
      </c>
    </row>
    <row r="710">
      <c r="A710" s="4">
        <v>2396710.0</v>
      </c>
      <c r="B710" s="6">
        <v>45604.0</v>
      </c>
    </row>
    <row r="711">
      <c r="A711" s="4">
        <v>2396710.0</v>
      </c>
      <c r="B711" s="6">
        <v>45726.0</v>
      </c>
    </row>
    <row r="712">
      <c r="A712" s="4">
        <v>2396710.0</v>
      </c>
      <c r="B712" s="6">
        <v>45727.0</v>
      </c>
    </row>
    <row r="713">
      <c r="A713" s="4">
        <v>2396710.0</v>
      </c>
      <c r="B713" s="6">
        <v>45728.0</v>
      </c>
    </row>
    <row r="714">
      <c r="A714" s="4">
        <v>2396710.0</v>
      </c>
      <c r="B714" s="6">
        <v>45729.0</v>
      </c>
    </row>
    <row r="715">
      <c r="A715" s="4">
        <v>2396710.0</v>
      </c>
      <c r="B715" s="6">
        <v>45730.0</v>
      </c>
    </row>
    <row r="716">
      <c r="A716" s="4">
        <v>2396710.0</v>
      </c>
      <c r="B716" s="6">
        <v>45731.0</v>
      </c>
    </row>
    <row r="717">
      <c r="A717" s="4">
        <v>2396710.0</v>
      </c>
      <c r="B717" s="6">
        <v>45732.0</v>
      </c>
    </row>
    <row r="718">
      <c r="A718" s="4">
        <v>2396710.0</v>
      </c>
      <c r="B718" s="6">
        <v>45810.0</v>
      </c>
    </row>
    <row r="719">
      <c r="A719" s="4">
        <v>2396710.0</v>
      </c>
      <c r="B719" s="6">
        <v>45811.0</v>
      </c>
    </row>
    <row r="720">
      <c r="A720" s="4">
        <v>2396710.0</v>
      </c>
      <c r="B720" s="6">
        <v>45812.0</v>
      </c>
    </row>
    <row r="721">
      <c r="A721" s="4">
        <v>2396710.0</v>
      </c>
      <c r="B721" s="6">
        <v>45813.0</v>
      </c>
    </row>
    <row r="722">
      <c r="A722" s="4">
        <v>2396710.0</v>
      </c>
      <c r="B722" s="6">
        <v>45814.0</v>
      </c>
    </row>
    <row r="723">
      <c r="A723" s="4">
        <v>2396710.0</v>
      </c>
      <c r="B723" s="6">
        <v>45815.0</v>
      </c>
    </row>
    <row r="724">
      <c r="A724" s="4">
        <v>2396710.0</v>
      </c>
      <c r="B724" s="6">
        <v>45816.0</v>
      </c>
    </row>
    <row r="725">
      <c r="A725" s="4">
        <v>2396710.0</v>
      </c>
      <c r="B725" s="6">
        <v>45817.0</v>
      </c>
    </row>
    <row r="726">
      <c r="A726" s="4">
        <v>2396710.0</v>
      </c>
      <c r="B726" s="6">
        <v>45901.0</v>
      </c>
    </row>
    <row r="727">
      <c r="A727" s="4">
        <v>2396710.0</v>
      </c>
      <c r="B727" s="6">
        <v>45902.0</v>
      </c>
    </row>
    <row r="728">
      <c r="A728" s="4">
        <v>2396710.0</v>
      </c>
      <c r="B728" s="6">
        <v>45903.0</v>
      </c>
    </row>
    <row r="729">
      <c r="A729" s="4">
        <v>2396710.0</v>
      </c>
      <c r="B729" s="6">
        <v>45904.0</v>
      </c>
    </row>
    <row r="730">
      <c r="A730" s="4">
        <v>2396710.0</v>
      </c>
      <c r="B730" s="6">
        <v>45905.0</v>
      </c>
    </row>
    <row r="731">
      <c r="A731" s="4">
        <v>2396710.0</v>
      </c>
      <c r="B731" s="6">
        <v>45906.0</v>
      </c>
    </row>
    <row r="732">
      <c r="A732" s="4">
        <v>2396710.0</v>
      </c>
      <c r="B732" s="6">
        <v>45907.0</v>
      </c>
    </row>
    <row r="733">
      <c r="A733" s="4">
        <v>2396710.0</v>
      </c>
      <c r="B733" s="6">
        <v>45908.0</v>
      </c>
    </row>
    <row r="734">
      <c r="A734" s="4">
        <v>2396710.0</v>
      </c>
      <c r="B734" s="6">
        <v>45909.0</v>
      </c>
    </row>
    <row r="735">
      <c r="A735" s="4">
        <v>2396710.0</v>
      </c>
      <c r="B735" s="6">
        <v>45910.0</v>
      </c>
    </row>
    <row r="736">
      <c r="A736" s="4">
        <v>2396710.0</v>
      </c>
      <c r="B736" s="6">
        <v>45964.0</v>
      </c>
    </row>
    <row r="737">
      <c r="A737" s="4">
        <v>2396710.0</v>
      </c>
      <c r="B737" s="6">
        <v>45965.0</v>
      </c>
    </row>
    <row r="738">
      <c r="A738" s="4">
        <v>2396710.0</v>
      </c>
      <c r="B738" s="6">
        <v>45966.0</v>
      </c>
    </row>
    <row r="739">
      <c r="A739" s="4">
        <v>2396710.0</v>
      </c>
      <c r="B739" s="6">
        <v>45967.0</v>
      </c>
    </row>
    <row r="740">
      <c r="A740" s="4">
        <v>2396710.0</v>
      </c>
      <c r="B740" s="6">
        <v>45968.0</v>
      </c>
    </row>
    <row r="741">
      <c r="A741" s="4">
        <v>2396710.0</v>
      </c>
      <c r="B741" s="6">
        <v>45969.0</v>
      </c>
    </row>
    <row r="742">
      <c r="A742" s="4">
        <v>2396710.0</v>
      </c>
      <c r="B742" s="6">
        <v>45970.0</v>
      </c>
    </row>
    <row r="743">
      <c r="A743" s="4">
        <v>2396710.0</v>
      </c>
      <c r="B743" s="6">
        <v>45971.0</v>
      </c>
    </row>
    <row r="744">
      <c r="A744" s="4">
        <v>2396710.0</v>
      </c>
      <c r="B744" s="6">
        <v>46125.0</v>
      </c>
    </row>
    <row r="745">
      <c r="A745" s="4">
        <v>2396710.0</v>
      </c>
      <c r="B745" s="6">
        <v>46126.0</v>
      </c>
    </row>
    <row r="746">
      <c r="A746" s="4">
        <v>2396710.0</v>
      </c>
      <c r="B746" s="6">
        <v>46127.0</v>
      </c>
    </row>
    <row r="747">
      <c r="A747" s="4">
        <v>2396710.0</v>
      </c>
      <c r="B747" s="6">
        <v>46128.0</v>
      </c>
    </row>
    <row r="748">
      <c r="A748" s="4">
        <v>2396710.0</v>
      </c>
      <c r="B748" s="6">
        <v>46129.0</v>
      </c>
    </row>
    <row r="749">
      <c r="A749" s="4">
        <v>2396710.0</v>
      </c>
      <c r="B749" s="6">
        <v>46130.0</v>
      </c>
    </row>
    <row r="750">
      <c r="A750" s="4">
        <v>2396710.0</v>
      </c>
      <c r="B750" s="6">
        <v>46131.0</v>
      </c>
    </row>
    <row r="751">
      <c r="A751" s="4">
        <v>2396710.0</v>
      </c>
      <c r="B751" s="6">
        <v>46132.0</v>
      </c>
    </row>
    <row r="752">
      <c r="A752" s="4">
        <v>2396710.0</v>
      </c>
      <c r="B752" s="6">
        <v>46133.0</v>
      </c>
    </row>
    <row r="753">
      <c r="A753" s="4">
        <v>2396710.0</v>
      </c>
      <c r="B753" s="6">
        <v>46134.0</v>
      </c>
    </row>
    <row r="754">
      <c r="A754" s="4">
        <v>2396710.0</v>
      </c>
      <c r="B754" s="6">
        <v>46135.0</v>
      </c>
    </row>
    <row r="755">
      <c r="A755" s="4">
        <v>2396710.0</v>
      </c>
      <c r="B755" s="6">
        <v>46136.0</v>
      </c>
    </row>
    <row r="756">
      <c r="A756" s="4">
        <v>2396710.0</v>
      </c>
      <c r="B756" s="6">
        <v>46137.0</v>
      </c>
    </row>
    <row r="757">
      <c r="A757" s="4">
        <v>2396710.0</v>
      </c>
      <c r="B757" s="6">
        <v>46138.0</v>
      </c>
    </row>
    <row r="758">
      <c r="A758" s="4">
        <v>2396710.0</v>
      </c>
      <c r="B758" s="6">
        <v>46139.0</v>
      </c>
    </row>
    <row r="759">
      <c r="A759" s="4">
        <v>2396710.0</v>
      </c>
      <c r="B759" s="6">
        <v>46140.0</v>
      </c>
    </row>
    <row r="760">
      <c r="A760" s="4">
        <v>2396710.0</v>
      </c>
      <c r="B760" s="6">
        <v>46141.0</v>
      </c>
    </row>
    <row r="761">
      <c r="A761" s="4">
        <v>2396710.0</v>
      </c>
      <c r="B761" s="6">
        <v>46142.0</v>
      </c>
    </row>
    <row r="762">
      <c r="A762" s="4">
        <v>2396710.0</v>
      </c>
      <c r="B762" s="6">
        <v>46174.0</v>
      </c>
    </row>
    <row r="763">
      <c r="A763" s="4">
        <v>2396710.0</v>
      </c>
      <c r="B763" s="6">
        <v>46175.0</v>
      </c>
    </row>
    <row r="764">
      <c r="A764" s="4">
        <v>2396710.0</v>
      </c>
      <c r="B764" s="6">
        <v>46176.0</v>
      </c>
    </row>
    <row r="765">
      <c r="A765" s="4">
        <v>2396710.0</v>
      </c>
      <c r="B765" s="6">
        <v>46177.0</v>
      </c>
    </row>
    <row r="766">
      <c r="A766" s="4">
        <v>2396710.0</v>
      </c>
      <c r="B766" s="6">
        <v>46178.0</v>
      </c>
    </row>
    <row r="767">
      <c r="A767" s="4">
        <v>2396710.0</v>
      </c>
      <c r="B767" s="6">
        <v>46179.0</v>
      </c>
    </row>
    <row r="768">
      <c r="A768" s="4">
        <v>2396710.0</v>
      </c>
      <c r="B768" s="6">
        <v>46180.0</v>
      </c>
    </row>
    <row r="769">
      <c r="A769" s="4">
        <v>2396710.0</v>
      </c>
      <c r="B769" s="6">
        <v>46181.0</v>
      </c>
    </row>
    <row r="770">
      <c r="A770" s="4">
        <v>2415373.0</v>
      </c>
      <c r="B770" s="6">
        <v>45323.0</v>
      </c>
    </row>
    <row r="771">
      <c r="A771" s="4">
        <v>2415373.0</v>
      </c>
      <c r="B771" s="6">
        <v>45324.0</v>
      </c>
    </row>
    <row r="772">
      <c r="A772" s="4">
        <v>2415373.0</v>
      </c>
      <c r="B772" s="6">
        <v>45325.0</v>
      </c>
    </row>
    <row r="773">
      <c r="A773" s="4">
        <v>2415373.0</v>
      </c>
      <c r="B773" s="6">
        <v>45326.0</v>
      </c>
    </row>
    <row r="774">
      <c r="A774" s="4">
        <v>2415373.0</v>
      </c>
      <c r="B774" s="6">
        <v>45327.0</v>
      </c>
    </row>
    <row r="775">
      <c r="A775" s="4">
        <v>2415373.0</v>
      </c>
      <c r="B775" s="6">
        <v>45328.0</v>
      </c>
    </row>
    <row r="776">
      <c r="A776" s="4">
        <v>2415373.0</v>
      </c>
      <c r="B776" s="6">
        <v>45329.0</v>
      </c>
    </row>
    <row r="777">
      <c r="A777" s="4">
        <v>2415373.0</v>
      </c>
      <c r="B777" s="6">
        <v>45400.0</v>
      </c>
    </row>
    <row r="778">
      <c r="A778" s="4">
        <v>2415373.0</v>
      </c>
      <c r="B778" s="6">
        <v>45401.0</v>
      </c>
    </row>
    <row r="779">
      <c r="A779" s="4">
        <v>2415373.0</v>
      </c>
      <c r="B779" s="6">
        <v>45402.0</v>
      </c>
    </row>
    <row r="780">
      <c r="A780" s="4">
        <v>2415373.0</v>
      </c>
      <c r="B780" s="6">
        <v>45403.0</v>
      </c>
    </row>
    <row r="781">
      <c r="A781" s="4">
        <v>2415373.0</v>
      </c>
      <c r="B781" s="6">
        <v>45404.0</v>
      </c>
    </row>
    <row r="782">
      <c r="A782" s="4">
        <v>2415373.0</v>
      </c>
      <c r="B782" s="6">
        <v>45405.0</v>
      </c>
    </row>
    <row r="783">
      <c r="A783" s="4">
        <v>2415373.0</v>
      </c>
      <c r="B783" s="6">
        <v>45406.0</v>
      </c>
    </row>
    <row r="784">
      <c r="A784" s="4">
        <v>2415373.0</v>
      </c>
      <c r="B784" s="6">
        <v>45407.0</v>
      </c>
    </row>
    <row r="785">
      <c r="A785" s="4">
        <v>2415373.0</v>
      </c>
      <c r="B785" s="6">
        <v>45408.0</v>
      </c>
    </row>
    <row r="786">
      <c r="A786" s="4">
        <v>2415373.0</v>
      </c>
      <c r="B786" s="6">
        <v>45409.0</v>
      </c>
    </row>
    <row r="787">
      <c r="A787" s="4">
        <v>2415373.0</v>
      </c>
      <c r="B787" s="6">
        <v>45410.0</v>
      </c>
    </row>
    <row r="788">
      <c r="A788" s="4">
        <v>2415373.0</v>
      </c>
      <c r="B788" s="6">
        <v>45411.0</v>
      </c>
    </row>
    <row r="789">
      <c r="A789" s="4">
        <v>2415373.0</v>
      </c>
      <c r="B789" s="6">
        <v>45412.0</v>
      </c>
    </row>
    <row r="790">
      <c r="A790" s="4">
        <v>2415373.0</v>
      </c>
      <c r="B790" s="6">
        <v>45413.0</v>
      </c>
    </row>
    <row r="791">
      <c r="A791" s="4">
        <v>2415373.0</v>
      </c>
      <c r="B791" s="6">
        <v>45414.0</v>
      </c>
    </row>
    <row r="792">
      <c r="A792" s="4">
        <v>2415373.0</v>
      </c>
      <c r="B792" s="6">
        <v>45415.0</v>
      </c>
    </row>
    <row r="793">
      <c r="A793" s="4">
        <v>2415373.0</v>
      </c>
      <c r="B793" s="6">
        <v>45416.0</v>
      </c>
    </row>
    <row r="794">
      <c r="A794" s="4">
        <v>2415373.0</v>
      </c>
      <c r="B794" s="6">
        <v>45417.0</v>
      </c>
    </row>
    <row r="795">
      <c r="A795" s="4">
        <v>2415373.0</v>
      </c>
      <c r="B795" s="6">
        <v>45418.0</v>
      </c>
    </row>
    <row r="796">
      <c r="A796" s="4">
        <v>2415373.0</v>
      </c>
      <c r="B796" s="6">
        <v>45419.0</v>
      </c>
    </row>
    <row r="797">
      <c r="A797" s="4">
        <v>2415373.0</v>
      </c>
      <c r="B797" s="6">
        <v>45566.0</v>
      </c>
    </row>
    <row r="798">
      <c r="A798" s="4">
        <v>2415373.0</v>
      </c>
      <c r="B798" s="6">
        <v>45567.0</v>
      </c>
    </row>
    <row r="799">
      <c r="A799" s="4">
        <v>2415373.0</v>
      </c>
      <c r="B799" s="6">
        <v>45568.0</v>
      </c>
    </row>
    <row r="800">
      <c r="A800" s="4">
        <v>2415373.0</v>
      </c>
      <c r="B800" s="6">
        <v>45569.0</v>
      </c>
    </row>
    <row r="801">
      <c r="A801" s="4">
        <v>2415373.0</v>
      </c>
      <c r="B801" s="6">
        <v>45570.0</v>
      </c>
    </row>
    <row r="802">
      <c r="A802" s="4">
        <v>2415373.0</v>
      </c>
      <c r="B802" s="6">
        <v>45571.0</v>
      </c>
    </row>
    <row r="803">
      <c r="A803" s="4">
        <v>2415373.0</v>
      </c>
      <c r="B803" s="6">
        <v>45572.0</v>
      </c>
    </row>
    <row r="804">
      <c r="A804" s="4">
        <v>2415373.0</v>
      </c>
      <c r="B804" s="6">
        <v>45573.0</v>
      </c>
    </row>
    <row r="805">
      <c r="A805" s="4">
        <v>2415373.0</v>
      </c>
      <c r="B805" s="6">
        <v>45574.0</v>
      </c>
    </row>
    <row r="806">
      <c r="A806" s="4">
        <v>2415373.0</v>
      </c>
      <c r="B806" s="6">
        <v>45575.0</v>
      </c>
    </row>
    <row r="807">
      <c r="A807" s="4">
        <v>2415373.0</v>
      </c>
      <c r="B807" s="6">
        <v>45576.0</v>
      </c>
    </row>
    <row r="808">
      <c r="A808" s="4">
        <v>2415373.0</v>
      </c>
      <c r="B808" s="6">
        <v>45577.0</v>
      </c>
    </row>
    <row r="809">
      <c r="A809" s="4">
        <v>2415373.0</v>
      </c>
      <c r="B809" s="6">
        <v>45578.0</v>
      </c>
    </row>
    <row r="810">
      <c r="A810" s="4">
        <v>2415373.0</v>
      </c>
      <c r="B810" s="6">
        <v>45579.0</v>
      </c>
    </row>
    <row r="811">
      <c r="A811" s="4">
        <v>2415373.0</v>
      </c>
      <c r="B811" s="6">
        <v>45580.0</v>
      </c>
    </row>
    <row r="812">
      <c r="A812" s="4">
        <v>2415373.0</v>
      </c>
      <c r="B812" s="6">
        <v>45696.0</v>
      </c>
    </row>
    <row r="813">
      <c r="A813" s="4">
        <v>2415373.0</v>
      </c>
      <c r="B813" s="6">
        <v>45697.0</v>
      </c>
    </row>
    <row r="814">
      <c r="A814" s="4">
        <v>2415373.0</v>
      </c>
      <c r="B814" s="6">
        <v>45698.0</v>
      </c>
    </row>
    <row r="815">
      <c r="A815" s="4">
        <v>2415373.0</v>
      </c>
      <c r="B815" s="6">
        <v>45699.0</v>
      </c>
    </row>
    <row r="816">
      <c r="A816" s="4">
        <v>2415373.0</v>
      </c>
      <c r="B816" s="6">
        <v>45700.0</v>
      </c>
    </row>
    <row r="817">
      <c r="A817" s="4">
        <v>2415373.0</v>
      </c>
      <c r="B817" s="6">
        <v>45701.0</v>
      </c>
    </row>
    <row r="818">
      <c r="A818" s="4">
        <v>2415373.0</v>
      </c>
      <c r="B818" s="6">
        <v>45702.0</v>
      </c>
    </row>
    <row r="819">
      <c r="A819" s="4">
        <v>2415373.0</v>
      </c>
      <c r="B819" s="6">
        <v>45785.0</v>
      </c>
    </row>
    <row r="820">
      <c r="A820" s="4">
        <v>2415373.0</v>
      </c>
      <c r="B820" s="6">
        <v>45786.0</v>
      </c>
    </row>
    <row r="821">
      <c r="A821" s="4">
        <v>2415373.0</v>
      </c>
      <c r="B821" s="6">
        <v>45787.0</v>
      </c>
    </row>
    <row r="822">
      <c r="A822" s="4">
        <v>2415373.0</v>
      </c>
      <c r="B822" s="6">
        <v>45788.0</v>
      </c>
    </row>
    <row r="823">
      <c r="A823" s="4">
        <v>2415373.0</v>
      </c>
      <c r="B823" s="6">
        <v>45789.0</v>
      </c>
    </row>
    <row r="824">
      <c r="A824" s="4">
        <v>2415373.0</v>
      </c>
      <c r="B824" s="6">
        <v>45790.0</v>
      </c>
    </row>
    <row r="825">
      <c r="A825" s="4">
        <v>2415373.0</v>
      </c>
      <c r="B825" s="6">
        <v>45791.0</v>
      </c>
    </row>
    <row r="826">
      <c r="A826" s="4">
        <v>2415373.0</v>
      </c>
      <c r="B826" s="6">
        <v>45792.0</v>
      </c>
    </row>
    <row r="827">
      <c r="A827" s="4">
        <v>2415373.0</v>
      </c>
      <c r="B827" s="6">
        <v>45793.0</v>
      </c>
    </row>
    <row r="828">
      <c r="A828" s="4">
        <v>2415373.0</v>
      </c>
      <c r="B828" s="6">
        <v>45794.0</v>
      </c>
    </row>
    <row r="829">
      <c r="A829" s="4">
        <v>2415373.0</v>
      </c>
      <c r="B829" s="6">
        <v>45795.0</v>
      </c>
    </row>
    <row r="830">
      <c r="A830" s="4">
        <v>2415373.0</v>
      </c>
      <c r="B830" s="6">
        <v>45796.0</v>
      </c>
    </row>
    <row r="831">
      <c r="A831" s="4">
        <v>2415373.0</v>
      </c>
      <c r="B831" s="6">
        <v>45797.0</v>
      </c>
    </row>
    <row r="832">
      <c r="A832" s="4">
        <v>2415373.0</v>
      </c>
      <c r="B832" s="6">
        <v>45798.0</v>
      </c>
    </row>
    <row r="833">
      <c r="A833" s="4">
        <v>2415373.0</v>
      </c>
      <c r="B833" s="6">
        <v>45799.0</v>
      </c>
    </row>
    <row r="834">
      <c r="A834" s="4">
        <v>2415373.0</v>
      </c>
      <c r="B834" s="6">
        <v>45800.0</v>
      </c>
    </row>
    <row r="835">
      <c r="A835" s="4">
        <v>2415373.0</v>
      </c>
      <c r="B835" s="6">
        <v>45801.0</v>
      </c>
    </row>
    <row r="836">
      <c r="A836" s="4">
        <v>2415373.0</v>
      </c>
      <c r="B836" s="6">
        <v>45802.0</v>
      </c>
    </row>
    <row r="837">
      <c r="A837" s="4">
        <v>2415373.0</v>
      </c>
      <c r="B837" s="6">
        <v>45803.0</v>
      </c>
    </row>
    <row r="838">
      <c r="A838" s="4">
        <v>2415373.0</v>
      </c>
      <c r="B838" s="6">
        <v>45804.0</v>
      </c>
    </row>
    <row r="839">
      <c r="A839" s="4">
        <v>2415373.0</v>
      </c>
      <c r="B839" s="6">
        <v>45805.0</v>
      </c>
    </row>
    <row r="840">
      <c r="A840" s="4">
        <v>2415373.0</v>
      </c>
      <c r="B840" s="6">
        <v>45931.0</v>
      </c>
    </row>
    <row r="841">
      <c r="A841" s="4">
        <v>2415373.0</v>
      </c>
      <c r="B841" s="6">
        <v>45932.0</v>
      </c>
    </row>
    <row r="842">
      <c r="A842" s="4">
        <v>2415373.0</v>
      </c>
      <c r="B842" s="6">
        <v>45933.0</v>
      </c>
    </row>
    <row r="843">
      <c r="A843" s="4">
        <v>2415373.0</v>
      </c>
      <c r="B843" s="6">
        <v>45934.0</v>
      </c>
    </row>
    <row r="844">
      <c r="A844" s="4">
        <v>2415373.0</v>
      </c>
      <c r="B844" s="6">
        <v>45935.0</v>
      </c>
    </row>
    <row r="845">
      <c r="A845" s="4">
        <v>2415373.0</v>
      </c>
      <c r="B845" s="6">
        <v>45936.0</v>
      </c>
    </row>
    <row r="846">
      <c r="A846" s="4">
        <v>2415373.0</v>
      </c>
      <c r="B846" s="6">
        <v>45937.0</v>
      </c>
    </row>
    <row r="847">
      <c r="A847" s="4">
        <v>2415373.0</v>
      </c>
      <c r="B847" s="6">
        <v>45938.0</v>
      </c>
    </row>
    <row r="848">
      <c r="A848" s="4">
        <v>2415373.0</v>
      </c>
      <c r="B848" s="6">
        <v>45939.0</v>
      </c>
    </row>
    <row r="849">
      <c r="A849" s="4">
        <v>2415373.0</v>
      </c>
      <c r="B849" s="6">
        <v>45940.0</v>
      </c>
    </row>
    <row r="850">
      <c r="A850" s="4">
        <v>2415373.0</v>
      </c>
      <c r="B850" s="6">
        <v>45941.0</v>
      </c>
    </row>
    <row r="851">
      <c r="A851" s="4">
        <v>2415373.0</v>
      </c>
      <c r="B851" s="6">
        <v>45942.0</v>
      </c>
    </row>
    <row r="852">
      <c r="A852" s="4">
        <v>2415373.0</v>
      </c>
      <c r="B852" s="6">
        <v>45943.0</v>
      </c>
    </row>
    <row r="853">
      <c r="A853" s="4">
        <v>2415373.0</v>
      </c>
      <c r="B853" s="6">
        <v>45944.0</v>
      </c>
    </row>
    <row r="854">
      <c r="A854" s="4">
        <v>2415373.0</v>
      </c>
      <c r="B854" s="6">
        <v>45945.0</v>
      </c>
    </row>
    <row r="855">
      <c r="A855" s="4">
        <v>2415373.0</v>
      </c>
      <c r="B855" s="6">
        <v>46143.0</v>
      </c>
    </row>
    <row r="856">
      <c r="A856" s="4">
        <v>2415373.0</v>
      </c>
      <c r="B856" s="6">
        <v>46144.0</v>
      </c>
    </row>
    <row r="857">
      <c r="A857" s="4">
        <v>2415373.0</v>
      </c>
      <c r="B857" s="6">
        <v>46145.0</v>
      </c>
    </row>
    <row r="858">
      <c r="A858" s="4">
        <v>2415373.0</v>
      </c>
      <c r="B858" s="6">
        <v>46146.0</v>
      </c>
    </row>
    <row r="859">
      <c r="A859" s="4">
        <v>2415373.0</v>
      </c>
      <c r="B859" s="6">
        <v>46147.0</v>
      </c>
    </row>
    <row r="860">
      <c r="A860" s="4">
        <v>2415373.0</v>
      </c>
      <c r="B860" s="6">
        <v>46148.0</v>
      </c>
    </row>
    <row r="861">
      <c r="A861" s="4">
        <v>2415373.0</v>
      </c>
      <c r="B861" s="6">
        <v>46149.0</v>
      </c>
    </row>
    <row r="862">
      <c r="A862" s="4">
        <v>2415373.0</v>
      </c>
      <c r="B862" s="6">
        <v>46150.0</v>
      </c>
    </row>
    <row r="863">
      <c r="A863" s="4">
        <v>2415373.0</v>
      </c>
      <c r="B863" s="6">
        <v>46151.0</v>
      </c>
    </row>
    <row r="864">
      <c r="A864" s="4">
        <v>2415373.0</v>
      </c>
      <c r="B864" s="6">
        <v>46152.0</v>
      </c>
    </row>
    <row r="865">
      <c r="A865" s="4">
        <v>2415373.0</v>
      </c>
      <c r="B865" s="6">
        <v>46153.0</v>
      </c>
    </row>
    <row r="866">
      <c r="A866" s="4">
        <v>2415373.0</v>
      </c>
      <c r="B866" s="6">
        <v>46154.0</v>
      </c>
    </row>
    <row r="867">
      <c r="A867" s="4">
        <v>2415373.0</v>
      </c>
      <c r="B867" s="6">
        <v>46155.0</v>
      </c>
    </row>
    <row r="868">
      <c r="A868" s="4">
        <v>2415373.0</v>
      </c>
      <c r="B868" s="6">
        <v>46156.0</v>
      </c>
    </row>
    <row r="869">
      <c r="A869" s="4">
        <v>2415373.0</v>
      </c>
      <c r="B869" s="6">
        <v>46157.0</v>
      </c>
    </row>
    <row r="870">
      <c r="A870" s="4">
        <v>2415373.0</v>
      </c>
      <c r="B870" s="6">
        <v>46158.0</v>
      </c>
    </row>
    <row r="871">
      <c r="A871" s="4">
        <v>2415373.0</v>
      </c>
      <c r="B871" s="6">
        <v>46159.0</v>
      </c>
    </row>
    <row r="872">
      <c r="A872" s="4">
        <v>2415373.0</v>
      </c>
      <c r="B872" s="6">
        <v>46160.0</v>
      </c>
    </row>
    <row r="873">
      <c r="A873" s="4">
        <v>2415373.0</v>
      </c>
      <c r="B873" s="6">
        <v>46161.0</v>
      </c>
    </row>
    <row r="874">
      <c r="A874" s="4">
        <v>2415373.0</v>
      </c>
      <c r="B874" s="6">
        <v>46162.0</v>
      </c>
    </row>
    <row r="875">
      <c r="A875" s="4">
        <v>2415373.0</v>
      </c>
      <c r="B875" s="6">
        <v>46163.0</v>
      </c>
    </row>
    <row r="876">
      <c r="A876" s="4">
        <v>2415373.0</v>
      </c>
      <c r="B876" s="6">
        <v>46164.0</v>
      </c>
    </row>
    <row r="877">
      <c r="A877" s="4">
        <v>2415373.0</v>
      </c>
      <c r="B877" s="6">
        <v>46165.0</v>
      </c>
    </row>
    <row r="878">
      <c r="A878" s="4">
        <v>2415373.0</v>
      </c>
      <c r="B878" s="6">
        <v>46166.0</v>
      </c>
    </row>
    <row r="879">
      <c r="A879" s="4">
        <v>2415373.0</v>
      </c>
      <c r="B879" s="6">
        <v>46167.0</v>
      </c>
    </row>
    <row r="880">
      <c r="A880" s="4">
        <v>2415373.0</v>
      </c>
      <c r="B880" s="6">
        <v>46168.0</v>
      </c>
    </row>
    <row r="881">
      <c r="A881" s="4">
        <v>2415373.0</v>
      </c>
      <c r="B881" s="6">
        <v>46169.0</v>
      </c>
    </row>
    <row r="882">
      <c r="A882" s="4">
        <v>2415373.0</v>
      </c>
      <c r="B882" s="6">
        <v>46170.0</v>
      </c>
    </row>
    <row r="883">
      <c r="A883" s="4">
        <v>2415373.0</v>
      </c>
      <c r="B883" s="6">
        <v>46171.0</v>
      </c>
    </row>
    <row r="884">
      <c r="A884" s="4">
        <v>2415373.0</v>
      </c>
      <c r="B884" s="6">
        <v>46300.0</v>
      </c>
    </row>
    <row r="885">
      <c r="A885" s="4">
        <v>2415373.0</v>
      </c>
      <c r="B885" s="6">
        <v>46301.0</v>
      </c>
    </row>
    <row r="886">
      <c r="A886" s="4">
        <v>2415373.0</v>
      </c>
      <c r="B886" s="6">
        <v>46302.0</v>
      </c>
    </row>
    <row r="887">
      <c r="A887" s="4">
        <v>2415373.0</v>
      </c>
      <c r="B887" s="6">
        <v>46303.0</v>
      </c>
    </row>
    <row r="888">
      <c r="A888" s="4">
        <v>2415373.0</v>
      </c>
      <c r="B888" s="6">
        <v>46304.0</v>
      </c>
    </row>
    <row r="889">
      <c r="A889" s="4">
        <v>2415373.0</v>
      </c>
      <c r="B889" s="6">
        <v>46305.0</v>
      </c>
    </row>
    <row r="890">
      <c r="A890" s="4">
        <v>2415373.0</v>
      </c>
      <c r="B890" s="6">
        <v>46306.0</v>
      </c>
    </row>
    <row r="891">
      <c r="A891" s="4">
        <v>2415373.0</v>
      </c>
      <c r="B891" s="6">
        <v>46307.0</v>
      </c>
    </row>
    <row r="892">
      <c r="A892" s="4">
        <v>2415373.0</v>
      </c>
      <c r="B892" s="6">
        <v>46308.0</v>
      </c>
    </row>
    <row r="893">
      <c r="A893" s="4">
        <v>2415373.0</v>
      </c>
      <c r="B893" s="6">
        <v>46309.0</v>
      </c>
    </row>
    <row r="894">
      <c r="A894" s="4">
        <v>2415373.0</v>
      </c>
      <c r="B894" s="6">
        <v>46310.0</v>
      </c>
    </row>
    <row r="895">
      <c r="A895" s="4">
        <v>2415373.0</v>
      </c>
      <c r="B895" s="6">
        <v>46311.0</v>
      </c>
    </row>
    <row r="896">
      <c r="A896" s="4">
        <v>2415373.0</v>
      </c>
      <c r="B896" s="6">
        <v>46312.0</v>
      </c>
    </row>
    <row r="897">
      <c r="A897" s="4">
        <v>2415373.0</v>
      </c>
      <c r="B897" s="6">
        <v>46313.0</v>
      </c>
    </row>
    <row r="898">
      <c r="A898" s="4">
        <v>2415373.0</v>
      </c>
      <c r="B898" s="6">
        <v>46314.0</v>
      </c>
    </row>
    <row r="899">
      <c r="A899" s="4">
        <v>2440915.0</v>
      </c>
      <c r="B899" s="6">
        <v>45292.0</v>
      </c>
    </row>
    <row r="900">
      <c r="A900" s="4">
        <v>2440915.0</v>
      </c>
      <c r="B900" s="6">
        <v>45293.0</v>
      </c>
    </row>
    <row r="901">
      <c r="A901" s="4">
        <v>2440915.0</v>
      </c>
      <c r="B901" s="6">
        <v>45294.0</v>
      </c>
    </row>
    <row r="902">
      <c r="A902" s="4">
        <v>2440915.0</v>
      </c>
      <c r="B902" s="6">
        <v>45295.0</v>
      </c>
    </row>
    <row r="903">
      <c r="A903" s="4">
        <v>2440915.0</v>
      </c>
      <c r="B903" s="6">
        <v>45296.0</v>
      </c>
    </row>
    <row r="904">
      <c r="A904" s="4">
        <v>2440915.0</v>
      </c>
      <c r="B904" s="6">
        <v>45297.0</v>
      </c>
    </row>
    <row r="905">
      <c r="A905" s="4">
        <v>2440915.0</v>
      </c>
      <c r="B905" s="6">
        <v>45298.0</v>
      </c>
    </row>
    <row r="906">
      <c r="A906" s="4">
        <v>2440915.0</v>
      </c>
      <c r="B906" s="6">
        <v>45375.0</v>
      </c>
    </row>
    <row r="907">
      <c r="A907" s="4">
        <v>2440915.0</v>
      </c>
      <c r="B907" s="6">
        <v>45376.0</v>
      </c>
    </row>
    <row r="908">
      <c r="A908" s="4">
        <v>2440915.0</v>
      </c>
      <c r="B908" s="6">
        <v>45377.0</v>
      </c>
    </row>
    <row r="909">
      <c r="A909" s="4">
        <v>2440915.0</v>
      </c>
      <c r="B909" s="6">
        <v>45378.0</v>
      </c>
    </row>
    <row r="910">
      <c r="A910" s="4">
        <v>2440915.0</v>
      </c>
      <c r="B910" s="6">
        <v>45379.0</v>
      </c>
    </row>
    <row r="911">
      <c r="A911" s="4">
        <v>2440915.0</v>
      </c>
      <c r="B911" s="6">
        <v>45380.0</v>
      </c>
    </row>
    <row r="912">
      <c r="A912" s="4">
        <v>2440915.0</v>
      </c>
      <c r="B912" s="6">
        <v>45381.0</v>
      </c>
    </row>
    <row r="913">
      <c r="A913" s="4">
        <v>2440915.0</v>
      </c>
      <c r="B913" s="6">
        <v>45382.0</v>
      </c>
    </row>
    <row r="914">
      <c r="A914" s="4">
        <v>2440915.0</v>
      </c>
      <c r="B914" s="6">
        <v>45383.0</v>
      </c>
    </row>
    <row r="915">
      <c r="A915" s="4">
        <v>2440915.0</v>
      </c>
      <c r="B915" s="6">
        <v>45384.0</v>
      </c>
    </row>
    <row r="916">
      <c r="A916" s="4">
        <v>2440915.0</v>
      </c>
      <c r="B916" s="6">
        <v>45385.0</v>
      </c>
    </row>
    <row r="917">
      <c r="A917" s="4">
        <v>2440915.0</v>
      </c>
      <c r="B917" s="6">
        <v>45386.0</v>
      </c>
    </row>
    <row r="918">
      <c r="A918" s="4">
        <v>2440915.0</v>
      </c>
      <c r="B918" s="6">
        <v>45387.0</v>
      </c>
    </row>
    <row r="919">
      <c r="A919" s="4">
        <v>2440915.0</v>
      </c>
      <c r="B919" s="6">
        <v>45388.0</v>
      </c>
    </row>
    <row r="920">
      <c r="A920" s="4">
        <v>2440915.0</v>
      </c>
      <c r="B920" s="6">
        <v>45389.0</v>
      </c>
    </row>
    <row r="921">
      <c r="A921" s="4">
        <v>2440915.0</v>
      </c>
      <c r="B921" s="6">
        <v>45493.0</v>
      </c>
    </row>
    <row r="922">
      <c r="A922" s="4">
        <v>2440915.0</v>
      </c>
      <c r="B922" s="6">
        <v>45494.0</v>
      </c>
    </row>
    <row r="923">
      <c r="A923" s="4">
        <v>2440915.0</v>
      </c>
      <c r="B923" s="6">
        <v>45495.0</v>
      </c>
    </row>
    <row r="924">
      <c r="A924" s="4">
        <v>2440915.0</v>
      </c>
      <c r="B924" s="6">
        <v>45496.0</v>
      </c>
    </row>
    <row r="925">
      <c r="A925" s="4">
        <v>2440915.0</v>
      </c>
      <c r="B925" s="6">
        <v>45497.0</v>
      </c>
    </row>
    <row r="926">
      <c r="A926" s="4">
        <v>2440915.0</v>
      </c>
      <c r="B926" s="6">
        <v>45498.0</v>
      </c>
    </row>
    <row r="927">
      <c r="A927" s="4">
        <v>2440915.0</v>
      </c>
      <c r="B927" s="6">
        <v>45499.0</v>
      </c>
    </row>
    <row r="928">
      <c r="A928" s="4">
        <v>2440915.0</v>
      </c>
      <c r="B928" s="6">
        <v>45500.0</v>
      </c>
    </row>
    <row r="929">
      <c r="A929" s="4">
        <v>2440915.0</v>
      </c>
      <c r="B929" s="6">
        <v>45501.0</v>
      </c>
    </row>
    <row r="930">
      <c r="A930" s="4">
        <v>2440915.0</v>
      </c>
      <c r="B930" s="6">
        <v>45502.0</v>
      </c>
    </row>
    <row r="931">
      <c r="A931" s="4">
        <v>2440915.0</v>
      </c>
      <c r="B931" s="6">
        <v>45503.0</v>
      </c>
    </row>
    <row r="932">
      <c r="A932" s="4">
        <v>2440915.0</v>
      </c>
      <c r="B932" s="6">
        <v>45504.0</v>
      </c>
    </row>
    <row r="933">
      <c r="A933" s="4">
        <v>2440915.0</v>
      </c>
      <c r="B933" s="6">
        <v>45573.0</v>
      </c>
    </row>
    <row r="934">
      <c r="A934" s="4">
        <v>2440915.0</v>
      </c>
      <c r="B934" s="6">
        <v>45574.0</v>
      </c>
    </row>
    <row r="935">
      <c r="A935" s="4">
        <v>2440915.0</v>
      </c>
      <c r="B935" s="6">
        <v>45575.0</v>
      </c>
    </row>
    <row r="936">
      <c r="A936" s="4">
        <v>2440915.0</v>
      </c>
      <c r="B936" s="6">
        <v>45576.0</v>
      </c>
    </row>
    <row r="937">
      <c r="A937" s="4">
        <v>2440915.0</v>
      </c>
      <c r="B937" s="6">
        <v>45577.0</v>
      </c>
    </row>
    <row r="938">
      <c r="A938" s="4">
        <v>2440915.0</v>
      </c>
      <c r="B938" s="6">
        <v>45578.0</v>
      </c>
    </row>
    <row r="939">
      <c r="A939" s="4">
        <v>2440915.0</v>
      </c>
      <c r="B939" s="6">
        <v>45579.0</v>
      </c>
    </row>
    <row r="940">
      <c r="A940" s="4">
        <v>2440915.0</v>
      </c>
      <c r="B940" s="6">
        <v>45580.0</v>
      </c>
    </row>
    <row r="941">
      <c r="A941" s="4">
        <v>2440915.0</v>
      </c>
      <c r="B941" s="6">
        <v>45658.0</v>
      </c>
    </row>
    <row r="942">
      <c r="A942" s="4">
        <v>2440915.0</v>
      </c>
      <c r="B942" s="6">
        <v>45659.0</v>
      </c>
    </row>
    <row r="943">
      <c r="A943" s="4">
        <v>2440915.0</v>
      </c>
      <c r="B943" s="6">
        <v>45660.0</v>
      </c>
    </row>
    <row r="944">
      <c r="A944" s="4">
        <v>2440915.0</v>
      </c>
      <c r="B944" s="6">
        <v>45661.0</v>
      </c>
    </row>
    <row r="945">
      <c r="A945" s="4">
        <v>2440915.0</v>
      </c>
      <c r="B945" s="6">
        <v>45662.0</v>
      </c>
    </row>
    <row r="946">
      <c r="A946" s="4">
        <v>2440915.0</v>
      </c>
      <c r="B946" s="6">
        <v>45663.0</v>
      </c>
    </row>
    <row r="947">
      <c r="A947" s="4">
        <v>2440915.0</v>
      </c>
      <c r="B947" s="6">
        <v>45664.0</v>
      </c>
    </row>
    <row r="948">
      <c r="A948" s="4">
        <v>2440915.0</v>
      </c>
      <c r="B948" s="6">
        <v>45740.0</v>
      </c>
    </row>
    <row r="949">
      <c r="A949" s="4">
        <v>2440915.0</v>
      </c>
      <c r="B949" s="6">
        <v>45741.0</v>
      </c>
    </row>
    <row r="950">
      <c r="A950" s="4">
        <v>2440915.0</v>
      </c>
      <c r="B950" s="6">
        <v>45742.0</v>
      </c>
    </row>
    <row r="951">
      <c r="A951" s="4">
        <v>2440915.0</v>
      </c>
      <c r="B951" s="6">
        <v>45743.0</v>
      </c>
    </row>
    <row r="952">
      <c r="A952" s="4">
        <v>2440915.0</v>
      </c>
      <c r="B952" s="6">
        <v>45744.0</v>
      </c>
    </row>
    <row r="953">
      <c r="A953" s="4">
        <v>2440915.0</v>
      </c>
      <c r="B953" s="6">
        <v>45745.0</v>
      </c>
    </row>
    <row r="954">
      <c r="A954" s="4">
        <v>2440915.0</v>
      </c>
      <c r="B954" s="6">
        <v>45746.0</v>
      </c>
    </row>
    <row r="955">
      <c r="A955" s="4">
        <v>2440915.0</v>
      </c>
      <c r="B955" s="6">
        <v>45747.0</v>
      </c>
    </row>
    <row r="956">
      <c r="A956" s="4">
        <v>2440915.0</v>
      </c>
      <c r="B956" s="6">
        <v>45755.0</v>
      </c>
    </row>
    <row r="957">
      <c r="A957" s="4">
        <v>2440915.0</v>
      </c>
      <c r="B957" s="6">
        <v>45756.0</v>
      </c>
    </row>
    <row r="958">
      <c r="A958" s="4">
        <v>2440915.0</v>
      </c>
      <c r="B958" s="6">
        <v>45757.0</v>
      </c>
    </row>
    <row r="959">
      <c r="A959" s="4">
        <v>2440915.0</v>
      </c>
      <c r="B959" s="6">
        <v>45758.0</v>
      </c>
    </row>
    <row r="960">
      <c r="A960" s="4">
        <v>2440915.0</v>
      </c>
      <c r="B960" s="6">
        <v>45759.0</v>
      </c>
    </row>
    <row r="961">
      <c r="A961" s="4">
        <v>2440915.0</v>
      </c>
      <c r="B961" s="6">
        <v>45760.0</v>
      </c>
    </row>
    <row r="962">
      <c r="A962" s="4">
        <v>2440915.0</v>
      </c>
      <c r="B962" s="6">
        <v>45761.0</v>
      </c>
    </row>
    <row r="963">
      <c r="A963" s="4">
        <v>2440915.0</v>
      </c>
      <c r="B963" s="6">
        <v>45762.0</v>
      </c>
    </row>
    <row r="964">
      <c r="A964" s="4">
        <v>2440915.0</v>
      </c>
      <c r="B964" s="6">
        <v>45877.0</v>
      </c>
    </row>
    <row r="965">
      <c r="A965" s="4">
        <v>2440915.0</v>
      </c>
      <c r="B965" s="6">
        <v>45878.0</v>
      </c>
    </row>
    <row r="966">
      <c r="A966" s="4">
        <v>2440915.0</v>
      </c>
      <c r="B966" s="6">
        <v>45879.0</v>
      </c>
    </row>
    <row r="967">
      <c r="A967" s="4">
        <v>2440915.0</v>
      </c>
      <c r="B967" s="6">
        <v>45880.0</v>
      </c>
    </row>
    <row r="968">
      <c r="A968" s="4">
        <v>2440915.0</v>
      </c>
      <c r="B968" s="6">
        <v>45881.0</v>
      </c>
    </row>
    <row r="969">
      <c r="A969" s="4">
        <v>2440915.0</v>
      </c>
      <c r="B969" s="6">
        <v>45882.0</v>
      </c>
    </row>
    <row r="970">
      <c r="A970" s="4">
        <v>2440915.0</v>
      </c>
      <c r="B970" s="6">
        <v>45883.0</v>
      </c>
    </row>
    <row r="971">
      <c r="A971" s="4">
        <v>2440915.0</v>
      </c>
      <c r="B971" s="6">
        <v>45884.0</v>
      </c>
    </row>
    <row r="972">
      <c r="A972" s="4">
        <v>2440915.0</v>
      </c>
      <c r="B972" s="6">
        <v>45885.0</v>
      </c>
    </row>
    <row r="973">
      <c r="A973" s="4">
        <v>2440915.0</v>
      </c>
      <c r="B973" s="6">
        <v>45886.0</v>
      </c>
    </row>
    <row r="974">
      <c r="A974" s="4">
        <v>2440915.0</v>
      </c>
      <c r="B974" s="6">
        <v>45887.0</v>
      </c>
    </row>
    <row r="975">
      <c r="A975" s="4">
        <v>2440915.0</v>
      </c>
      <c r="B975" s="6">
        <v>45888.0</v>
      </c>
    </row>
    <row r="976">
      <c r="A976" s="4">
        <v>2440915.0</v>
      </c>
      <c r="B976" s="6">
        <v>45939.0</v>
      </c>
    </row>
    <row r="977">
      <c r="A977" s="4">
        <v>2440915.0</v>
      </c>
      <c r="B977" s="6">
        <v>45940.0</v>
      </c>
    </row>
    <row r="978">
      <c r="A978" s="4">
        <v>2440915.0</v>
      </c>
      <c r="B978" s="6">
        <v>45941.0</v>
      </c>
    </row>
    <row r="979">
      <c r="A979" s="4">
        <v>2440915.0</v>
      </c>
      <c r="B979" s="6">
        <v>45942.0</v>
      </c>
    </row>
    <row r="980">
      <c r="A980" s="4">
        <v>2440915.0</v>
      </c>
      <c r="B980" s="6">
        <v>45943.0</v>
      </c>
    </row>
    <row r="981">
      <c r="A981" s="4">
        <v>2440915.0</v>
      </c>
      <c r="B981" s="6">
        <v>45944.0</v>
      </c>
    </row>
    <row r="982">
      <c r="A982" s="4">
        <v>2440915.0</v>
      </c>
      <c r="B982" s="6">
        <v>45945.0</v>
      </c>
    </row>
    <row r="983">
      <c r="A983" s="4">
        <v>2440915.0</v>
      </c>
      <c r="B983" s="6">
        <v>45946.0</v>
      </c>
    </row>
    <row r="984">
      <c r="A984" s="4">
        <v>2440915.0</v>
      </c>
      <c r="B984" s="6">
        <v>46023.0</v>
      </c>
    </row>
    <row r="985">
      <c r="A985" s="4">
        <v>2440915.0</v>
      </c>
      <c r="B985" s="6">
        <v>46024.0</v>
      </c>
    </row>
    <row r="986">
      <c r="A986" s="4">
        <v>2440915.0</v>
      </c>
      <c r="B986" s="6">
        <v>46025.0</v>
      </c>
    </row>
    <row r="987">
      <c r="A987" s="4">
        <v>2440915.0</v>
      </c>
      <c r="B987" s="6">
        <v>46026.0</v>
      </c>
    </row>
    <row r="988">
      <c r="A988" s="4">
        <v>2440915.0</v>
      </c>
      <c r="B988" s="6">
        <v>46027.0</v>
      </c>
    </row>
    <row r="989">
      <c r="A989" s="4">
        <v>2440915.0</v>
      </c>
      <c r="B989" s="6">
        <v>46028.0</v>
      </c>
    </row>
    <row r="990">
      <c r="A990" s="4">
        <v>2440915.0</v>
      </c>
      <c r="B990" s="6">
        <v>46029.0</v>
      </c>
    </row>
    <row r="991">
      <c r="A991" s="4">
        <v>2440915.0</v>
      </c>
      <c r="B991" s="6">
        <v>46054.0</v>
      </c>
    </row>
    <row r="992">
      <c r="A992" s="4">
        <v>2440915.0</v>
      </c>
      <c r="B992" s="6">
        <v>46055.0</v>
      </c>
    </row>
    <row r="993">
      <c r="A993" s="4">
        <v>2440915.0</v>
      </c>
      <c r="B993" s="6">
        <v>46056.0</v>
      </c>
    </row>
    <row r="994">
      <c r="A994" s="4">
        <v>2440915.0</v>
      </c>
      <c r="B994" s="6">
        <v>46057.0</v>
      </c>
    </row>
    <row r="995">
      <c r="A995" s="4">
        <v>2440915.0</v>
      </c>
      <c r="B995" s="6">
        <v>46058.0</v>
      </c>
    </row>
    <row r="996">
      <c r="A996" s="4">
        <v>2440915.0</v>
      </c>
      <c r="B996" s="6">
        <v>46059.0</v>
      </c>
    </row>
    <row r="997">
      <c r="A997" s="4">
        <v>2440915.0</v>
      </c>
      <c r="B997" s="6">
        <v>46060.0</v>
      </c>
    </row>
    <row r="998">
      <c r="A998" s="4">
        <v>2440915.0</v>
      </c>
      <c r="B998" s="6">
        <v>46061.0</v>
      </c>
    </row>
    <row r="999">
      <c r="A999" s="4">
        <v>2440915.0</v>
      </c>
      <c r="B999" s="6">
        <v>46062.0</v>
      </c>
    </row>
    <row r="1000">
      <c r="A1000" s="4">
        <v>2440915.0</v>
      </c>
      <c r="B1000" s="6">
        <v>46063.0</v>
      </c>
    </row>
    <row r="1001">
      <c r="A1001" s="4">
        <v>2440915.0</v>
      </c>
      <c r="B1001" s="6">
        <v>46064.0</v>
      </c>
    </row>
    <row r="1002">
      <c r="A1002" s="4">
        <v>2440915.0</v>
      </c>
      <c r="B1002" s="6">
        <v>46065.0</v>
      </c>
    </row>
    <row r="1003">
      <c r="A1003" s="4">
        <v>2440915.0</v>
      </c>
      <c r="B1003" s="6">
        <v>46066.0</v>
      </c>
    </row>
    <row r="1004">
      <c r="A1004" s="4">
        <v>2440915.0</v>
      </c>
      <c r="B1004" s="6">
        <v>46067.0</v>
      </c>
    </row>
    <row r="1005">
      <c r="A1005" s="4">
        <v>2440915.0</v>
      </c>
      <c r="B1005" s="6">
        <v>46235.0</v>
      </c>
    </row>
    <row r="1006">
      <c r="A1006" s="4">
        <v>2440915.0</v>
      </c>
      <c r="B1006" s="6">
        <v>46236.0</v>
      </c>
    </row>
    <row r="1007">
      <c r="A1007" s="4">
        <v>2440915.0</v>
      </c>
      <c r="B1007" s="6">
        <v>46237.0</v>
      </c>
    </row>
    <row r="1008">
      <c r="A1008" s="4">
        <v>2440915.0</v>
      </c>
      <c r="B1008" s="6">
        <v>46238.0</v>
      </c>
    </row>
    <row r="1009">
      <c r="A1009" s="4">
        <v>2440915.0</v>
      </c>
      <c r="B1009" s="6">
        <v>46239.0</v>
      </c>
    </row>
    <row r="1010">
      <c r="A1010" s="4">
        <v>2440915.0</v>
      </c>
      <c r="B1010" s="6">
        <v>46240.0</v>
      </c>
    </row>
    <row r="1011">
      <c r="A1011" s="4">
        <v>2440915.0</v>
      </c>
      <c r="B1011" s="6">
        <v>46241.0</v>
      </c>
    </row>
    <row r="1012">
      <c r="A1012" s="4">
        <v>2440915.0</v>
      </c>
      <c r="B1012" s="6">
        <v>46242.0</v>
      </c>
    </row>
    <row r="1013">
      <c r="A1013" s="4">
        <v>2440915.0</v>
      </c>
      <c r="B1013" s="6">
        <v>46243.0</v>
      </c>
    </row>
    <row r="1014">
      <c r="A1014" s="4">
        <v>2440915.0</v>
      </c>
      <c r="B1014" s="6">
        <v>46244.0</v>
      </c>
    </row>
    <row r="1015">
      <c r="A1015" s="4">
        <v>2440915.0</v>
      </c>
      <c r="B1015" s="6">
        <v>46245.0</v>
      </c>
    </row>
    <row r="1016">
      <c r="A1016" s="4">
        <v>2440915.0</v>
      </c>
      <c r="B1016" s="6">
        <v>46246.0</v>
      </c>
    </row>
    <row r="1017">
      <c r="A1017" s="4">
        <v>2440915.0</v>
      </c>
      <c r="B1017" s="6">
        <v>46247.0</v>
      </c>
    </row>
    <row r="1018">
      <c r="A1018" s="4">
        <v>2440915.0</v>
      </c>
      <c r="B1018" s="6">
        <v>46248.0</v>
      </c>
    </row>
    <row r="1019">
      <c r="A1019" s="4">
        <v>2440915.0</v>
      </c>
      <c r="B1019" s="6">
        <v>46249.0</v>
      </c>
    </row>
    <row r="1020">
      <c r="A1020" s="4">
        <v>2440915.0</v>
      </c>
      <c r="B1020" s="6">
        <v>46303.0</v>
      </c>
    </row>
    <row r="1021">
      <c r="A1021" s="4">
        <v>2440915.0</v>
      </c>
      <c r="B1021" s="6">
        <v>46304.0</v>
      </c>
    </row>
    <row r="1022">
      <c r="A1022" s="4">
        <v>2440915.0</v>
      </c>
      <c r="B1022" s="6">
        <v>46305.0</v>
      </c>
    </row>
    <row r="1023">
      <c r="A1023" s="4">
        <v>2440915.0</v>
      </c>
      <c r="B1023" s="6">
        <v>46306.0</v>
      </c>
    </row>
    <row r="1024">
      <c r="A1024" s="4">
        <v>2440915.0</v>
      </c>
      <c r="B1024" s="6">
        <v>46307.0</v>
      </c>
    </row>
    <row r="1025">
      <c r="A1025" s="4">
        <v>2440915.0</v>
      </c>
      <c r="B1025" s="6">
        <v>46308.0</v>
      </c>
    </row>
    <row r="1026">
      <c r="A1026" s="4">
        <v>2440915.0</v>
      </c>
      <c r="B1026" s="6">
        <v>46309.0</v>
      </c>
    </row>
    <row r="1027">
      <c r="A1027" s="4">
        <v>2440915.0</v>
      </c>
      <c r="B1027" s="6">
        <v>46310.0</v>
      </c>
    </row>
    <row r="1028">
      <c r="A1028" s="4">
        <v>2604360.0</v>
      </c>
      <c r="B1028" s="6">
        <v>45307.0</v>
      </c>
    </row>
    <row r="1029">
      <c r="A1029" s="4">
        <v>2604360.0</v>
      </c>
      <c r="B1029" s="6">
        <v>45308.0</v>
      </c>
    </row>
    <row r="1030">
      <c r="A1030" s="4">
        <v>2604360.0</v>
      </c>
      <c r="B1030" s="6">
        <v>45309.0</v>
      </c>
    </row>
    <row r="1031">
      <c r="A1031" s="4">
        <v>2604360.0</v>
      </c>
      <c r="B1031" s="6">
        <v>45310.0</v>
      </c>
    </row>
    <row r="1032">
      <c r="A1032" s="4">
        <v>2604360.0</v>
      </c>
      <c r="B1032" s="6">
        <v>45311.0</v>
      </c>
    </row>
    <row r="1033">
      <c r="A1033" s="4">
        <v>2604360.0</v>
      </c>
      <c r="B1033" s="6">
        <v>45312.0</v>
      </c>
    </row>
    <row r="1034">
      <c r="A1034" s="4">
        <v>2604360.0</v>
      </c>
      <c r="B1034" s="6">
        <v>45313.0</v>
      </c>
    </row>
    <row r="1035">
      <c r="A1035" s="4">
        <v>2604360.0</v>
      </c>
      <c r="B1035" s="6">
        <v>45314.0</v>
      </c>
    </row>
    <row r="1036">
      <c r="A1036" s="4">
        <v>2604360.0</v>
      </c>
      <c r="B1036" s="6">
        <v>45315.0</v>
      </c>
    </row>
    <row r="1037">
      <c r="A1037" s="4">
        <v>2604360.0</v>
      </c>
      <c r="B1037" s="6">
        <v>45444.0</v>
      </c>
    </row>
    <row r="1038">
      <c r="A1038" s="4">
        <v>2604360.0</v>
      </c>
      <c r="B1038" s="6">
        <v>45445.0</v>
      </c>
    </row>
    <row r="1039">
      <c r="A1039" s="4">
        <v>2604360.0</v>
      </c>
      <c r="B1039" s="6">
        <v>45446.0</v>
      </c>
    </row>
    <row r="1040">
      <c r="A1040" s="4">
        <v>2604360.0</v>
      </c>
      <c r="B1040" s="6">
        <v>45447.0</v>
      </c>
    </row>
    <row r="1041">
      <c r="A1041" s="4">
        <v>2604360.0</v>
      </c>
      <c r="B1041" s="6">
        <v>45448.0</v>
      </c>
    </row>
    <row r="1042">
      <c r="A1042" s="4">
        <v>2604360.0</v>
      </c>
      <c r="B1042" s="6">
        <v>45449.0</v>
      </c>
    </row>
    <row r="1043">
      <c r="A1043" s="4">
        <v>2604360.0</v>
      </c>
      <c r="B1043" s="6">
        <v>45450.0</v>
      </c>
    </row>
    <row r="1044">
      <c r="A1044" s="4">
        <v>2604360.0</v>
      </c>
      <c r="B1044" s="6">
        <v>45543.0</v>
      </c>
    </row>
    <row r="1045">
      <c r="A1045" s="4">
        <v>2604360.0</v>
      </c>
      <c r="B1045" s="6">
        <v>45544.0</v>
      </c>
    </row>
    <row r="1046">
      <c r="A1046" s="4">
        <v>2604360.0</v>
      </c>
      <c r="B1046" s="6">
        <v>45545.0</v>
      </c>
    </row>
    <row r="1047">
      <c r="A1047" s="4">
        <v>2604360.0</v>
      </c>
      <c r="B1047" s="6">
        <v>45546.0</v>
      </c>
    </row>
    <row r="1048">
      <c r="A1048" s="4">
        <v>2604360.0</v>
      </c>
      <c r="B1048" s="6">
        <v>45547.0</v>
      </c>
    </row>
    <row r="1049">
      <c r="A1049" s="4">
        <v>2604360.0</v>
      </c>
      <c r="B1049" s="6">
        <v>45548.0</v>
      </c>
    </row>
    <row r="1050">
      <c r="A1050" s="4">
        <v>2604360.0</v>
      </c>
      <c r="B1050" s="6">
        <v>45549.0</v>
      </c>
    </row>
    <row r="1051">
      <c r="A1051" s="4">
        <v>2604360.0</v>
      </c>
      <c r="B1051" s="6">
        <v>45550.0</v>
      </c>
    </row>
    <row r="1052">
      <c r="A1052" s="4">
        <v>2604360.0</v>
      </c>
      <c r="B1052" s="6">
        <v>45551.0</v>
      </c>
    </row>
    <row r="1053">
      <c r="A1053" s="4">
        <v>2604360.0</v>
      </c>
      <c r="B1053" s="6">
        <v>45552.0</v>
      </c>
    </row>
    <row r="1054">
      <c r="A1054" s="4">
        <v>2604360.0</v>
      </c>
      <c r="B1054" s="6">
        <v>45553.0</v>
      </c>
    </row>
    <row r="1055">
      <c r="A1055" s="4">
        <v>2604360.0</v>
      </c>
      <c r="B1055" s="6">
        <v>45554.0</v>
      </c>
    </row>
    <row r="1056">
      <c r="A1056" s="4">
        <v>2604360.0</v>
      </c>
      <c r="B1056" s="6">
        <v>45555.0</v>
      </c>
    </row>
    <row r="1057">
      <c r="A1057" s="4">
        <v>2604360.0</v>
      </c>
      <c r="B1057" s="6">
        <v>45556.0</v>
      </c>
    </row>
    <row r="1058">
      <c r="A1058" s="4">
        <v>2604360.0</v>
      </c>
      <c r="B1058" s="6">
        <v>45557.0</v>
      </c>
    </row>
    <row r="1059">
      <c r="A1059" s="4">
        <v>2604360.0</v>
      </c>
      <c r="B1059" s="6">
        <v>45558.0</v>
      </c>
    </row>
    <row r="1060">
      <c r="A1060" s="4">
        <v>2604360.0</v>
      </c>
      <c r="B1060" s="6">
        <v>45559.0</v>
      </c>
    </row>
    <row r="1061">
      <c r="A1061" s="4">
        <v>2604360.0</v>
      </c>
      <c r="B1061" s="6">
        <v>45560.0</v>
      </c>
    </row>
    <row r="1062">
      <c r="A1062" s="4">
        <v>2604360.0</v>
      </c>
      <c r="B1062" s="6">
        <v>45561.0</v>
      </c>
    </row>
    <row r="1063">
      <c r="A1063" s="4">
        <v>2604360.0</v>
      </c>
      <c r="B1063" s="6">
        <v>45562.0</v>
      </c>
    </row>
    <row r="1064">
      <c r="A1064" s="4">
        <v>2604360.0</v>
      </c>
      <c r="B1064" s="6">
        <v>45563.0</v>
      </c>
    </row>
    <row r="1065">
      <c r="A1065" s="4">
        <v>2604360.0</v>
      </c>
      <c r="B1065" s="6">
        <v>45564.0</v>
      </c>
    </row>
    <row r="1066">
      <c r="A1066" s="4">
        <v>2604360.0</v>
      </c>
      <c r="B1066" s="6">
        <v>45565.0</v>
      </c>
    </row>
    <row r="1067">
      <c r="A1067" s="4">
        <v>2604360.0</v>
      </c>
      <c r="B1067" s="6">
        <v>45755.0</v>
      </c>
    </row>
    <row r="1068">
      <c r="A1068" s="4">
        <v>2604360.0</v>
      </c>
      <c r="B1068" s="6">
        <v>45756.0</v>
      </c>
    </row>
    <row r="1069">
      <c r="A1069" s="4">
        <v>2604360.0</v>
      </c>
      <c r="B1069" s="6">
        <v>45757.0</v>
      </c>
    </row>
    <row r="1070">
      <c r="A1070" s="4">
        <v>2604360.0</v>
      </c>
      <c r="B1070" s="6">
        <v>45758.0</v>
      </c>
    </row>
    <row r="1071">
      <c r="A1071" s="4">
        <v>2604360.0</v>
      </c>
      <c r="B1071" s="6">
        <v>45759.0</v>
      </c>
    </row>
    <row r="1072">
      <c r="A1072" s="4">
        <v>2604360.0</v>
      </c>
      <c r="B1072" s="6">
        <v>45760.0</v>
      </c>
    </row>
    <row r="1073">
      <c r="A1073" s="4">
        <v>2604360.0</v>
      </c>
      <c r="B1073" s="6">
        <v>45761.0</v>
      </c>
    </row>
    <row r="1074">
      <c r="A1074" s="4">
        <v>2604360.0</v>
      </c>
      <c r="B1074" s="6">
        <v>45762.0</v>
      </c>
    </row>
    <row r="1075">
      <c r="A1075" s="4">
        <v>2604360.0</v>
      </c>
      <c r="B1075" s="6">
        <v>45763.0</v>
      </c>
    </row>
    <row r="1076">
      <c r="A1076" s="4">
        <v>2604360.0</v>
      </c>
      <c r="B1076" s="6">
        <v>45764.0</v>
      </c>
    </row>
    <row r="1077">
      <c r="A1077" s="4">
        <v>2604360.0</v>
      </c>
      <c r="B1077" s="6">
        <v>45816.0</v>
      </c>
    </row>
    <row r="1078">
      <c r="A1078" s="4">
        <v>2604360.0</v>
      </c>
      <c r="B1078" s="6">
        <v>45817.0</v>
      </c>
    </row>
    <row r="1079">
      <c r="A1079" s="4">
        <v>2604360.0</v>
      </c>
      <c r="B1079" s="6">
        <v>45818.0</v>
      </c>
    </row>
    <row r="1080">
      <c r="A1080" s="4">
        <v>2604360.0</v>
      </c>
      <c r="B1080" s="6">
        <v>45819.0</v>
      </c>
    </row>
    <row r="1081">
      <c r="A1081" s="4">
        <v>2604360.0</v>
      </c>
      <c r="B1081" s="6">
        <v>45820.0</v>
      </c>
    </row>
    <row r="1082">
      <c r="A1082" s="4">
        <v>2604360.0</v>
      </c>
      <c r="B1082" s="6">
        <v>45821.0</v>
      </c>
    </row>
    <row r="1083">
      <c r="A1083" s="4">
        <v>2604360.0</v>
      </c>
      <c r="B1083" s="6">
        <v>45822.0</v>
      </c>
    </row>
    <row r="1084">
      <c r="A1084" s="4">
        <v>2604360.0</v>
      </c>
      <c r="B1084" s="6">
        <v>45823.0</v>
      </c>
    </row>
    <row r="1085">
      <c r="A1085" s="4">
        <v>2604360.0</v>
      </c>
      <c r="B1085" s="6">
        <v>45938.0</v>
      </c>
    </row>
    <row r="1086">
      <c r="A1086" s="4">
        <v>2604360.0</v>
      </c>
      <c r="B1086" s="6">
        <v>45939.0</v>
      </c>
    </row>
    <row r="1087">
      <c r="A1087" s="4">
        <v>2604360.0</v>
      </c>
      <c r="B1087" s="6">
        <v>45940.0</v>
      </c>
    </row>
    <row r="1088">
      <c r="A1088" s="4">
        <v>2604360.0</v>
      </c>
      <c r="B1088" s="6">
        <v>45941.0</v>
      </c>
    </row>
    <row r="1089">
      <c r="A1089" s="4">
        <v>2604360.0</v>
      </c>
      <c r="B1089" s="6">
        <v>45942.0</v>
      </c>
    </row>
    <row r="1090">
      <c r="A1090" s="4">
        <v>2604360.0</v>
      </c>
      <c r="B1090" s="6">
        <v>45943.0</v>
      </c>
    </row>
    <row r="1091">
      <c r="A1091" s="4">
        <v>2604360.0</v>
      </c>
      <c r="B1091" s="6">
        <v>45944.0</v>
      </c>
    </row>
    <row r="1092">
      <c r="A1092" s="4">
        <v>2604360.0</v>
      </c>
      <c r="B1092" s="6">
        <v>45945.0</v>
      </c>
    </row>
    <row r="1093">
      <c r="A1093" s="4">
        <v>2604360.0</v>
      </c>
      <c r="B1093" s="6">
        <v>45946.0</v>
      </c>
    </row>
    <row r="1094">
      <c r="A1094" s="4">
        <v>2604360.0</v>
      </c>
      <c r="B1094" s="6">
        <v>45947.0</v>
      </c>
    </row>
    <row r="1095">
      <c r="A1095" s="4">
        <v>2604360.0</v>
      </c>
      <c r="B1095" s="6">
        <v>45948.0</v>
      </c>
    </row>
    <row r="1096">
      <c r="A1096" s="4">
        <v>2604360.0</v>
      </c>
      <c r="B1096" s="6">
        <v>45949.0</v>
      </c>
    </row>
    <row r="1097">
      <c r="A1097" s="4">
        <v>2604360.0</v>
      </c>
      <c r="B1097" s="6">
        <v>45950.0</v>
      </c>
    </row>
    <row r="1098">
      <c r="A1098" s="4">
        <v>2604360.0</v>
      </c>
      <c r="B1098" s="6">
        <v>45951.0</v>
      </c>
    </row>
    <row r="1099">
      <c r="A1099" s="4">
        <v>2604360.0</v>
      </c>
      <c r="B1099" s="6">
        <v>45952.0</v>
      </c>
    </row>
    <row r="1100">
      <c r="A1100" s="4">
        <v>2604360.0</v>
      </c>
      <c r="B1100" s="6">
        <v>45953.0</v>
      </c>
    </row>
    <row r="1101">
      <c r="A1101" s="4">
        <v>2604360.0</v>
      </c>
      <c r="B1101" s="6">
        <v>45992.0</v>
      </c>
    </row>
    <row r="1102">
      <c r="A1102" s="4">
        <v>2604360.0</v>
      </c>
      <c r="B1102" s="6">
        <v>45993.0</v>
      </c>
    </row>
    <row r="1103">
      <c r="A1103" s="4">
        <v>2604360.0</v>
      </c>
      <c r="B1103" s="6">
        <v>45994.0</v>
      </c>
    </row>
    <row r="1104">
      <c r="A1104" s="4">
        <v>2604360.0</v>
      </c>
      <c r="B1104" s="6">
        <v>45995.0</v>
      </c>
    </row>
    <row r="1105">
      <c r="A1105" s="4">
        <v>2604360.0</v>
      </c>
      <c r="B1105" s="6">
        <v>45996.0</v>
      </c>
    </row>
    <row r="1106">
      <c r="A1106" s="4">
        <v>2604360.0</v>
      </c>
      <c r="B1106" s="6">
        <v>45997.0</v>
      </c>
    </row>
    <row r="1107">
      <c r="A1107" s="4">
        <v>2604360.0</v>
      </c>
      <c r="B1107" s="6">
        <v>45998.0</v>
      </c>
    </row>
    <row r="1108">
      <c r="A1108" s="4">
        <v>2604360.0</v>
      </c>
      <c r="B1108" s="6">
        <v>46061.0</v>
      </c>
    </row>
    <row r="1109">
      <c r="A1109" s="4">
        <v>2604360.0</v>
      </c>
      <c r="B1109" s="6">
        <v>46062.0</v>
      </c>
    </row>
    <row r="1110">
      <c r="A1110" s="4">
        <v>2604360.0</v>
      </c>
      <c r="B1110" s="6">
        <v>46063.0</v>
      </c>
    </row>
    <row r="1111">
      <c r="A1111" s="4">
        <v>2604360.0</v>
      </c>
      <c r="B1111" s="6">
        <v>46064.0</v>
      </c>
    </row>
    <row r="1112">
      <c r="A1112" s="4">
        <v>2604360.0</v>
      </c>
      <c r="B1112" s="6">
        <v>46065.0</v>
      </c>
    </row>
    <row r="1113">
      <c r="A1113" s="4">
        <v>2604360.0</v>
      </c>
      <c r="B1113" s="6">
        <v>46066.0</v>
      </c>
    </row>
    <row r="1114">
      <c r="A1114" s="4">
        <v>2604360.0</v>
      </c>
      <c r="B1114" s="6">
        <v>46067.0</v>
      </c>
    </row>
    <row r="1115">
      <c r="A1115" s="4">
        <v>2604360.0</v>
      </c>
      <c r="B1115" s="6">
        <v>46068.0</v>
      </c>
    </row>
    <row r="1116">
      <c r="A1116" s="4">
        <v>2604360.0</v>
      </c>
      <c r="B1116" s="6">
        <v>46069.0</v>
      </c>
    </row>
    <row r="1117">
      <c r="A1117" s="4">
        <v>2604360.0</v>
      </c>
      <c r="B1117" s="6">
        <v>46070.0</v>
      </c>
    </row>
    <row r="1118">
      <c r="A1118" s="4">
        <v>2604360.0</v>
      </c>
      <c r="B1118" s="6">
        <v>46158.0</v>
      </c>
    </row>
    <row r="1119">
      <c r="A1119" s="4">
        <v>2604360.0</v>
      </c>
      <c r="B1119" s="6">
        <v>46159.0</v>
      </c>
    </row>
    <row r="1120">
      <c r="A1120" s="4">
        <v>2604360.0</v>
      </c>
      <c r="B1120" s="6">
        <v>46160.0</v>
      </c>
    </row>
    <row r="1121">
      <c r="A1121" s="4">
        <v>2604360.0</v>
      </c>
      <c r="B1121" s="6">
        <v>46161.0</v>
      </c>
    </row>
    <row r="1122">
      <c r="A1122" s="4">
        <v>2604360.0</v>
      </c>
      <c r="B1122" s="6">
        <v>46162.0</v>
      </c>
    </row>
    <row r="1123">
      <c r="A1123" s="4">
        <v>2604360.0</v>
      </c>
      <c r="B1123" s="6">
        <v>46163.0</v>
      </c>
    </row>
    <row r="1124">
      <c r="A1124" s="4">
        <v>2604360.0</v>
      </c>
      <c r="B1124" s="6">
        <v>46164.0</v>
      </c>
    </row>
    <row r="1125">
      <c r="A1125" s="4">
        <v>2604360.0</v>
      </c>
      <c r="B1125" s="6">
        <v>46165.0</v>
      </c>
    </row>
    <row r="1126">
      <c r="A1126" s="4">
        <v>2604360.0</v>
      </c>
      <c r="B1126" s="6">
        <v>46281.0</v>
      </c>
    </row>
    <row r="1127">
      <c r="A1127" s="4">
        <v>2604360.0</v>
      </c>
      <c r="B1127" s="6">
        <v>46282.0</v>
      </c>
    </row>
    <row r="1128">
      <c r="A1128" s="4">
        <v>2604360.0</v>
      </c>
      <c r="B1128" s="6">
        <v>46283.0</v>
      </c>
    </row>
    <row r="1129">
      <c r="A1129" s="4">
        <v>2604360.0</v>
      </c>
      <c r="B1129" s="6">
        <v>46284.0</v>
      </c>
    </row>
    <row r="1130">
      <c r="A1130" s="4">
        <v>2604360.0</v>
      </c>
      <c r="B1130" s="6">
        <v>46285.0</v>
      </c>
    </row>
    <row r="1131">
      <c r="A1131" s="4">
        <v>2604360.0</v>
      </c>
      <c r="B1131" s="6">
        <v>46286.0</v>
      </c>
    </row>
    <row r="1132">
      <c r="A1132" s="4">
        <v>2604360.0</v>
      </c>
      <c r="B1132" s="6">
        <v>46287.0</v>
      </c>
    </row>
    <row r="1133">
      <c r="A1133" s="4">
        <v>2604360.0</v>
      </c>
      <c r="B1133" s="6">
        <v>46288.0</v>
      </c>
    </row>
    <row r="1134">
      <c r="A1134" s="4">
        <v>2604360.0</v>
      </c>
      <c r="B1134" s="6">
        <v>46289.0</v>
      </c>
    </row>
    <row r="1135">
      <c r="A1135" s="4">
        <v>2604360.0</v>
      </c>
      <c r="B1135" s="6">
        <v>46290.0</v>
      </c>
    </row>
    <row r="1136">
      <c r="A1136" s="4">
        <v>2604360.0</v>
      </c>
      <c r="B1136" s="6">
        <v>46291.0</v>
      </c>
    </row>
    <row r="1137">
      <c r="A1137" s="4">
        <v>2604360.0</v>
      </c>
      <c r="B1137" s="6">
        <v>46292.0</v>
      </c>
    </row>
    <row r="1138">
      <c r="A1138" s="4">
        <v>2604360.0</v>
      </c>
      <c r="B1138" s="6">
        <v>46293.0</v>
      </c>
    </row>
    <row r="1139">
      <c r="A1139" s="4">
        <v>2604360.0</v>
      </c>
      <c r="B1139" s="6">
        <v>46294.0</v>
      </c>
    </row>
    <row r="1140">
      <c r="A1140" s="4">
        <v>2604360.0</v>
      </c>
      <c r="B1140" s="6">
        <v>46295.0</v>
      </c>
    </row>
    <row r="1141">
      <c r="A1141" s="4">
        <v>2713993.0</v>
      </c>
      <c r="B1141" s="6">
        <v>45293.0</v>
      </c>
    </row>
    <row r="1142">
      <c r="A1142" s="4">
        <v>2713993.0</v>
      </c>
      <c r="B1142" s="6">
        <v>45337.0</v>
      </c>
    </row>
    <row r="1143">
      <c r="A1143" s="4">
        <v>2713993.0</v>
      </c>
      <c r="B1143" s="6">
        <v>45338.0</v>
      </c>
    </row>
    <row r="1144">
      <c r="A1144" s="4">
        <v>2713993.0</v>
      </c>
      <c r="B1144" s="6">
        <v>45341.0</v>
      </c>
    </row>
    <row r="1145">
      <c r="A1145" s="4">
        <v>2713993.0</v>
      </c>
      <c r="B1145" s="6">
        <v>45376.0</v>
      </c>
    </row>
    <row r="1146">
      <c r="A1146" s="4">
        <v>2713993.0</v>
      </c>
      <c r="B1146" s="6">
        <v>45378.0</v>
      </c>
    </row>
    <row r="1147">
      <c r="A1147" s="4">
        <v>2713993.0</v>
      </c>
      <c r="B1147" s="6">
        <v>45401.0</v>
      </c>
    </row>
    <row r="1148">
      <c r="A1148" s="4">
        <v>2713993.0</v>
      </c>
      <c r="B1148" s="6">
        <v>45420.0</v>
      </c>
    </row>
    <row r="1149">
      <c r="A1149" s="4">
        <v>2713993.0</v>
      </c>
      <c r="B1149" s="6">
        <v>45478.0</v>
      </c>
    </row>
    <row r="1150">
      <c r="A1150" s="4">
        <v>2713993.0</v>
      </c>
      <c r="B1150" s="6">
        <v>45566.0</v>
      </c>
    </row>
    <row r="1151">
      <c r="A1151" s="4">
        <v>2713993.0</v>
      </c>
      <c r="B1151" s="6">
        <v>45567.0</v>
      </c>
    </row>
    <row r="1152">
      <c r="A1152" s="4">
        <v>2713993.0</v>
      </c>
      <c r="B1152" s="6">
        <v>45568.0</v>
      </c>
    </row>
    <row r="1153">
      <c r="A1153" s="4">
        <v>2713993.0</v>
      </c>
      <c r="B1153" s="6">
        <v>45569.0</v>
      </c>
    </row>
    <row r="1154">
      <c r="A1154" s="4">
        <v>2713993.0</v>
      </c>
      <c r="B1154" s="6">
        <v>45570.0</v>
      </c>
    </row>
    <row r="1155">
      <c r="A1155" s="4">
        <v>2713993.0</v>
      </c>
      <c r="B1155" s="6">
        <v>45571.0</v>
      </c>
    </row>
    <row r="1156">
      <c r="A1156" s="4">
        <v>2713993.0</v>
      </c>
      <c r="B1156" s="6">
        <v>45572.0</v>
      </c>
    </row>
    <row r="1157">
      <c r="A1157" s="4">
        <v>2713993.0</v>
      </c>
      <c r="B1157" s="6">
        <v>45573.0</v>
      </c>
    </row>
    <row r="1158">
      <c r="A1158" s="4">
        <v>2713993.0</v>
      </c>
      <c r="B1158" s="6">
        <v>45574.0</v>
      </c>
    </row>
    <row r="1159">
      <c r="A1159" s="4">
        <v>2713993.0</v>
      </c>
      <c r="B1159" s="6">
        <v>45575.0</v>
      </c>
    </row>
    <row r="1160">
      <c r="A1160" s="4">
        <v>2713993.0</v>
      </c>
      <c r="B1160" s="6">
        <v>45576.0</v>
      </c>
    </row>
    <row r="1161">
      <c r="A1161" s="4">
        <v>2713993.0</v>
      </c>
      <c r="B1161" s="6">
        <v>45577.0</v>
      </c>
    </row>
    <row r="1162">
      <c r="A1162" s="4">
        <v>2713993.0</v>
      </c>
      <c r="B1162" s="6">
        <v>45578.0</v>
      </c>
    </row>
    <row r="1163">
      <c r="A1163" s="4">
        <v>2713993.0</v>
      </c>
      <c r="B1163" s="6">
        <v>45579.0</v>
      </c>
    </row>
    <row r="1164">
      <c r="A1164" s="4">
        <v>2713993.0</v>
      </c>
      <c r="B1164" s="6">
        <v>45580.0</v>
      </c>
    </row>
    <row r="1165">
      <c r="A1165" s="4">
        <v>2713993.0</v>
      </c>
      <c r="B1165" s="6">
        <v>45581.0</v>
      </c>
    </row>
    <row r="1166">
      <c r="A1166" s="4">
        <v>2713993.0</v>
      </c>
      <c r="B1166" s="6">
        <v>45582.0</v>
      </c>
    </row>
    <row r="1167">
      <c r="A1167" s="4">
        <v>2713993.0</v>
      </c>
      <c r="B1167" s="6">
        <v>45583.0</v>
      </c>
    </row>
    <row r="1168">
      <c r="A1168" s="4">
        <v>2713993.0</v>
      </c>
      <c r="B1168" s="6">
        <v>45584.0</v>
      </c>
    </row>
    <row r="1169">
      <c r="A1169" s="4">
        <v>2713993.0</v>
      </c>
      <c r="B1169" s="6">
        <v>45585.0</v>
      </c>
    </row>
    <row r="1170">
      <c r="A1170" s="4">
        <v>2713993.0</v>
      </c>
      <c r="B1170" s="6">
        <v>45586.0</v>
      </c>
    </row>
    <row r="1171">
      <c r="A1171" s="4">
        <v>2713993.0</v>
      </c>
      <c r="B1171" s="6">
        <v>45587.0</v>
      </c>
    </row>
    <row r="1172">
      <c r="A1172" s="4">
        <v>2713993.0</v>
      </c>
      <c r="B1172" s="6">
        <v>45588.0</v>
      </c>
    </row>
    <row r="1173">
      <c r="A1173" s="4">
        <v>2713993.0</v>
      </c>
      <c r="B1173" s="6">
        <v>45589.0</v>
      </c>
    </row>
    <row r="1174">
      <c r="A1174" s="4">
        <v>2713993.0</v>
      </c>
      <c r="B1174" s="6">
        <v>45590.0</v>
      </c>
    </row>
    <row r="1175">
      <c r="A1175" s="4">
        <v>2713993.0</v>
      </c>
      <c r="B1175" s="6">
        <v>45591.0</v>
      </c>
    </row>
    <row r="1176">
      <c r="A1176" s="4">
        <v>2713993.0</v>
      </c>
      <c r="B1176" s="6">
        <v>45592.0</v>
      </c>
    </row>
    <row r="1177">
      <c r="A1177" s="4">
        <v>2713993.0</v>
      </c>
      <c r="B1177" s="6">
        <v>45593.0</v>
      </c>
    </row>
    <row r="1178">
      <c r="A1178" s="4">
        <v>2713993.0</v>
      </c>
      <c r="B1178" s="6">
        <v>45594.0</v>
      </c>
    </row>
    <row r="1179">
      <c r="A1179" s="4">
        <v>2713993.0</v>
      </c>
      <c r="B1179" s="6">
        <v>45595.0</v>
      </c>
    </row>
    <row r="1180">
      <c r="A1180" s="4">
        <v>2713993.0</v>
      </c>
      <c r="B1180" s="6">
        <v>45596.0</v>
      </c>
    </row>
    <row r="1181">
      <c r="A1181" s="4">
        <v>2713993.0</v>
      </c>
      <c r="B1181" s="6">
        <v>45695.0</v>
      </c>
    </row>
    <row r="1182">
      <c r="A1182" s="4">
        <v>2713993.0</v>
      </c>
      <c r="B1182" s="6">
        <v>45716.0</v>
      </c>
    </row>
    <row r="1183">
      <c r="A1183" s="4">
        <v>2713993.0</v>
      </c>
      <c r="B1183" s="6">
        <v>45743.0</v>
      </c>
    </row>
    <row r="1184">
      <c r="A1184" s="4">
        <v>2713993.0</v>
      </c>
      <c r="B1184" s="6">
        <v>45771.0</v>
      </c>
    </row>
    <row r="1185">
      <c r="A1185" s="4">
        <v>2713993.0</v>
      </c>
      <c r="B1185" s="6">
        <v>45772.0</v>
      </c>
    </row>
    <row r="1186">
      <c r="A1186" s="4">
        <v>2713993.0</v>
      </c>
      <c r="B1186" s="6">
        <v>45783.0</v>
      </c>
    </row>
    <row r="1187">
      <c r="A1187" s="4">
        <v>2713993.0</v>
      </c>
      <c r="B1187" s="6">
        <v>45876.0</v>
      </c>
    </row>
    <row r="1188">
      <c r="A1188" s="4">
        <v>2713993.0</v>
      </c>
      <c r="B1188" s="6">
        <v>45882.0</v>
      </c>
    </row>
    <row r="1189">
      <c r="A1189" s="4">
        <v>2713993.0</v>
      </c>
      <c r="B1189" s="6">
        <v>45926.0</v>
      </c>
    </row>
    <row r="1190">
      <c r="A1190" s="4">
        <v>2713993.0</v>
      </c>
      <c r="B1190" s="6">
        <v>45931.0</v>
      </c>
    </row>
    <row r="1191">
      <c r="A1191" s="4">
        <v>2713993.0</v>
      </c>
      <c r="B1191" s="6">
        <v>45932.0</v>
      </c>
    </row>
    <row r="1192">
      <c r="A1192" s="4">
        <v>2713993.0</v>
      </c>
      <c r="B1192" s="6">
        <v>45933.0</v>
      </c>
    </row>
    <row r="1193">
      <c r="A1193" s="4">
        <v>2713993.0</v>
      </c>
      <c r="B1193" s="6">
        <v>45934.0</v>
      </c>
    </row>
    <row r="1194">
      <c r="A1194" s="4">
        <v>2713993.0</v>
      </c>
      <c r="B1194" s="6">
        <v>45935.0</v>
      </c>
    </row>
    <row r="1195">
      <c r="A1195" s="4">
        <v>2713993.0</v>
      </c>
      <c r="B1195" s="6">
        <v>45936.0</v>
      </c>
    </row>
    <row r="1196">
      <c r="A1196" s="4">
        <v>2713993.0</v>
      </c>
      <c r="B1196" s="6">
        <v>45937.0</v>
      </c>
    </row>
    <row r="1197">
      <c r="A1197" s="4">
        <v>2713993.0</v>
      </c>
      <c r="B1197" s="6">
        <v>45938.0</v>
      </c>
    </row>
    <row r="1198">
      <c r="A1198" s="4">
        <v>2713993.0</v>
      </c>
      <c r="B1198" s="6">
        <v>45939.0</v>
      </c>
    </row>
    <row r="1199">
      <c r="A1199" s="4">
        <v>2713993.0</v>
      </c>
      <c r="B1199" s="6">
        <v>45940.0</v>
      </c>
    </row>
    <row r="1200">
      <c r="A1200" s="4">
        <v>2713993.0</v>
      </c>
      <c r="B1200" s="6">
        <v>45941.0</v>
      </c>
    </row>
    <row r="1201">
      <c r="A1201" s="4">
        <v>2713993.0</v>
      </c>
      <c r="B1201" s="6">
        <v>45942.0</v>
      </c>
    </row>
    <row r="1202">
      <c r="A1202" s="4">
        <v>2713993.0</v>
      </c>
      <c r="B1202" s="6">
        <v>45943.0</v>
      </c>
    </row>
    <row r="1203">
      <c r="A1203" s="4">
        <v>2713993.0</v>
      </c>
      <c r="B1203" s="6">
        <v>45944.0</v>
      </c>
    </row>
    <row r="1204">
      <c r="A1204" s="4">
        <v>2713993.0</v>
      </c>
      <c r="B1204" s="6">
        <v>45945.0</v>
      </c>
    </row>
    <row r="1205">
      <c r="A1205" s="4">
        <v>2713993.0</v>
      </c>
      <c r="B1205" s="6">
        <v>45946.0</v>
      </c>
    </row>
    <row r="1206">
      <c r="A1206" s="4">
        <v>2713993.0</v>
      </c>
      <c r="B1206" s="6">
        <v>45947.0</v>
      </c>
    </row>
    <row r="1207">
      <c r="A1207" s="4">
        <v>2713993.0</v>
      </c>
      <c r="B1207" s="6">
        <v>45948.0</v>
      </c>
    </row>
    <row r="1208">
      <c r="A1208" s="4">
        <v>2713993.0</v>
      </c>
      <c r="B1208" s="6">
        <v>45949.0</v>
      </c>
    </row>
    <row r="1209">
      <c r="A1209" s="4">
        <v>2713993.0</v>
      </c>
      <c r="B1209" s="6">
        <v>45950.0</v>
      </c>
    </row>
    <row r="1210">
      <c r="A1210" s="4">
        <v>2713993.0</v>
      </c>
      <c r="B1210" s="6">
        <v>45951.0</v>
      </c>
    </row>
    <row r="1211">
      <c r="A1211" s="4">
        <v>2713993.0</v>
      </c>
      <c r="B1211" s="6">
        <v>45952.0</v>
      </c>
    </row>
    <row r="1212">
      <c r="A1212" s="4">
        <v>2713993.0</v>
      </c>
      <c r="B1212" s="6">
        <v>45953.0</v>
      </c>
    </row>
    <row r="1213">
      <c r="A1213" s="4">
        <v>2713993.0</v>
      </c>
      <c r="B1213" s="6">
        <v>45954.0</v>
      </c>
    </row>
    <row r="1214">
      <c r="A1214" s="4">
        <v>2713993.0</v>
      </c>
      <c r="B1214" s="6">
        <v>45955.0</v>
      </c>
    </row>
    <row r="1215">
      <c r="A1215" s="4">
        <v>2713993.0</v>
      </c>
      <c r="B1215" s="6">
        <v>45956.0</v>
      </c>
    </row>
    <row r="1216">
      <c r="A1216" s="4">
        <v>2713993.0</v>
      </c>
      <c r="B1216" s="6">
        <v>45957.0</v>
      </c>
    </row>
    <row r="1217">
      <c r="A1217" s="4">
        <v>2713993.0</v>
      </c>
      <c r="B1217" s="6">
        <v>45958.0</v>
      </c>
    </row>
    <row r="1218">
      <c r="A1218" s="4">
        <v>2713993.0</v>
      </c>
      <c r="B1218" s="6">
        <v>45959.0</v>
      </c>
    </row>
    <row r="1219">
      <c r="A1219" s="4">
        <v>2713993.0</v>
      </c>
      <c r="B1219" s="6">
        <v>45960.0</v>
      </c>
    </row>
    <row r="1220">
      <c r="A1220" s="4">
        <v>2713993.0</v>
      </c>
      <c r="B1220" s="6">
        <v>45961.0</v>
      </c>
    </row>
    <row r="1221">
      <c r="A1221" s="4">
        <v>2713993.0</v>
      </c>
      <c r="B1221" s="6">
        <v>46104.0</v>
      </c>
    </row>
    <row r="1222">
      <c r="A1222" s="4">
        <v>2713993.0</v>
      </c>
      <c r="B1222" s="6">
        <v>46105.0</v>
      </c>
    </row>
    <row r="1223">
      <c r="A1223" s="4">
        <v>2713993.0</v>
      </c>
      <c r="B1223" s="6">
        <v>46106.0</v>
      </c>
    </row>
    <row r="1224">
      <c r="A1224" s="4">
        <v>2713993.0</v>
      </c>
      <c r="B1224" s="6">
        <v>46107.0</v>
      </c>
    </row>
    <row r="1225">
      <c r="A1225" s="4">
        <v>2713993.0</v>
      </c>
      <c r="B1225" s="6">
        <v>46108.0</v>
      </c>
    </row>
    <row r="1226">
      <c r="A1226" s="4">
        <v>2713993.0</v>
      </c>
      <c r="B1226" s="6">
        <v>46147.0</v>
      </c>
    </row>
    <row r="1227">
      <c r="A1227" s="4">
        <v>2713993.0</v>
      </c>
      <c r="B1227" s="6">
        <v>46160.0</v>
      </c>
    </row>
    <row r="1228">
      <c r="A1228" s="4">
        <v>2713993.0</v>
      </c>
      <c r="B1228" s="6">
        <v>46223.0</v>
      </c>
    </row>
    <row r="1229">
      <c r="A1229" s="4">
        <v>2823133.0</v>
      </c>
      <c r="B1229" s="6">
        <v>45383.0</v>
      </c>
    </row>
    <row r="1230">
      <c r="A1230" s="4">
        <v>2823133.0</v>
      </c>
      <c r="B1230" s="6">
        <v>45384.0</v>
      </c>
    </row>
    <row r="1231">
      <c r="A1231" s="4">
        <v>2823133.0</v>
      </c>
      <c r="B1231" s="6">
        <v>45385.0</v>
      </c>
    </row>
    <row r="1232">
      <c r="A1232" s="4">
        <v>2823133.0</v>
      </c>
      <c r="B1232" s="6">
        <v>45386.0</v>
      </c>
    </row>
    <row r="1233">
      <c r="A1233" s="4">
        <v>2823133.0</v>
      </c>
      <c r="B1233" s="6">
        <v>45387.0</v>
      </c>
    </row>
    <row r="1234">
      <c r="A1234" s="4">
        <v>2823133.0</v>
      </c>
      <c r="B1234" s="6">
        <v>45388.0</v>
      </c>
    </row>
    <row r="1235">
      <c r="A1235" s="4">
        <v>2823133.0</v>
      </c>
      <c r="B1235" s="6">
        <v>45389.0</v>
      </c>
    </row>
    <row r="1236">
      <c r="A1236" s="4">
        <v>2823133.0</v>
      </c>
      <c r="B1236" s="6">
        <v>45466.0</v>
      </c>
    </row>
    <row r="1237">
      <c r="A1237" s="4">
        <v>2823133.0</v>
      </c>
      <c r="B1237" s="6">
        <v>45467.0</v>
      </c>
    </row>
    <row r="1238">
      <c r="A1238" s="4">
        <v>2823133.0</v>
      </c>
      <c r="B1238" s="6">
        <v>45468.0</v>
      </c>
    </row>
    <row r="1239">
      <c r="A1239" s="4">
        <v>2823133.0</v>
      </c>
      <c r="B1239" s="6">
        <v>45469.0</v>
      </c>
    </row>
    <row r="1240">
      <c r="A1240" s="4">
        <v>2823133.0</v>
      </c>
      <c r="B1240" s="6">
        <v>45470.0</v>
      </c>
    </row>
    <row r="1241">
      <c r="A1241" s="4">
        <v>2823133.0</v>
      </c>
      <c r="B1241" s="6">
        <v>45471.0</v>
      </c>
    </row>
    <row r="1242">
      <c r="A1242" s="4">
        <v>2823133.0</v>
      </c>
      <c r="B1242" s="6">
        <v>45472.0</v>
      </c>
    </row>
    <row r="1243">
      <c r="A1243" s="4">
        <v>2823133.0</v>
      </c>
      <c r="B1243" s="6">
        <v>45473.0</v>
      </c>
    </row>
    <row r="1244">
      <c r="A1244" s="4">
        <v>2823133.0</v>
      </c>
      <c r="B1244" s="6">
        <v>45489.0</v>
      </c>
    </row>
    <row r="1245">
      <c r="A1245" s="4">
        <v>2823133.0</v>
      </c>
      <c r="B1245" s="6">
        <v>45490.0</v>
      </c>
    </row>
    <row r="1246">
      <c r="A1246" s="4">
        <v>2823133.0</v>
      </c>
      <c r="B1246" s="6">
        <v>45491.0</v>
      </c>
    </row>
    <row r="1247">
      <c r="A1247" s="4">
        <v>2823133.0</v>
      </c>
      <c r="B1247" s="6">
        <v>45492.0</v>
      </c>
    </row>
    <row r="1248">
      <c r="A1248" s="4">
        <v>2823133.0</v>
      </c>
      <c r="B1248" s="6">
        <v>45493.0</v>
      </c>
    </row>
    <row r="1249">
      <c r="A1249" s="4">
        <v>2823133.0</v>
      </c>
      <c r="B1249" s="6">
        <v>45494.0</v>
      </c>
    </row>
    <row r="1250">
      <c r="A1250" s="4">
        <v>2823133.0</v>
      </c>
      <c r="B1250" s="6">
        <v>45495.0</v>
      </c>
    </row>
    <row r="1251">
      <c r="A1251" s="4">
        <v>2823133.0</v>
      </c>
      <c r="B1251" s="6">
        <v>45496.0</v>
      </c>
    </row>
    <row r="1252">
      <c r="A1252" s="4">
        <v>2823133.0</v>
      </c>
      <c r="B1252" s="6">
        <v>45627.0</v>
      </c>
    </row>
    <row r="1253">
      <c r="A1253" s="4">
        <v>2823133.0</v>
      </c>
      <c r="B1253" s="6">
        <v>45628.0</v>
      </c>
    </row>
    <row r="1254">
      <c r="A1254" s="4">
        <v>2823133.0</v>
      </c>
      <c r="B1254" s="6">
        <v>45629.0</v>
      </c>
    </row>
    <row r="1255">
      <c r="A1255" s="4">
        <v>2823133.0</v>
      </c>
      <c r="B1255" s="6">
        <v>45630.0</v>
      </c>
    </row>
    <row r="1256">
      <c r="A1256" s="4">
        <v>2823133.0</v>
      </c>
      <c r="B1256" s="6">
        <v>45631.0</v>
      </c>
    </row>
    <row r="1257">
      <c r="A1257" s="4">
        <v>2823133.0</v>
      </c>
      <c r="B1257" s="6">
        <v>45632.0</v>
      </c>
    </row>
    <row r="1258">
      <c r="A1258" s="4">
        <v>2823133.0</v>
      </c>
      <c r="B1258" s="6">
        <v>45633.0</v>
      </c>
    </row>
    <row r="1259">
      <c r="A1259" s="4">
        <v>2823133.0</v>
      </c>
      <c r="B1259" s="6">
        <v>45634.0</v>
      </c>
    </row>
    <row r="1260">
      <c r="A1260" s="4">
        <v>2823133.0</v>
      </c>
      <c r="B1260" s="6">
        <v>45635.0</v>
      </c>
    </row>
    <row r="1261">
      <c r="A1261" s="4">
        <v>2823133.0</v>
      </c>
      <c r="B1261" s="6">
        <v>45636.0</v>
      </c>
    </row>
    <row r="1262">
      <c r="A1262" s="4">
        <v>2823133.0</v>
      </c>
      <c r="B1262" s="6">
        <v>45637.0</v>
      </c>
    </row>
    <row r="1263">
      <c r="A1263" s="4">
        <v>2823133.0</v>
      </c>
      <c r="B1263" s="6">
        <v>45638.0</v>
      </c>
    </row>
    <row r="1264">
      <c r="A1264" s="4">
        <v>2823133.0</v>
      </c>
      <c r="B1264" s="6">
        <v>45639.0</v>
      </c>
    </row>
    <row r="1265">
      <c r="A1265" s="4">
        <v>2823133.0</v>
      </c>
      <c r="B1265" s="6">
        <v>45640.0</v>
      </c>
    </row>
    <row r="1266">
      <c r="A1266" s="4">
        <v>2823133.0</v>
      </c>
      <c r="B1266" s="6">
        <v>45641.0</v>
      </c>
    </row>
    <row r="1267">
      <c r="A1267" s="4">
        <v>2823133.0</v>
      </c>
      <c r="B1267" s="6">
        <v>45642.0</v>
      </c>
    </row>
    <row r="1268">
      <c r="A1268" s="4">
        <v>2823133.0</v>
      </c>
      <c r="B1268" s="6">
        <v>45824.0</v>
      </c>
    </row>
    <row r="1269">
      <c r="A1269" s="4">
        <v>2823133.0</v>
      </c>
      <c r="B1269" s="6">
        <v>45825.0</v>
      </c>
    </row>
    <row r="1270">
      <c r="A1270" s="4">
        <v>2823133.0</v>
      </c>
      <c r="B1270" s="6">
        <v>45826.0</v>
      </c>
    </row>
    <row r="1271">
      <c r="A1271" s="4">
        <v>2823133.0</v>
      </c>
      <c r="B1271" s="6">
        <v>45827.0</v>
      </c>
    </row>
    <row r="1272">
      <c r="A1272" s="4">
        <v>2823133.0</v>
      </c>
      <c r="B1272" s="6">
        <v>45828.0</v>
      </c>
    </row>
    <row r="1273">
      <c r="A1273" s="4">
        <v>2823133.0</v>
      </c>
      <c r="B1273" s="6">
        <v>45829.0</v>
      </c>
    </row>
    <row r="1274">
      <c r="A1274" s="4">
        <v>2823133.0</v>
      </c>
      <c r="B1274" s="6">
        <v>45830.0</v>
      </c>
    </row>
    <row r="1275">
      <c r="A1275" s="4">
        <v>2823133.0</v>
      </c>
      <c r="B1275" s="6">
        <v>45831.0</v>
      </c>
    </row>
    <row r="1276">
      <c r="A1276" s="4">
        <v>2823133.0</v>
      </c>
      <c r="B1276" s="6">
        <v>45832.0</v>
      </c>
    </row>
    <row r="1277">
      <c r="A1277" s="4">
        <v>2823133.0</v>
      </c>
      <c r="B1277" s="6">
        <v>45833.0</v>
      </c>
    </row>
    <row r="1278">
      <c r="A1278" s="4">
        <v>2823133.0</v>
      </c>
      <c r="B1278" s="6">
        <v>45834.0</v>
      </c>
    </row>
    <row r="1279">
      <c r="A1279" s="4">
        <v>2823133.0</v>
      </c>
      <c r="B1279" s="6">
        <v>45835.0</v>
      </c>
    </row>
    <row r="1280">
      <c r="A1280" s="4">
        <v>2823133.0</v>
      </c>
      <c r="B1280" s="6">
        <v>45836.0</v>
      </c>
    </row>
    <row r="1281">
      <c r="A1281" s="4">
        <v>2823133.0</v>
      </c>
      <c r="B1281" s="6">
        <v>45837.0</v>
      </c>
    </row>
    <row r="1282">
      <c r="A1282" s="4">
        <v>2823133.0</v>
      </c>
      <c r="B1282" s="6">
        <v>45838.0</v>
      </c>
    </row>
    <row r="1283">
      <c r="A1283" s="4">
        <v>2823133.0</v>
      </c>
      <c r="B1283" s="6">
        <v>45931.0</v>
      </c>
    </row>
    <row r="1284">
      <c r="A1284" s="4">
        <v>2823133.0</v>
      </c>
      <c r="B1284" s="6">
        <v>45932.0</v>
      </c>
    </row>
    <row r="1285">
      <c r="A1285" s="4">
        <v>2823133.0</v>
      </c>
      <c r="B1285" s="6">
        <v>45933.0</v>
      </c>
    </row>
    <row r="1286">
      <c r="A1286" s="4">
        <v>2823133.0</v>
      </c>
      <c r="B1286" s="6">
        <v>45934.0</v>
      </c>
    </row>
    <row r="1287">
      <c r="A1287" s="4">
        <v>2823133.0</v>
      </c>
      <c r="B1287" s="6">
        <v>45935.0</v>
      </c>
    </row>
    <row r="1288">
      <c r="A1288" s="4">
        <v>2823133.0</v>
      </c>
      <c r="B1288" s="6">
        <v>45936.0</v>
      </c>
    </row>
    <row r="1289">
      <c r="A1289" s="4">
        <v>2823133.0</v>
      </c>
      <c r="B1289" s="6">
        <v>45937.0</v>
      </c>
    </row>
    <row r="1290">
      <c r="A1290" s="4">
        <v>2823133.0</v>
      </c>
      <c r="B1290" s="6">
        <v>45938.0</v>
      </c>
    </row>
    <row r="1291">
      <c r="A1291" s="4">
        <v>2823133.0</v>
      </c>
      <c r="B1291" s="6">
        <v>45939.0</v>
      </c>
    </row>
    <row r="1292">
      <c r="A1292" s="4">
        <v>2823133.0</v>
      </c>
      <c r="B1292" s="6">
        <v>45940.0</v>
      </c>
    </row>
    <row r="1293">
      <c r="A1293" s="4">
        <v>2823133.0</v>
      </c>
      <c r="B1293" s="6">
        <v>45941.0</v>
      </c>
    </row>
    <row r="1294">
      <c r="A1294" s="4">
        <v>2823133.0</v>
      </c>
      <c r="B1294" s="6">
        <v>45942.0</v>
      </c>
    </row>
    <row r="1295">
      <c r="A1295" s="4">
        <v>2823133.0</v>
      </c>
      <c r="B1295" s="6">
        <v>45943.0</v>
      </c>
    </row>
    <row r="1296">
      <c r="A1296" s="4">
        <v>2823133.0</v>
      </c>
      <c r="B1296" s="6">
        <v>45944.0</v>
      </c>
    </row>
    <row r="1297">
      <c r="A1297" s="4">
        <v>2823133.0</v>
      </c>
      <c r="B1297" s="6">
        <v>45945.0</v>
      </c>
    </row>
    <row r="1298">
      <c r="A1298" s="4">
        <v>2823133.0</v>
      </c>
      <c r="B1298" s="6">
        <v>46007.0</v>
      </c>
    </row>
    <row r="1299">
      <c r="A1299" s="4">
        <v>2823133.0</v>
      </c>
      <c r="B1299" s="6">
        <v>46008.0</v>
      </c>
    </row>
    <row r="1300">
      <c r="A1300" s="4">
        <v>2823133.0</v>
      </c>
      <c r="B1300" s="6">
        <v>46009.0</v>
      </c>
    </row>
    <row r="1301">
      <c r="A1301" s="4">
        <v>2823133.0</v>
      </c>
      <c r="B1301" s="6">
        <v>46010.0</v>
      </c>
    </row>
    <row r="1302">
      <c r="A1302" s="4">
        <v>2823133.0</v>
      </c>
      <c r="B1302" s="6">
        <v>46011.0</v>
      </c>
    </row>
    <row r="1303">
      <c r="A1303" s="4">
        <v>2823133.0</v>
      </c>
      <c r="B1303" s="6">
        <v>46012.0</v>
      </c>
    </row>
    <row r="1304">
      <c r="A1304" s="4">
        <v>2823133.0</v>
      </c>
      <c r="B1304" s="6">
        <v>46013.0</v>
      </c>
    </row>
    <row r="1305">
      <c r="A1305" s="4">
        <v>2823133.0</v>
      </c>
      <c r="B1305" s="6">
        <v>46014.0</v>
      </c>
    </row>
    <row r="1306">
      <c r="A1306" s="4">
        <v>2823133.0</v>
      </c>
      <c r="B1306" s="6">
        <v>46015.0</v>
      </c>
    </row>
    <row r="1307">
      <c r="A1307" s="4">
        <v>2823133.0</v>
      </c>
      <c r="B1307" s="6">
        <v>46016.0</v>
      </c>
    </row>
    <row r="1308">
      <c r="A1308" s="4">
        <v>2823133.0</v>
      </c>
      <c r="B1308" s="6">
        <v>46189.0</v>
      </c>
    </row>
    <row r="1309">
      <c r="A1309" s="4">
        <v>2823133.0</v>
      </c>
      <c r="B1309" s="6">
        <v>46190.0</v>
      </c>
    </row>
    <row r="1310">
      <c r="A1310" s="4">
        <v>2823133.0</v>
      </c>
      <c r="B1310" s="6">
        <v>46191.0</v>
      </c>
    </row>
    <row r="1311">
      <c r="A1311" s="4">
        <v>2823133.0</v>
      </c>
      <c r="B1311" s="6">
        <v>46192.0</v>
      </c>
    </row>
    <row r="1312">
      <c r="A1312" s="4">
        <v>2823133.0</v>
      </c>
      <c r="B1312" s="6">
        <v>46193.0</v>
      </c>
    </row>
    <row r="1313">
      <c r="A1313" s="4">
        <v>2823133.0</v>
      </c>
      <c r="B1313" s="6">
        <v>46194.0</v>
      </c>
    </row>
    <row r="1314">
      <c r="A1314" s="4">
        <v>2823133.0</v>
      </c>
      <c r="B1314" s="6">
        <v>46195.0</v>
      </c>
    </row>
    <row r="1315">
      <c r="A1315" s="4">
        <v>2823133.0</v>
      </c>
      <c r="B1315" s="6">
        <v>46196.0</v>
      </c>
    </row>
    <row r="1316">
      <c r="A1316" s="4">
        <v>2823133.0</v>
      </c>
      <c r="B1316" s="6">
        <v>46197.0</v>
      </c>
    </row>
    <row r="1317">
      <c r="A1317" s="4">
        <v>2823133.0</v>
      </c>
      <c r="B1317" s="6">
        <v>46198.0</v>
      </c>
    </row>
    <row r="1318">
      <c r="A1318" s="4">
        <v>2823133.0</v>
      </c>
      <c r="B1318" s="6">
        <v>46199.0</v>
      </c>
    </row>
    <row r="1319">
      <c r="A1319" s="4">
        <v>2823133.0</v>
      </c>
      <c r="B1319" s="6">
        <v>46200.0</v>
      </c>
    </row>
    <row r="1320">
      <c r="A1320" s="4">
        <v>2823133.0</v>
      </c>
      <c r="B1320" s="6">
        <v>46201.0</v>
      </c>
    </row>
    <row r="1321">
      <c r="A1321" s="4">
        <v>2823133.0</v>
      </c>
      <c r="B1321" s="6">
        <v>46202.0</v>
      </c>
    </row>
    <row r="1322">
      <c r="A1322" s="4">
        <v>2823133.0</v>
      </c>
      <c r="B1322" s="6">
        <v>46203.0</v>
      </c>
    </row>
    <row r="1323">
      <c r="A1323" s="4">
        <v>2823133.0</v>
      </c>
      <c r="B1323" s="6">
        <v>46204.0</v>
      </c>
    </row>
    <row r="1324">
      <c r="A1324" s="4">
        <v>2823133.0</v>
      </c>
      <c r="B1324" s="6">
        <v>46205.0</v>
      </c>
    </row>
    <row r="1325">
      <c r="A1325" s="4">
        <v>2823133.0</v>
      </c>
      <c r="B1325" s="6">
        <v>46206.0</v>
      </c>
    </row>
    <row r="1326">
      <c r="A1326" s="4">
        <v>2823133.0</v>
      </c>
      <c r="B1326" s="6">
        <v>46207.0</v>
      </c>
    </row>
    <row r="1327">
      <c r="A1327" s="4">
        <v>2823133.0</v>
      </c>
      <c r="B1327" s="6">
        <v>46208.0</v>
      </c>
    </row>
    <row r="1328">
      <c r="A1328" s="4">
        <v>2823133.0</v>
      </c>
      <c r="B1328" s="6">
        <v>46209.0</v>
      </c>
    </row>
    <row r="1329">
      <c r="A1329" s="4">
        <v>2823133.0</v>
      </c>
      <c r="B1329" s="6">
        <v>46210.0</v>
      </c>
    </row>
    <row r="1330">
      <c r="A1330" s="4">
        <v>2823133.0</v>
      </c>
      <c r="B1330" s="6">
        <v>46211.0</v>
      </c>
    </row>
    <row r="1331">
      <c r="A1331" s="4">
        <v>2823133.0</v>
      </c>
      <c r="B1331" s="6">
        <v>46212.0</v>
      </c>
    </row>
    <row r="1332">
      <c r="A1332" s="4">
        <v>2823133.0</v>
      </c>
      <c r="B1332" s="6">
        <v>46213.0</v>
      </c>
    </row>
    <row r="1333">
      <c r="A1333" s="4">
        <v>2823133.0</v>
      </c>
      <c r="B1333" s="6">
        <v>46214.0</v>
      </c>
    </row>
    <row r="1334">
      <c r="A1334" s="4">
        <v>2823133.0</v>
      </c>
      <c r="B1334" s="6">
        <v>46215.0</v>
      </c>
    </row>
    <row r="1335">
      <c r="A1335" s="4">
        <v>2823133.0</v>
      </c>
      <c r="B1335" s="6">
        <v>46216.0</v>
      </c>
    </row>
    <row r="1336">
      <c r="A1336" s="4">
        <v>2823133.0</v>
      </c>
      <c r="B1336" s="6">
        <v>46217.0</v>
      </c>
    </row>
    <row r="1337">
      <c r="A1337" s="4">
        <v>2823133.0</v>
      </c>
      <c r="B1337" s="6">
        <v>46218.0</v>
      </c>
    </row>
    <row r="1338">
      <c r="A1338" s="4">
        <v>2843319.0</v>
      </c>
      <c r="B1338" s="6">
        <v>45323.0</v>
      </c>
    </row>
    <row r="1339">
      <c r="A1339" s="4">
        <v>2843319.0</v>
      </c>
      <c r="B1339" s="6">
        <v>45324.0</v>
      </c>
    </row>
    <row r="1340">
      <c r="A1340" s="4">
        <v>2843319.0</v>
      </c>
      <c r="B1340" s="6">
        <v>45325.0</v>
      </c>
    </row>
    <row r="1341">
      <c r="A1341" s="4">
        <v>2843319.0</v>
      </c>
      <c r="B1341" s="6">
        <v>45326.0</v>
      </c>
    </row>
    <row r="1342">
      <c r="A1342" s="4">
        <v>2843319.0</v>
      </c>
      <c r="B1342" s="6">
        <v>45327.0</v>
      </c>
    </row>
    <row r="1343">
      <c r="A1343" s="4">
        <v>2843319.0</v>
      </c>
      <c r="B1343" s="6">
        <v>45328.0</v>
      </c>
    </row>
    <row r="1344">
      <c r="A1344" s="4">
        <v>2843319.0</v>
      </c>
      <c r="B1344" s="6">
        <v>45329.0</v>
      </c>
    </row>
    <row r="1345">
      <c r="A1345" s="4">
        <v>2843319.0</v>
      </c>
      <c r="B1345" s="6">
        <v>45330.0</v>
      </c>
    </row>
    <row r="1346">
      <c r="A1346" s="4">
        <v>2843319.0</v>
      </c>
      <c r="B1346" s="6">
        <v>45331.0</v>
      </c>
    </row>
    <row r="1347">
      <c r="A1347" s="4">
        <v>2843319.0</v>
      </c>
      <c r="B1347" s="6">
        <v>45332.0</v>
      </c>
    </row>
    <row r="1348">
      <c r="A1348" s="4">
        <v>2843319.0</v>
      </c>
      <c r="B1348" s="6">
        <v>45333.0</v>
      </c>
    </row>
    <row r="1349">
      <c r="A1349" s="4">
        <v>2843319.0</v>
      </c>
      <c r="B1349" s="6">
        <v>45334.0</v>
      </c>
    </row>
    <row r="1350">
      <c r="A1350" s="4">
        <v>2843319.0</v>
      </c>
      <c r="B1350" s="6">
        <v>45335.0</v>
      </c>
    </row>
    <row r="1351">
      <c r="A1351" s="4">
        <v>2843319.0</v>
      </c>
      <c r="B1351" s="6">
        <v>45336.0</v>
      </c>
    </row>
    <row r="1352">
      <c r="A1352" s="4">
        <v>2843319.0</v>
      </c>
      <c r="B1352" s="6">
        <v>45337.0</v>
      </c>
    </row>
    <row r="1353">
      <c r="A1353" s="4">
        <v>2843319.0</v>
      </c>
      <c r="B1353" s="6">
        <v>45445.0</v>
      </c>
    </row>
    <row r="1354">
      <c r="A1354" s="4">
        <v>2843319.0</v>
      </c>
      <c r="B1354" s="6">
        <v>45446.0</v>
      </c>
    </row>
    <row r="1355">
      <c r="A1355" s="4">
        <v>2843319.0</v>
      </c>
      <c r="B1355" s="6">
        <v>45447.0</v>
      </c>
    </row>
    <row r="1356">
      <c r="A1356" s="4">
        <v>2843319.0</v>
      </c>
      <c r="B1356" s="6">
        <v>45448.0</v>
      </c>
    </row>
    <row r="1357">
      <c r="A1357" s="4">
        <v>2843319.0</v>
      </c>
      <c r="B1357" s="6">
        <v>45449.0</v>
      </c>
    </row>
    <row r="1358">
      <c r="A1358" s="4">
        <v>2843319.0</v>
      </c>
      <c r="B1358" s="6">
        <v>45450.0</v>
      </c>
    </row>
    <row r="1359">
      <c r="A1359" s="4">
        <v>2843319.0</v>
      </c>
      <c r="B1359" s="6">
        <v>45451.0</v>
      </c>
    </row>
    <row r="1360">
      <c r="A1360" s="4">
        <v>2843319.0</v>
      </c>
      <c r="B1360" s="6">
        <v>45452.0</v>
      </c>
    </row>
    <row r="1361">
      <c r="A1361" s="4">
        <v>2843319.0</v>
      </c>
      <c r="B1361" s="6">
        <v>45453.0</v>
      </c>
    </row>
    <row r="1362">
      <c r="A1362" s="4">
        <v>2843319.0</v>
      </c>
      <c r="B1362" s="6">
        <v>45489.0</v>
      </c>
    </row>
    <row r="1363">
      <c r="A1363" s="4">
        <v>2843319.0</v>
      </c>
      <c r="B1363" s="6">
        <v>45490.0</v>
      </c>
    </row>
    <row r="1364">
      <c r="A1364" s="4">
        <v>2843319.0</v>
      </c>
      <c r="B1364" s="6">
        <v>45491.0</v>
      </c>
    </row>
    <row r="1365">
      <c r="A1365" s="4">
        <v>2843319.0</v>
      </c>
      <c r="B1365" s="6">
        <v>45492.0</v>
      </c>
    </row>
    <row r="1366">
      <c r="A1366" s="4">
        <v>2843319.0</v>
      </c>
      <c r="B1366" s="6">
        <v>45493.0</v>
      </c>
    </row>
    <row r="1367">
      <c r="A1367" s="4">
        <v>2843319.0</v>
      </c>
      <c r="B1367" s="6">
        <v>45494.0</v>
      </c>
    </row>
    <row r="1368">
      <c r="A1368" s="4">
        <v>2843319.0</v>
      </c>
      <c r="B1368" s="6">
        <v>45495.0</v>
      </c>
    </row>
    <row r="1369">
      <c r="A1369" s="4">
        <v>2843319.0</v>
      </c>
      <c r="B1369" s="6">
        <v>45496.0</v>
      </c>
    </row>
    <row r="1370">
      <c r="A1370" s="4">
        <v>2843319.0</v>
      </c>
      <c r="B1370" s="6">
        <v>45497.0</v>
      </c>
    </row>
    <row r="1371">
      <c r="A1371" s="4">
        <v>2843319.0</v>
      </c>
      <c r="B1371" s="6">
        <v>45566.0</v>
      </c>
    </row>
    <row r="1372">
      <c r="A1372" s="4">
        <v>2843319.0</v>
      </c>
      <c r="B1372" s="6">
        <v>45567.0</v>
      </c>
    </row>
    <row r="1373">
      <c r="A1373" s="4">
        <v>2843319.0</v>
      </c>
      <c r="B1373" s="6">
        <v>45568.0</v>
      </c>
    </row>
    <row r="1374">
      <c r="A1374" s="4">
        <v>2843319.0</v>
      </c>
      <c r="B1374" s="6">
        <v>45569.0</v>
      </c>
    </row>
    <row r="1375">
      <c r="A1375" s="4">
        <v>2843319.0</v>
      </c>
      <c r="B1375" s="6">
        <v>45570.0</v>
      </c>
    </row>
    <row r="1376">
      <c r="A1376" s="4">
        <v>2843319.0</v>
      </c>
      <c r="B1376" s="6">
        <v>45571.0</v>
      </c>
    </row>
    <row r="1377">
      <c r="A1377" s="4">
        <v>2843319.0</v>
      </c>
      <c r="B1377" s="6">
        <v>45572.0</v>
      </c>
    </row>
    <row r="1378">
      <c r="A1378" s="4">
        <v>2843319.0</v>
      </c>
      <c r="B1378" s="6">
        <v>45573.0</v>
      </c>
    </row>
    <row r="1379">
      <c r="A1379" s="4">
        <v>2843319.0</v>
      </c>
      <c r="B1379" s="6">
        <v>45574.0</v>
      </c>
    </row>
    <row r="1380">
      <c r="A1380" s="4">
        <v>2843319.0</v>
      </c>
      <c r="B1380" s="6">
        <v>45575.0</v>
      </c>
    </row>
    <row r="1381">
      <c r="A1381" s="4">
        <v>2843319.0</v>
      </c>
      <c r="B1381" s="6">
        <v>45576.0</v>
      </c>
    </row>
    <row r="1382">
      <c r="A1382" s="4">
        <v>2843319.0</v>
      </c>
      <c r="B1382" s="6">
        <v>45577.0</v>
      </c>
    </row>
    <row r="1383">
      <c r="A1383" s="4">
        <v>2843319.0</v>
      </c>
      <c r="B1383" s="6">
        <v>45578.0</v>
      </c>
    </row>
    <row r="1384">
      <c r="A1384" s="4">
        <v>2843319.0</v>
      </c>
      <c r="B1384" s="6">
        <v>45579.0</v>
      </c>
    </row>
    <row r="1385">
      <c r="A1385" s="4">
        <v>2843319.0</v>
      </c>
      <c r="B1385" s="6">
        <v>45580.0</v>
      </c>
    </row>
    <row r="1386">
      <c r="A1386" s="4">
        <v>2843319.0</v>
      </c>
      <c r="B1386" s="6">
        <v>45689.0</v>
      </c>
    </row>
    <row r="1387">
      <c r="A1387" s="4">
        <v>2843319.0</v>
      </c>
      <c r="B1387" s="6">
        <v>45690.0</v>
      </c>
    </row>
    <row r="1388">
      <c r="A1388" s="4">
        <v>2843319.0</v>
      </c>
      <c r="B1388" s="6">
        <v>45691.0</v>
      </c>
    </row>
    <row r="1389">
      <c r="A1389" s="4">
        <v>2843319.0</v>
      </c>
      <c r="B1389" s="6">
        <v>45692.0</v>
      </c>
    </row>
    <row r="1390">
      <c r="A1390" s="4">
        <v>2843319.0</v>
      </c>
      <c r="B1390" s="6">
        <v>45693.0</v>
      </c>
    </row>
    <row r="1391">
      <c r="A1391" s="4">
        <v>2843319.0</v>
      </c>
      <c r="B1391" s="6">
        <v>45694.0</v>
      </c>
    </row>
    <row r="1392">
      <c r="A1392" s="4">
        <v>2843319.0</v>
      </c>
      <c r="B1392" s="6">
        <v>45695.0</v>
      </c>
    </row>
    <row r="1393">
      <c r="A1393" s="4">
        <v>2843319.0</v>
      </c>
      <c r="B1393" s="6">
        <v>45696.0</v>
      </c>
    </row>
    <row r="1394">
      <c r="A1394" s="4">
        <v>2843319.0</v>
      </c>
      <c r="B1394" s="6">
        <v>45697.0</v>
      </c>
    </row>
    <row r="1395">
      <c r="A1395" s="4">
        <v>2843319.0</v>
      </c>
      <c r="B1395" s="6">
        <v>45698.0</v>
      </c>
    </row>
    <row r="1396">
      <c r="A1396" s="4">
        <v>2843319.0</v>
      </c>
      <c r="B1396" s="6">
        <v>45699.0</v>
      </c>
    </row>
    <row r="1397">
      <c r="A1397" s="4">
        <v>2843319.0</v>
      </c>
      <c r="B1397" s="6">
        <v>45700.0</v>
      </c>
    </row>
    <row r="1398">
      <c r="A1398" s="4">
        <v>2843319.0</v>
      </c>
      <c r="B1398" s="6">
        <v>45701.0</v>
      </c>
    </row>
    <row r="1399">
      <c r="A1399" s="4">
        <v>2843319.0</v>
      </c>
      <c r="B1399" s="6">
        <v>45702.0</v>
      </c>
    </row>
    <row r="1400">
      <c r="A1400" s="4">
        <v>2843319.0</v>
      </c>
      <c r="B1400" s="6">
        <v>45786.0</v>
      </c>
    </row>
    <row r="1401">
      <c r="A1401" s="4">
        <v>2843319.0</v>
      </c>
      <c r="B1401" s="6">
        <v>45787.0</v>
      </c>
    </row>
    <row r="1402">
      <c r="A1402" s="4">
        <v>2843319.0</v>
      </c>
      <c r="B1402" s="6">
        <v>45788.0</v>
      </c>
    </row>
    <row r="1403">
      <c r="A1403" s="4">
        <v>2843319.0</v>
      </c>
      <c r="B1403" s="6">
        <v>45789.0</v>
      </c>
    </row>
    <row r="1404">
      <c r="A1404" s="4">
        <v>2843319.0</v>
      </c>
      <c r="B1404" s="6">
        <v>45790.0</v>
      </c>
    </row>
    <row r="1405">
      <c r="A1405" s="4">
        <v>2843319.0</v>
      </c>
      <c r="B1405" s="6">
        <v>45791.0</v>
      </c>
    </row>
    <row r="1406">
      <c r="A1406" s="4">
        <v>2843319.0</v>
      </c>
      <c r="B1406" s="6">
        <v>45792.0</v>
      </c>
    </row>
    <row r="1407">
      <c r="A1407" s="4">
        <v>2843319.0</v>
      </c>
      <c r="B1407" s="6">
        <v>45793.0</v>
      </c>
    </row>
    <row r="1408">
      <c r="A1408" s="4">
        <v>2843319.0</v>
      </c>
      <c r="B1408" s="6">
        <v>45794.0</v>
      </c>
    </row>
    <row r="1409">
      <c r="A1409" s="4">
        <v>2843319.0</v>
      </c>
      <c r="B1409" s="6">
        <v>45795.0</v>
      </c>
    </row>
    <row r="1410">
      <c r="A1410" s="4">
        <v>2843319.0</v>
      </c>
      <c r="B1410" s="6">
        <v>45796.0</v>
      </c>
    </row>
    <row r="1411">
      <c r="A1411" s="4">
        <v>2843319.0</v>
      </c>
      <c r="B1411" s="6">
        <v>45797.0</v>
      </c>
    </row>
    <row r="1412">
      <c r="A1412" s="4">
        <v>2843319.0</v>
      </c>
      <c r="B1412" s="6">
        <v>45938.0</v>
      </c>
    </row>
    <row r="1413">
      <c r="A1413" s="4">
        <v>2843319.0</v>
      </c>
      <c r="B1413" s="6">
        <v>45939.0</v>
      </c>
    </row>
    <row r="1414">
      <c r="A1414" s="4">
        <v>2843319.0</v>
      </c>
      <c r="B1414" s="6">
        <v>45940.0</v>
      </c>
    </row>
    <row r="1415">
      <c r="A1415" s="4">
        <v>2843319.0</v>
      </c>
      <c r="B1415" s="6">
        <v>45941.0</v>
      </c>
    </row>
    <row r="1416">
      <c r="A1416" s="4">
        <v>2843319.0</v>
      </c>
      <c r="B1416" s="6">
        <v>45942.0</v>
      </c>
    </row>
    <row r="1417">
      <c r="A1417" s="4">
        <v>2843319.0</v>
      </c>
      <c r="B1417" s="6">
        <v>45943.0</v>
      </c>
    </row>
    <row r="1418">
      <c r="A1418" s="4">
        <v>2843319.0</v>
      </c>
      <c r="B1418" s="6">
        <v>45944.0</v>
      </c>
    </row>
    <row r="1419">
      <c r="A1419" s="4">
        <v>2843319.0</v>
      </c>
      <c r="B1419" s="6">
        <v>45945.0</v>
      </c>
    </row>
    <row r="1420">
      <c r="A1420" s="4">
        <v>2843319.0</v>
      </c>
      <c r="B1420" s="6">
        <v>45946.0</v>
      </c>
    </row>
    <row r="1421">
      <c r="A1421" s="4">
        <v>2843319.0</v>
      </c>
      <c r="B1421" s="6">
        <v>45947.0</v>
      </c>
    </row>
    <row r="1422">
      <c r="A1422" s="4">
        <v>2843319.0</v>
      </c>
      <c r="B1422" s="6">
        <v>45948.0</v>
      </c>
    </row>
    <row r="1423">
      <c r="A1423" s="4">
        <v>2843319.0</v>
      </c>
      <c r="B1423" s="6">
        <v>45949.0</v>
      </c>
    </row>
    <row r="1424">
      <c r="A1424" s="4">
        <v>2843319.0</v>
      </c>
      <c r="B1424" s="6">
        <v>45950.0</v>
      </c>
    </row>
    <row r="1425">
      <c r="A1425" s="4">
        <v>2843319.0</v>
      </c>
      <c r="B1425" s="6">
        <v>45951.0</v>
      </c>
    </row>
    <row r="1426">
      <c r="A1426" s="4">
        <v>2843319.0</v>
      </c>
      <c r="B1426" s="6">
        <v>45952.0</v>
      </c>
    </row>
    <row r="1427">
      <c r="A1427" s="4">
        <v>2843319.0</v>
      </c>
      <c r="B1427" s="6">
        <v>45953.0</v>
      </c>
    </row>
    <row r="1428">
      <c r="A1428" s="4">
        <v>2843319.0</v>
      </c>
      <c r="B1428" s="6">
        <v>46038.0</v>
      </c>
    </row>
    <row r="1429">
      <c r="A1429" s="4">
        <v>2843319.0</v>
      </c>
      <c r="B1429" s="6">
        <v>46039.0</v>
      </c>
    </row>
    <row r="1430">
      <c r="A1430" s="4">
        <v>2843319.0</v>
      </c>
      <c r="B1430" s="6">
        <v>46040.0</v>
      </c>
    </row>
    <row r="1431">
      <c r="A1431" s="4">
        <v>2843319.0</v>
      </c>
      <c r="B1431" s="6">
        <v>46041.0</v>
      </c>
    </row>
    <row r="1432">
      <c r="A1432" s="4">
        <v>2843319.0</v>
      </c>
      <c r="B1432" s="6">
        <v>46042.0</v>
      </c>
    </row>
    <row r="1433">
      <c r="A1433" s="4">
        <v>2843319.0</v>
      </c>
      <c r="B1433" s="6">
        <v>46043.0</v>
      </c>
    </row>
    <row r="1434">
      <c r="A1434" s="4">
        <v>2843319.0</v>
      </c>
      <c r="B1434" s="6">
        <v>46044.0</v>
      </c>
    </row>
    <row r="1435">
      <c r="A1435" s="4">
        <v>2843319.0</v>
      </c>
      <c r="B1435" s="6">
        <v>46045.0</v>
      </c>
    </row>
    <row r="1436">
      <c r="A1436" s="4">
        <v>2843319.0</v>
      </c>
      <c r="B1436" s="6">
        <v>46046.0</v>
      </c>
    </row>
    <row r="1437">
      <c r="A1437" s="4">
        <v>2843319.0</v>
      </c>
      <c r="B1437" s="6">
        <v>46047.0</v>
      </c>
    </row>
    <row r="1438">
      <c r="A1438" s="4">
        <v>2843319.0</v>
      </c>
      <c r="B1438" s="6">
        <v>46048.0</v>
      </c>
    </row>
    <row r="1439">
      <c r="A1439" s="4">
        <v>2843319.0</v>
      </c>
      <c r="B1439" s="6">
        <v>46049.0</v>
      </c>
    </row>
    <row r="1440">
      <c r="A1440" s="4">
        <v>2843319.0</v>
      </c>
      <c r="B1440" s="6">
        <v>46050.0</v>
      </c>
    </row>
    <row r="1441">
      <c r="A1441" s="4">
        <v>2843319.0</v>
      </c>
      <c r="B1441" s="6">
        <v>46051.0</v>
      </c>
    </row>
    <row r="1442">
      <c r="A1442" s="4">
        <v>2843319.0</v>
      </c>
      <c r="B1442" s="6">
        <v>46223.0</v>
      </c>
    </row>
    <row r="1443">
      <c r="A1443" s="4">
        <v>2843319.0</v>
      </c>
      <c r="B1443" s="6">
        <v>46224.0</v>
      </c>
    </row>
    <row r="1444">
      <c r="A1444" s="4">
        <v>2843319.0</v>
      </c>
      <c r="B1444" s="6">
        <v>46225.0</v>
      </c>
    </row>
    <row r="1445">
      <c r="A1445" s="4">
        <v>2843319.0</v>
      </c>
      <c r="B1445" s="6">
        <v>46226.0</v>
      </c>
    </row>
    <row r="1446">
      <c r="A1446" s="4">
        <v>2843319.0</v>
      </c>
      <c r="B1446" s="6">
        <v>46227.0</v>
      </c>
    </row>
    <row r="1447">
      <c r="A1447" s="4">
        <v>2843319.0</v>
      </c>
      <c r="B1447" s="6">
        <v>46228.0</v>
      </c>
    </row>
    <row r="1448">
      <c r="A1448" s="4">
        <v>2843319.0</v>
      </c>
      <c r="B1448" s="6">
        <v>46229.0</v>
      </c>
    </row>
    <row r="1449">
      <c r="A1449" s="4">
        <v>2843319.0</v>
      </c>
      <c r="B1449" s="6">
        <v>46230.0</v>
      </c>
    </row>
    <row r="1450">
      <c r="A1450" s="4">
        <v>2843319.0</v>
      </c>
      <c r="B1450" s="6">
        <v>46231.0</v>
      </c>
    </row>
    <row r="1451">
      <c r="A1451" s="4">
        <v>2843319.0</v>
      </c>
      <c r="B1451" s="6">
        <v>46232.0</v>
      </c>
    </row>
    <row r="1452">
      <c r="A1452" s="4">
        <v>2843319.0</v>
      </c>
      <c r="B1452" s="6">
        <v>46233.0</v>
      </c>
    </row>
    <row r="1453">
      <c r="A1453" s="4">
        <v>2843319.0</v>
      </c>
      <c r="B1453" s="6">
        <v>46234.0</v>
      </c>
    </row>
    <row r="1454">
      <c r="A1454" s="4">
        <v>2843319.0</v>
      </c>
      <c r="B1454" s="6">
        <v>46303.0</v>
      </c>
    </row>
    <row r="1455">
      <c r="A1455" s="4">
        <v>2843319.0</v>
      </c>
      <c r="B1455" s="6">
        <v>46304.0</v>
      </c>
    </row>
    <row r="1456">
      <c r="A1456" s="4">
        <v>2843319.0</v>
      </c>
      <c r="B1456" s="6">
        <v>46305.0</v>
      </c>
    </row>
    <row r="1457">
      <c r="A1457" s="4">
        <v>2843319.0</v>
      </c>
      <c r="B1457" s="6">
        <v>46306.0</v>
      </c>
    </row>
    <row r="1458">
      <c r="A1458" s="4">
        <v>2843319.0</v>
      </c>
      <c r="B1458" s="6">
        <v>46307.0</v>
      </c>
    </row>
    <row r="1459">
      <c r="A1459" s="4">
        <v>2843319.0</v>
      </c>
      <c r="B1459" s="6">
        <v>46308.0</v>
      </c>
    </row>
    <row r="1460">
      <c r="A1460" s="4">
        <v>2843319.0</v>
      </c>
      <c r="B1460" s="6">
        <v>46309.0</v>
      </c>
    </row>
    <row r="1461">
      <c r="A1461" s="4">
        <v>2843319.0</v>
      </c>
      <c r="B1461" s="6">
        <v>46310.0</v>
      </c>
    </row>
    <row r="1462">
      <c r="A1462" s="4">
        <v>2843319.0</v>
      </c>
      <c r="B1462" s="6">
        <v>46311.0</v>
      </c>
    </row>
    <row r="1463">
      <c r="A1463" s="4">
        <v>2843319.0</v>
      </c>
      <c r="B1463" s="6">
        <v>46312.0</v>
      </c>
    </row>
    <row r="1464">
      <c r="A1464" s="4">
        <v>2843319.0</v>
      </c>
      <c r="B1464" s="6">
        <v>46313.0</v>
      </c>
    </row>
    <row r="1465">
      <c r="A1465" s="4">
        <v>2843319.0</v>
      </c>
      <c r="B1465" s="6">
        <v>46314.0</v>
      </c>
    </row>
    <row r="1466">
      <c r="A1466" s="4">
        <v>2843319.0</v>
      </c>
      <c r="B1466" s="6">
        <v>46315.0</v>
      </c>
    </row>
    <row r="1467">
      <c r="A1467" s="4">
        <v>2843319.0</v>
      </c>
      <c r="B1467" s="6">
        <v>46316.0</v>
      </c>
    </row>
    <row r="1468">
      <c r="A1468" s="4">
        <v>2843319.0</v>
      </c>
      <c r="B1468" s="6">
        <v>46317.0</v>
      </c>
    </row>
    <row r="1469">
      <c r="A1469" s="4">
        <v>2843319.0</v>
      </c>
      <c r="B1469" s="6">
        <v>46318.0</v>
      </c>
    </row>
    <row r="1470">
      <c r="A1470" s="4">
        <v>3134911.0</v>
      </c>
      <c r="B1470" s="6">
        <v>45451.0</v>
      </c>
    </row>
    <row r="1471">
      <c r="A1471" s="4">
        <v>3134911.0</v>
      </c>
      <c r="B1471" s="6">
        <v>45452.0</v>
      </c>
    </row>
    <row r="1472">
      <c r="A1472" s="4">
        <v>3134911.0</v>
      </c>
      <c r="B1472" s="6">
        <v>45453.0</v>
      </c>
    </row>
    <row r="1473">
      <c r="A1473" s="4">
        <v>3134911.0</v>
      </c>
      <c r="B1473" s="6">
        <v>45454.0</v>
      </c>
    </row>
    <row r="1474">
      <c r="A1474" s="4">
        <v>3134911.0</v>
      </c>
      <c r="B1474" s="6">
        <v>45455.0</v>
      </c>
    </row>
    <row r="1475">
      <c r="A1475" s="4">
        <v>3134911.0</v>
      </c>
      <c r="B1475" s="6">
        <v>45456.0</v>
      </c>
    </row>
    <row r="1476">
      <c r="A1476" s="4">
        <v>3134911.0</v>
      </c>
      <c r="B1476" s="6">
        <v>45457.0</v>
      </c>
    </row>
    <row r="1477">
      <c r="A1477" s="4">
        <v>3134911.0</v>
      </c>
      <c r="B1477" s="6">
        <v>45458.0</v>
      </c>
    </row>
    <row r="1478">
      <c r="A1478" s="4">
        <v>3134911.0</v>
      </c>
      <c r="B1478" s="6">
        <v>45459.0</v>
      </c>
    </row>
    <row r="1479">
      <c r="A1479" s="4">
        <v>3134911.0</v>
      </c>
      <c r="B1479" s="6">
        <v>45460.0</v>
      </c>
    </row>
    <row r="1480">
      <c r="A1480" s="4">
        <v>3134911.0</v>
      </c>
      <c r="B1480" s="6">
        <v>45461.0</v>
      </c>
    </row>
    <row r="1481">
      <c r="A1481" s="4">
        <v>3134911.0</v>
      </c>
      <c r="B1481" s="6">
        <v>45462.0</v>
      </c>
    </row>
    <row r="1482">
      <c r="A1482" s="4">
        <v>3134911.0</v>
      </c>
      <c r="B1482" s="6">
        <v>45463.0</v>
      </c>
    </row>
    <row r="1483">
      <c r="A1483" s="4">
        <v>3134911.0</v>
      </c>
      <c r="B1483" s="6">
        <v>45464.0</v>
      </c>
    </row>
    <row r="1484">
      <c r="A1484" s="4">
        <v>3134911.0</v>
      </c>
      <c r="B1484" s="6">
        <v>45465.0</v>
      </c>
    </row>
    <row r="1485">
      <c r="A1485" s="4">
        <v>3134911.0</v>
      </c>
      <c r="B1485" s="6">
        <v>45466.0</v>
      </c>
    </row>
    <row r="1486">
      <c r="A1486" s="4">
        <v>3134911.0</v>
      </c>
      <c r="B1486" s="6">
        <v>45467.0</v>
      </c>
    </row>
    <row r="1487">
      <c r="A1487" s="4">
        <v>3134911.0</v>
      </c>
      <c r="B1487" s="6">
        <v>45468.0</v>
      </c>
    </row>
    <row r="1488">
      <c r="A1488" s="4">
        <v>3134911.0</v>
      </c>
      <c r="B1488" s="6">
        <v>45469.0</v>
      </c>
    </row>
    <row r="1489">
      <c r="A1489" s="4">
        <v>3134911.0</v>
      </c>
      <c r="B1489" s="6">
        <v>45470.0</v>
      </c>
    </row>
    <row r="1490">
      <c r="A1490" s="4">
        <v>3134911.0</v>
      </c>
      <c r="B1490" s="6">
        <v>45471.0</v>
      </c>
    </row>
    <row r="1491">
      <c r="A1491" s="4">
        <v>3134911.0</v>
      </c>
      <c r="B1491" s="6">
        <v>45472.0</v>
      </c>
    </row>
    <row r="1492">
      <c r="A1492" s="4">
        <v>3134911.0</v>
      </c>
      <c r="B1492" s="6">
        <v>45473.0</v>
      </c>
    </row>
    <row r="1493">
      <c r="A1493" s="4">
        <v>3134911.0</v>
      </c>
      <c r="B1493" s="6">
        <v>45573.0</v>
      </c>
    </row>
    <row r="1494">
      <c r="A1494" s="4">
        <v>3134911.0</v>
      </c>
      <c r="B1494" s="6">
        <v>45574.0</v>
      </c>
    </row>
    <row r="1495">
      <c r="A1495" s="4">
        <v>3134911.0</v>
      </c>
      <c r="B1495" s="6">
        <v>45575.0</v>
      </c>
    </row>
    <row r="1496">
      <c r="A1496" s="4">
        <v>3134911.0</v>
      </c>
      <c r="B1496" s="6">
        <v>45576.0</v>
      </c>
    </row>
    <row r="1497">
      <c r="A1497" s="4">
        <v>3134911.0</v>
      </c>
      <c r="B1497" s="6">
        <v>45577.0</v>
      </c>
    </row>
    <row r="1498">
      <c r="A1498" s="4">
        <v>3134911.0</v>
      </c>
      <c r="B1498" s="6">
        <v>45578.0</v>
      </c>
    </row>
    <row r="1499">
      <c r="A1499" s="4">
        <v>3134911.0</v>
      </c>
      <c r="B1499" s="6">
        <v>45579.0</v>
      </c>
    </row>
    <row r="1500">
      <c r="A1500" s="4">
        <v>3134911.0</v>
      </c>
      <c r="B1500" s="6">
        <v>45580.0</v>
      </c>
    </row>
    <row r="1501">
      <c r="A1501" s="4">
        <v>3134911.0</v>
      </c>
      <c r="B1501" s="6">
        <v>45581.0</v>
      </c>
    </row>
    <row r="1502">
      <c r="A1502" s="4">
        <v>3134911.0</v>
      </c>
      <c r="B1502" s="6">
        <v>45582.0</v>
      </c>
    </row>
    <row r="1503">
      <c r="A1503" s="4">
        <v>3134911.0</v>
      </c>
      <c r="B1503" s="6">
        <v>45583.0</v>
      </c>
    </row>
    <row r="1504">
      <c r="A1504" s="4">
        <v>3134911.0</v>
      </c>
      <c r="B1504" s="6">
        <v>45584.0</v>
      </c>
    </row>
    <row r="1505">
      <c r="A1505" s="4">
        <v>3134911.0</v>
      </c>
      <c r="B1505" s="6">
        <v>45585.0</v>
      </c>
    </row>
    <row r="1506">
      <c r="A1506" s="4">
        <v>3134911.0</v>
      </c>
      <c r="B1506" s="6">
        <v>45586.0</v>
      </c>
    </row>
    <row r="1507">
      <c r="A1507" s="4">
        <v>3134911.0</v>
      </c>
      <c r="B1507" s="6">
        <v>45587.0</v>
      </c>
    </row>
    <row r="1508">
      <c r="A1508" s="4">
        <v>3134911.0</v>
      </c>
      <c r="B1508" s="6">
        <v>45588.0</v>
      </c>
    </row>
    <row r="1509">
      <c r="A1509" s="4">
        <v>3134911.0</v>
      </c>
      <c r="B1509" s="6">
        <v>45770.0</v>
      </c>
    </row>
    <row r="1510">
      <c r="A1510" s="4">
        <v>3134911.0</v>
      </c>
      <c r="B1510" s="6">
        <v>45771.0</v>
      </c>
    </row>
    <row r="1511">
      <c r="A1511" s="4">
        <v>3134911.0</v>
      </c>
      <c r="B1511" s="6">
        <v>45772.0</v>
      </c>
    </row>
    <row r="1512">
      <c r="A1512" s="4">
        <v>3134911.0</v>
      </c>
      <c r="B1512" s="6">
        <v>45773.0</v>
      </c>
    </row>
    <row r="1513">
      <c r="A1513" s="4">
        <v>3134911.0</v>
      </c>
      <c r="B1513" s="6">
        <v>45774.0</v>
      </c>
    </row>
    <row r="1514">
      <c r="A1514" s="4">
        <v>3134911.0</v>
      </c>
      <c r="B1514" s="6">
        <v>45775.0</v>
      </c>
    </row>
    <row r="1515">
      <c r="A1515" s="4">
        <v>3134911.0</v>
      </c>
      <c r="B1515" s="6">
        <v>45776.0</v>
      </c>
    </row>
    <row r="1516">
      <c r="A1516" s="4">
        <v>3134911.0</v>
      </c>
      <c r="B1516" s="6">
        <v>45777.0</v>
      </c>
    </row>
    <row r="1517">
      <c r="A1517" s="4">
        <v>3134911.0</v>
      </c>
      <c r="B1517" s="6">
        <v>45778.0</v>
      </c>
    </row>
    <row r="1518">
      <c r="A1518" s="4">
        <v>3134911.0</v>
      </c>
      <c r="B1518" s="6">
        <v>45779.0</v>
      </c>
    </row>
    <row r="1519">
      <c r="A1519" s="4">
        <v>3134911.0</v>
      </c>
      <c r="B1519" s="6">
        <v>45780.0</v>
      </c>
    </row>
    <row r="1520">
      <c r="A1520" s="4">
        <v>3134911.0</v>
      </c>
      <c r="B1520" s="6">
        <v>45781.0</v>
      </c>
    </row>
    <row r="1521">
      <c r="A1521" s="4">
        <v>3134911.0</v>
      </c>
      <c r="B1521" s="6">
        <v>45782.0</v>
      </c>
    </row>
    <row r="1522">
      <c r="A1522" s="4">
        <v>3134911.0</v>
      </c>
      <c r="B1522" s="6">
        <v>45783.0</v>
      </c>
    </row>
    <row r="1523">
      <c r="A1523" s="4">
        <v>3134911.0</v>
      </c>
      <c r="B1523" s="6">
        <v>45784.0</v>
      </c>
    </row>
    <row r="1524">
      <c r="A1524" s="4">
        <v>3134911.0</v>
      </c>
      <c r="B1524" s="6">
        <v>45785.0</v>
      </c>
    </row>
    <row r="1525">
      <c r="A1525" s="4">
        <v>3134911.0</v>
      </c>
      <c r="B1525" s="6">
        <v>45786.0</v>
      </c>
    </row>
    <row r="1526">
      <c r="A1526" s="4">
        <v>3134911.0</v>
      </c>
      <c r="B1526" s="6">
        <v>45787.0</v>
      </c>
    </row>
    <row r="1527">
      <c r="A1527" s="4">
        <v>3134911.0</v>
      </c>
      <c r="B1527" s="6">
        <v>45901.0</v>
      </c>
    </row>
    <row r="1528">
      <c r="A1528" s="4">
        <v>3134911.0</v>
      </c>
      <c r="B1528" s="6">
        <v>45902.0</v>
      </c>
    </row>
    <row r="1529">
      <c r="A1529" s="4">
        <v>3134911.0</v>
      </c>
      <c r="B1529" s="6">
        <v>45903.0</v>
      </c>
    </row>
    <row r="1530">
      <c r="A1530" s="4">
        <v>3134911.0</v>
      </c>
      <c r="B1530" s="6">
        <v>45904.0</v>
      </c>
    </row>
    <row r="1531">
      <c r="A1531" s="4">
        <v>3134911.0</v>
      </c>
      <c r="B1531" s="6">
        <v>45905.0</v>
      </c>
    </row>
    <row r="1532">
      <c r="A1532" s="4">
        <v>3134911.0</v>
      </c>
      <c r="B1532" s="6">
        <v>45906.0</v>
      </c>
    </row>
    <row r="1533">
      <c r="A1533" s="4">
        <v>3134911.0</v>
      </c>
      <c r="B1533" s="6">
        <v>45907.0</v>
      </c>
    </row>
    <row r="1534">
      <c r="A1534" s="4">
        <v>3134911.0</v>
      </c>
      <c r="B1534" s="6">
        <v>45908.0</v>
      </c>
    </row>
    <row r="1535">
      <c r="A1535" s="4">
        <v>3134911.0</v>
      </c>
      <c r="B1535" s="6">
        <v>45909.0</v>
      </c>
    </row>
    <row r="1536">
      <c r="A1536" s="4">
        <v>3134911.0</v>
      </c>
      <c r="B1536" s="6">
        <v>45910.0</v>
      </c>
    </row>
    <row r="1537">
      <c r="A1537" s="4">
        <v>3134911.0</v>
      </c>
      <c r="B1537" s="6">
        <v>45911.0</v>
      </c>
    </row>
    <row r="1538">
      <c r="A1538" s="4">
        <v>3134911.0</v>
      </c>
      <c r="B1538" s="6">
        <v>45912.0</v>
      </c>
    </row>
    <row r="1539">
      <c r="A1539" s="4">
        <v>3134911.0</v>
      </c>
      <c r="B1539" s="6">
        <v>46007.0</v>
      </c>
    </row>
    <row r="1540">
      <c r="A1540" s="4">
        <v>3134911.0</v>
      </c>
      <c r="B1540" s="6">
        <v>46008.0</v>
      </c>
    </row>
    <row r="1541">
      <c r="A1541" s="4">
        <v>3134911.0</v>
      </c>
      <c r="B1541" s="6">
        <v>46009.0</v>
      </c>
    </row>
    <row r="1542">
      <c r="A1542" s="4">
        <v>3134911.0</v>
      </c>
      <c r="B1542" s="6">
        <v>46010.0</v>
      </c>
    </row>
    <row r="1543">
      <c r="A1543" s="4">
        <v>3134911.0</v>
      </c>
      <c r="B1543" s="6">
        <v>46011.0</v>
      </c>
    </row>
    <row r="1544">
      <c r="A1544" s="4">
        <v>3134911.0</v>
      </c>
      <c r="B1544" s="6">
        <v>46012.0</v>
      </c>
    </row>
    <row r="1545">
      <c r="A1545" s="4">
        <v>3134911.0</v>
      </c>
      <c r="B1545" s="6">
        <v>46013.0</v>
      </c>
    </row>
    <row r="1546">
      <c r="A1546" s="4">
        <v>3134911.0</v>
      </c>
      <c r="B1546" s="6">
        <v>46014.0</v>
      </c>
    </row>
    <row r="1547">
      <c r="A1547" s="4">
        <v>3134911.0</v>
      </c>
      <c r="B1547" s="6">
        <v>46082.0</v>
      </c>
    </row>
    <row r="1548">
      <c r="A1548" s="4">
        <v>3134911.0</v>
      </c>
      <c r="B1548" s="6">
        <v>46083.0</v>
      </c>
    </row>
    <row r="1549">
      <c r="A1549" s="4">
        <v>3134911.0</v>
      </c>
      <c r="B1549" s="6">
        <v>46084.0</v>
      </c>
    </row>
    <row r="1550">
      <c r="A1550" s="4">
        <v>3134911.0</v>
      </c>
      <c r="B1550" s="6">
        <v>46085.0</v>
      </c>
    </row>
    <row r="1551">
      <c r="A1551" s="4">
        <v>3134911.0</v>
      </c>
      <c r="B1551" s="6">
        <v>46086.0</v>
      </c>
    </row>
    <row r="1552">
      <c r="A1552" s="4">
        <v>3134911.0</v>
      </c>
      <c r="B1552" s="6">
        <v>46087.0</v>
      </c>
    </row>
    <row r="1553">
      <c r="A1553" s="4">
        <v>3134911.0</v>
      </c>
      <c r="B1553" s="6">
        <v>46088.0</v>
      </c>
    </row>
    <row r="1554">
      <c r="A1554" s="4">
        <v>3134911.0</v>
      </c>
      <c r="B1554" s="6">
        <v>46089.0</v>
      </c>
    </row>
    <row r="1555">
      <c r="A1555" s="4">
        <v>3134911.0</v>
      </c>
      <c r="B1555" s="6">
        <v>46090.0</v>
      </c>
    </row>
    <row r="1556">
      <c r="A1556" s="4">
        <v>3134911.0</v>
      </c>
      <c r="B1556" s="6">
        <v>46091.0</v>
      </c>
    </row>
    <row r="1557">
      <c r="A1557" s="4">
        <v>3134911.0</v>
      </c>
      <c r="B1557" s="6">
        <v>46092.0</v>
      </c>
    </row>
    <row r="1558">
      <c r="A1558" s="4">
        <v>3134911.0</v>
      </c>
      <c r="B1558" s="6">
        <v>46093.0</v>
      </c>
    </row>
    <row r="1559">
      <c r="A1559" s="4">
        <v>3134911.0</v>
      </c>
      <c r="B1559" s="6">
        <v>46094.0</v>
      </c>
    </row>
    <row r="1560">
      <c r="A1560" s="4">
        <v>3134911.0</v>
      </c>
      <c r="B1560" s="6">
        <v>46095.0</v>
      </c>
    </row>
    <row r="1561">
      <c r="A1561" s="4">
        <v>3134911.0</v>
      </c>
      <c r="B1561" s="6">
        <v>46096.0</v>
      </c>
    </row>
    <row r="1562">
      <c r="A1562" s="4">
        <v>3134911.0</v>
      </c>
      <c r="B1562" s="6">
        <v>46097.0</v>
      </c>
    </row>
    <row r="1563">
      <c r="A1563" s="4">
        <v>3134911.0</v>
      </c>
      <c r="B1563" s="6">
        <v>46098.0</v>
      </c>
    </row>
    <row r="1564">
      <c r="A1564" s="4">
        <v>3134911.0</v>
      </c>
      <c r="B1564" s="6">
        <v>46099.0</v>
      </c>
    </row>
    <row r="1565">
      <c r="A1565" s="4">
        <v>3134911.0</v>
      </c>
      <c r="B1565" s="6">
        <v>46100.0</v>
      </c>
    </row>
    <row r="1566">
      <c r="A1566" s="4">
        <v>3134911.0</v>
      </c>
      <c r="B1566" s="6">
        <v>46101.0</v>
      </c>
    </row>
    <row r="1567">
      <c r="A1567" s="4">
        <v>3134911.0</v>
      </c>
      <c r="B1567" s="6">
        <v>46102.0</v>
      </c>
    </row>
    <row r="1568">
      <c r="A1568" s="4">
        <v>3134911.0</v>
      </c>
      <c r="B1568" s="6">
        <v>46103.0</v>
      </c>
    </row>
    <row r="1569">
      <c r="A1569" s="4">
        <v>3134911.0</v>
      </c>
      <c r="B1569" s="6">
        <v>46104.0</v>
      </c>
    </row>
    <row r="1570">
      <c r="A1570" s="4">
        <v>3134911.0</v>
      </c>
      <c r="B1570" s="6">
        <v>46296.0</v>
      </c>
    </row>
    <row r="1571">
      <c r="A1571" s="4">
        <v>3134911.0</v>
      </c>
      <c r="B1571" s="6">
        <v>46297.0</v>
      </c>
    </row>
    <row r="1572">
      <c r="A1572" s="4">
        <v>3134911.0</v>
      </c>
      <c r="B1572" s="6">
        <v>46298.0</v>
      </c>
    </row>
    <row r="1573">
      <c r="A1573" s="4">
        <v>3134911.0</v>
      </c>
      <c r="B1573" s="6">
        <v>46299.0</v>
      </c>
    </row>
    <row r="1574">
      <c r="A1574" s="4">
        <v>3134911.0</v>
      </c>
      <c r="B1574" s="6">
        <v>46300.0</v>
      </c>
    </row>
    <row r="1575">
      <c r="A1575" s="4">
        <v>3134911.0</v>
      </c>
      <c r="B1575" s="6">
        <v>46301.0</v>
      </c>
    </row>
    <row r="1576">
      <c r="A1576" s="4">
        <v>3134911.0</v>
      </c>
      <c r="B1576" s="6">
        <v>46302.0</v>
      </c>
    </row>
    <row r="1577">
      <c r="A1577" s="4">
        <v>3134911.0</v>
      </c>
      <c r="B1577" s="6">
        <v>46303.0</v>
      </c>
    </row>
    <row r="1578">
      <c r="A1578" s="4">
        <v>3134911.0</v>
      </c>
      <c r="B1578" s="6">
        <v>46304.0</v>
      </c>
    </row>
    <row r="1579">
      <c r="A1579" s="4">
        <v>3134911.0</v>
      </c>
      <c r="B1579" s="6">
        <v>46305.0</v>
      </c>
    </row>
    <row r="1580">
      <c r="A1580" s="4">
        <v>3134911.0</v>
      </c>
      <c r="B1580" s="6">
        <v>46306.0</v>
      </c>
    </row>
    <row r="1581">
      <c r="A1581" s="4">
        <v>3134911.0</v>
      </c>
      <c r="B1581" s="6">
        <v>46307.0</v>
      </c>
    </row>
    <row r="1582">
      <c r="A1582" s="4">
        <v>3134911.0</v>
      </c>
      <c r="B1582" s="6">
        <v>46308.0</v>
      </c>
    </row>
    <row r="1583">
      <c r="A1583" s="4">
        <v>3134911.0</v>
      </c>
      <c r="B1583" s="6">
        <v>46309.0</v>
      </c>
    </row>
    <row r="1584">
      <c r="A1584" s="4">
        <v>3134911.0</v>
      </c>
      <c r="B1584" s="6">
        <v>46310.0</v>
      </c>
    </row>
    <row r="1585">
      <c r="A1585" s="4">
        <v>3134911.0</v>
      </c>
      <c r="B1585" s="6">
        <v>46311.0</v>
      </c>
    </row>
    <row r="1586">
      <c r="A1586" s="4">
        <v>3134911.0</v>
      </c>
      <c r="B1586" s="6">
        <v>46312.0</v>
      </c>
    </row>
    <row r="1587">
      <c r="A1587" s="4">
        <v>3134911.0</v>
      </c>
      <c r="B1587" s="6">
        <v>46313.0</v>
      </c>
    </row>
    <row r="1588">
      <c r="A1588" s="4">
        <v>3134911.0</v>
      </c>
      <c r="B1588" s="6">
        <v>46314.0</v>
      </c>
    </row>
    <row r="1589">
      <c r="A1589" s="4">
        <v>3134911.0</v>
      </c>
      <c r="B1589" s="6">
        <v>46315.0</v>
      </c>
    </row>
    <row r="1590">
      <c r="A1590" s="4">
        <v>3134911.0</v>
      </c>
      <c r="B1590" s="6">
        <v>46316.0</v>
      </c>
    </row>
    <row r="1591">
      <c r="A1591" s="4">
        <v>3134911.0</v>
      </c>
      <c r="B1591" s="6">
        <v>46317.0</v>
      </c>
    </row>
    <row r="1592">
      <c r="A1592" s="4">
        <v>3134911.0</v>
      </c>
      <c r="B1592" s="6">
        <v>46318.0</v>
      </c>
    </row>
    <row r="1593">
      <c r="A1593" s="4">
        <v>3189967.0</v>
      </c>
      <c r="B1593" s="6">
        <v>45338.0</v>
      </c>
    </row>
    <row r="1594">
      <c r="A1594" s="4">
        <v>3189967.0</v>
      </c>
      <c r="B1594" s="6">
        <v>45339.0</v>
      </c>
    </row>
    <row r="1595">
      <c r="A1595" s="4">
        <v>3189967.0</v>
      </c>
      <c r="B1595" s="6">
        <v>45340.0</v>
      </c>
    </row>
    <row r="1596">
      <c r="A1596" s="4">
        <v>3189967.0</v>
      </c>
      <c r="B1596" s="6">
        <v>45341.0</v>
      </c>
    </row>
    <row r="1597">
      <c r="A1597" s="4">
        <v>3189967.0</v>
      </c>
      <c r="B1597" s="6">
        <v>45342.0</v>
      </c>
    </row>
    <row r="1598">
      <c r="A1598" s="4">
        <v>3189967.0</v>
      </c>
      <c r="B1598" s="6">
        <v>45343.0</v>
      </c>
    </row>
    <row r="1599">
      <c r="A1599" s="4">
        <v>3189967.0</v>
      </c>
      <c r="B1599" s="6">
        <v>45344.0</v>
      </c>
    </row>
    <row r="1600">
      <c r="A1600" s="4">
        <v>3189967.0</v>
      </c>
      <c r="B1600" s="6">
        <v>45345.0</v>
      </c>
    </row>
    <row r="1601">
      <c r="A1601" s="4">
        <v>3189967.0</v>
      </c>
      <c r="B1601" s="6">
        <v>45346.0</v>
      </c>
    </row>
    <row r="1602">
      <c r="A1602" s="4">
        <v>3189967.0</v>
      </c>
      <c r="B1602" s="6">
        <v>45347.0</v>
      </c>
    </row>
    <row r="1603">
      <c r="A1603" s="4">
        <v>3189967.0</v>
      </c>
      <c r="B1603" s="6">
        <v>45348.0</v>
      </c>
    </row>
    <row r="1604">
      <c r="A1604" s="4">
        <v>3189967.0</v>
      </c>
      <c r="B1604" s="6">
        <v>45349.0</v>
      </c>
    </row>
    <row r="1605">
      <c r="A1605" s="4">
        <v>3189967.0</v>
      </c>
      <c r="B1605" s="6">
        <v>45350.0</v>
      </c>
    </row>
    <row r="1606">
      <c r="A1606" s="4">
        <v>3189967.0</v>
      </c>
      <c r="B1606" s="6">
        <v>45351.0</v>
      </c>
    </row>
    <row r="1607">
      <c r="A1607" s="4">
        <v>3189967.0</v>
      </c>
      <c r="B1607" s="6">
        <v>45511.0</v>
      </c>
    </row>
    <row r="1608">
      <c r="A1608" s="4">
        <v>3189967.0</v>
      </c>
      <c r="B1608" s="6">
        <v>45512.0</v>
      </c>
    </row>
    <row r="1609">
      <c r="A1609" s="4">
        <v>3189967.0</v>
      </c>
      <c r="B1609" s="6">
        <v>45513.0</v>
      </c>
    </row>
    <row r="1610">
      <c r="A1610" s="4">
        <v>3189967.0</v>
      </c>
      <c r="B1610" s="6">
        <v>45514.0</v>
      </c>
    </row>
    <row r="1611">
      <c r="A1611" s="4">
        <v>3189967.0</v>
      </c>
      <c r="B1611" s="6">
        <v>45515.0</v>
      </c>
    </row>
    <row r="1612">
      <c r="A1612" s="4">
        <v>3189967.0</v>
      </c>
      <c r="B1612" s="6">
        <v>45516.0</v>
      </c>
    </row>
    <row r="1613">
      <c r="A1613" s="4">
        <v>3189967.0</v>
      </c>
      <c r="B1613" s="6">
        <v>45517.0</v>
      </c>
    </row>
    <row r="1614">
      <c r="A1614" s="4">
        <v>3189967.0</v>
      </c>
      <c r="B1614" s="6">
        <v>45518.0</v>
      </c>
    </row>
    <row r="1615">
      <c r="A1615" s="4">
        <v>3189967.0</v>
      </c>
      <c r="B1615" s="6">
        <v>45519.0</v>
      </c>
    </row>
    <row r="1616">
      <c r="A1616" s="4">
        <v>3189967.0</v>
      </c>
      <c r="B1616" s="6">
        <v>45520.0</v>
      </c>
    </row>
    <row r="1617">
      <c r="A1617" s="4">
        <v>3189967.0</v>
      </c>
      <c r="B1617" s="6">
        <v>45521.0</v>
      </c>
    </row>
    <row r="1618">
      <c r="A1618" s="4">
        <v>3189967.0</v>
      </c>
      <c r="B1618" s="6">
        <v>45522.0</v>
      </c>
    </row>
    <row r="1619">
      <c r="A1619" s="4">
        <v>3189967.0</v>
      </c>
      <c r="B1619" s="6">
        <v>45523.0</v>
      </c>
    </row>
    <row r="1620">
      <c r="A1620" s="4">
        <v>3189967.0</v>
      </c>
      <c r="B1620" s="6">
        <v>45524.0</v>
      </c>
    </row>
    <row r="1621">
      <c r="A1621" s="4">
        <v>3189967.0</v>
      </c>
      <c r="B1621" s="6">
        <v>45525.0</v>
      </c>
    </row>
    <row r="1622">
      <c r="A1622" s="4">
        <v>3189967.0</v>
      </c>
      <c r="B1622" s="6">
        <v>45526.0</v>
      </c>
    </row>
    <row r="1623">
      <c r="A1623" s="4">
        <v>3189967.0</v>
      </c>
      <c r="B1623" s="6">
        <v>45527.0</v>
      </c>
    </row>
    <row r="1624">
      <c r="A1624" s="4">
        <v>3189967.0</v>
      </c>
      <c r="B1624" s="6">
        <v>45528.0</v>
      </c>
    </row>
    <row r="1625">
      <c r="A1625" s="4">
        <v>3189967.0</v>
      </c>
      <c r="B1625" s="6">
        <v>45529.0</v>
      </c>
    </row>
    <row r="1626">
      <c r="A1626" s="4">
        <v>3189967.0</v>
      </c>
      <c r="B1626" s="6">
        <v>45530.0</v>
      </c>
    </row>
    <row r="1627">
      <c r="A1627" s="4">
        <v>3189967.0</v>
      </c>
      <c r="B1627" s="6">
        <v>45531.0</v>
      </c>
    </row>
    <row r="1628">
      <c r="A1628" s="4">
        <v>3189967.0</v>
      </c>
      <c r="B1628" s="6">
        <v>45532.0</v>
      </c>
    </row>
    <row r="1629">
      <c r="A1629" s="4">
        <v>3189967.0</v>
      </c>
      <c r="B1629" s="6">
        <v>45533.0</v>
      </c>
    </row>
    <row r="1630">
      <c r="A1630" s="4">
        <v>3189967.0</v>
      </c>
      <c r="B1630" s="6">
        <v>45534.0</v>
      </c>
    </row>
    <row r="1631">
      <c r="A1631" s="4">
        <v>3189967.0</v>
      </c>
      <c r="B1631" s="6">
        <v>45535.0</v>
      </c>
    </row>
    <row r="1632">
      <c r="A1632" s="4">
        <v>3189967.0</v>
      </c>
      <c r="B1632" s="6">
        <v>45740.0</v>
      </c>
    </row>
    <row r="1633">
      <c r="A1633" s="4">
        <v>3189967.0</v>
      </c>
      <c r="B1633" s="6">
        <v>45741.0</v>
      </c>
    </row>
    <row r="1634">
      <c r="A1634" s="4">
        <v>3189967.0</v>
      </c>
      <c r="B1634" s="6">
        <v>45742.0</v>
      </c>
    </row>
    <row r="1635">
      <c r="A1635" s="4">
        <v>3189967.0</v>
      </c>
      <c r="B1635" s="6">
        <v>45743.0</v>
      </c>
    </row>
    <row r="1636">
      <c r="A1636" s="4">
        <v>3189967.0</v>
      </c>
      <c r="B1636" s="6">
        <v>45744.0</v>
      </c>
    </row>
    <row r="1637">
      <c r="A1637" s="4">
        <v>3189967.0</v>
      </c>
      <c r="B1637" s="6">
        <v>45745.0</v>
      </c>
    </row>
    <row r="1638">
      <c r="A1638" s="4">
        <v>3189967.0</v>
      </c>
      <c r="B1638" s="6">
        <v>45746.0</v>
      </c>
    </row>
    <row r="1639">
      <c r="A1639" s="4">
        <v>3189967.0</v>
      </c>
      <c r="B1639" s="6">
        <v>45747.0</v>
      </c>
    </row>
    <row r="1640">
      <c r="A1640" s="4">
        <v>3189967.0</v>
      </c>
      <c r="B1640" s="6">
        <v>45748.0</v>
      </c>
    </row>
    <row r="1641">
      <c r="A1641" s="4">
        <v>3189967.0</v>
      </c>
      <c r="B1641" s="6">
        <v>45749.0</v>
      </c>
    </row>
    <row r="1642">
      <c r="A1642" s="4">
        <v>3189967.0</v>
      </c>
      <c r="B1642" s="6">
        <v>45750.0</v>
      </c>
    </row>
    <row r="1643">
      <c r="A1643" s="4">
        <v>3189967.0</v>
      </c>
      <c r="B1643" s="6">
        <v>45751.0</v>
      </c>
    </row>
    <row r="1644">
      <c r="A1644" s="4">
        <v>3189967.0</v>
      </c>
      <c r="B1644" s="6">
        <v>45752.0</v>
      </c>
    </row>
    <row r="1645">
      <c r="A1645" s="4">
        <v>3189967.0</v>
      </c>
      <c r="B1645" s="6">
        <v>45753.0</v>
      </c>
    </row>
    <row r="1646">
      <c r="A1646" s="4">
        <v>3189967.0</v>
      </c>
      <c r="B1646" s="6">
        <v>45754.0</v>
      </c>
    </row>
    <row r="1647">
      <c r="A1647" s="4">
        <v>3189967.0</v>
      </c>
      <c r="B1647" s="6">
        <v>45839.0</v>
      </c>
    </row>
    <row r="1648">
      <c r="A1648" s="4">
        <v>3189967.0</v>
      </c>
      <c r="B1648" s="6">
        <v>45840.0</v>
      </c>
    </row>
    <row r="1649">
      <c r="A1649" s="4">
        <v>3189967.0</v>
      </c>
      <c r="B1649" s="6">
        <v>45841.0</v>
      </c>
    </row>
    <row r="1650">
      <c r="A1650" s="4">
        <v>3189967.0</v>
      </c>
      <c r="B1650" s="6">
        <v>45842.0</v>
      </c>
    </row>
    <row r="1651">
      <c r="A1651" s="4">
        <v>3189967.0</v>
      </c>
      <c r="B1651" s="6">
        <v>45843.0</v>
      </c>
    </row>
    <row r="1652">
      <c r="A1652" s="4">
        <v>3189967.0</v>
      </c>
      <c r="B1652" s="6">
        <v>45844.0</v>
      </c>
    </row>
    <row r="1653">
      <c r="A1653" s="4">
        <v>3189967.0</v>
      </c>
      <c r="B1653" s="6">
        <v>45845.0</v>
      </c>
    </row>
    <row r="1654">
      <c r="A1654" s="4">
        <v>3189967.0</v>
      </c>
      <c r="B1654" s="6">
        <v>45846.0</v>
      </c>
    </row>
    <row r="1655">
      <c r="A1655" s="4">
        <v>3189967.0</v>
      </c>
      <c r="B1655" s="6">
        <v>45847.0</v>
      </c>
    </row>
    <row r="1656">
      <c r="A1656" s="4">
        <v>3189967.0</v>
      </c>
      <c r="B1656" s="6">
        <v>45848.0</v>
      </c>
    </row>
    <row r="1657">
      <c r="A1657" s="4">
        <v>3189967.0</v>
      </c>
      <c r="B1657" s="6">
        <v>45849.0</v>
      </c>
    </row>
    <row r="1658">
      <c r="A1658" s="4">
        <v>3189967.0</v>
      </c>
      <c r="B1658" s="6">
        <v>45850.0</v>
      </c>
    </row>
    <row r="1659">
      <c r="A1659" s="4">
        <v>3189967.0</v>
      </c>
      <c r="B1659" s="6">
        <v>45851.0</v>
      </c>
    </row>
    <row r="1660">
      <c r="A1660" s="4">
        <v>3189967.0</v>
      </c>
      <c r="B1660" s="6">
        <v>45852.0</v>
      </c>
    </row>
    <row r="1661">
      <c r="A1661" s="4">
        <v>3189967.0</v>
      </c>
      <c r="B1661" s="6">
        <v>45853.0</v>
      </c>
    </row>
    <row r="1662">
      <c r="A1662" s="4">
        <v>3189967.0</v>
      </c>
      <c r="B1662" s="6">
        <v>45854.0</v>
      </c>
    </row>
    <row r="1663">
      <c r="A1663" s="4">
        <v>3189967.0</v>
      </c>
      <c r="B1663" s="6">
        <v>45855.0</v>
      </c>
    </row>
    <row r="1664">
      <c r="A1664" s="4">
        <v>3189967.0</v>
      </c>
      <c r="B1664" s="6">
        <v>45856.0</v>
      </c>
    </row>
    <row r="1665">
      <c r="A1665" s="4">
        <v>3189967.0</v>
      </c>
      <c r="B1665" s="6">
        <v>45857.0</v>
      </c>
    </row>
    <row r="1666">
      <c r="A1666" s="4">
        <v>3189967.0</v>
      </c>
      <c r="B1666" s="6">
        <v>45858.0</v>
      </c>
    </row>
    <row r="1667">
      <c r="A1667" s="4">
        <v>3189967.0</v>
      </c>
      <c r="B1667" s="6">
        <v>45859.0</v>
      </c>
    </row>
    <row r="1668">
      <c r="A1668" s="4">
        <v>3189967.0</v>
      </c>
      <c r="B1668" s="6">
        <v>45860.0</v>
      </c>
    </row>
    <row r="1669">
      <c r="A1669" s="4">
        <v>3189967.0</v>
      </c>
      <c r="B1669" s="6">
        <v>45861.0</v>
      </c>
    </row>
    <row r="1670">
      <c r="A1670" s="4">
        <v>3189967.0</v>
      </c>
      <c r="B1670" s="6">
        <v>45862.0</v>
      </c>
    </row>
    <row r="1671">
      <c r="A1671" s="4">
        <v>3189967.0</v>
      </c>
      <c r="B1671" s="6">
        <v>45863.0</v>
      </c>
    </row>
    <row r="1672">
      <c r="A1672" s="4">
        <v>3189967.0</v>
      </c>
      <c r="B1672" s="6">
        <v>46174.0</v>
      </c>
    </row>
    <row r="1673">
      <c r="A1673" s="4">
        <v>3189967.0</v>
      </c>
      <c r="B1673" s="6">
        <v>46175.0</v>
      </c>
    </row>
    <row r="1674">
      <c r="A1674" s="4">
        <v>3189967.0</v>
      </c>
      <c r="B1674" s="6">
        <v>46176.0</v>
      </c>
    </row>
    <row r="1675">
      <c r="A1675" s="4">
        <v>3189967.0</v>
      </c>
      <c r="B1675" s="6">
        <v>46177.0</v>
      </c>
    </row>
    <row r="1676">
      <c r="A1676" s="4">
        <v>3189967.0</v>
      </c>
      <c r="B1676" s="6">
        <v>46178.0</v>
      </c>
    </row>
    <row r="1677">
      <c r="A1677" s="4">
        <v>3189967.0</v>
      </c>
      <c r="B1677" s="6">
        <v>46179.0</v>
      </c>
    </row>
    <row r="1678">
      <c r="A1678" s="4">
        <v>3189967.0</v>
      </c>
      <c r="B1678" s="6">
        <v>46180.0</v>
      </c>
    </row>
    <row r="1679">
      <c r="A1679" s="4">
        <v>3189967.0</v>
      </c>
      <c r="B1679" s="6">
        <v>46250.0</v>
      </c>
    </row>
    <row r="1680">
      <c r="A1680" s="4">
        <v>3189967.0</v>
      </c>
      <c r="B1680" s="6">
        <v>46251.0</v>
      </c>
    </row>
    <row r="1681">
      <c r="A1681" s="4">
        <v>3189967.0</v>
      </c>
      <c r="B1681" s="6">
        <v>46252.0</v>
      </c>
    </row>
    <row r="1682">
      <c r="A1682" s="4">
        <v>3189967.0</v>
      </c>
      <c r="B1682" s="6">
        <v>46253.0</v>
      </c>
    </row>
    <row r="1683">
      <c r="A1683" s="4">
        <v>3189967.0</v>
      </c>
      <c r="B1683" s="6">
        <v>46254.0</v>
      </c>
    </row>
    <row r="1684">
      <c r="A1684" s="4">
        <v>3189967.0</v>
      </c>
      <c r="B1684" s="6">
        <v>46255.0</v>
      </c>
    </row>
    <row r="1685">
      <c r="A1685" s="4">
        <v>3189967.0</v>
      </c>
      <c r="B1685" s="6">
        <v>46256.0</v>
      </c>
    </row>
    <row r="1686">
      <c r="A1686" s="4">
        <v>3189967.0</v>
      </c>
      <c r="B1686" s="6">
        <v>46257.0</v>
      </c>
    </row>
    <row r="1687">
      <c r="A1687" s="4">
        <v>3189967.0</v>
      </c>
      <c r="B1687" s="6">
        <v>46258.0</v>
      </c>
    </row>
    <row r="1688">
      <c r="A1688" s="4">
        <v>3189967.0</v>
      </c>
      <c r="B1688" s="6">
        <v>46259.0</v>
      </c>
    </row>
    <row r="1689">
      <c r="A1689" s="4">
        <v>3189967.0</v>
      </c>
      <c r="B1689" s="6">
        <v>46260.0</v>
      </c>
    </row>
    <row r="1690">
      <c r="A1690" s="4">
        <v>3189967.0</v>
      </c>
      <c r="B1690" s="6">
        <v>46261.0</v>
      </c>
    </row>
    <row r="1691">
      <c r="A1691" s="4">
        <v>3189967.0</v>
      </c>
      <c r="B1691" s="6">
        <v>46262.0</v>
      </c>
    </row>
    <row r="1692">
      <c r="A1692" s="4">
        <v>3189967.0</v>
      </c>
      <c r="B1692" s="6">
        <v>46263.0</v>
      </c>
    </row>
    <row r="1693">
      <c r="A1693" s="4">
        <v>3189967.0</v>
      </c>
      <c r="B1693" s="6">
        <v>46264.0</v>
      </c>
    </row>
    <row r="1694">
      <c r="A1694" s="4">
        <v>3189967.0</v>
      </c>
      <c r="B1694" s="6">
        <v>46265.0</v>
      </c>
    </row>
    <row r="1695">
      <c r="A1695" s="4">
        <v>3189967.0</v>
      </c>
      <c r="B1695" s="6">
        <v>46266.0</v>
      </c>
    </row>
    <row r="1696">
      <c r="A1696" s="4">
        <v>3189967.0</v>
      </c>
      <c r="B1696" s="6">
        <v>46267.0</v>
      </c>
    </row>
    <row r="1697">
      <c r="A1697" s="4">
        <v>3189967.0</v>
      </c>
      <c r="B1697" s="6">
        <v>46268.0</v>
      </c>
    </row>
    <row r="1698">
      <c r="A1698" s="4">
        <v>3189967.0</v>
      </c>
      <c r="B1698" s="6">
        <v>46269.0</v>
      </c>
    </row>
    <row r="1699">
      <c r="A1699" s="4">
        <v>3189967.0</v>
      </c>
      <c r="B1699" s="6">
        <v>46270.0</v>
      </c>
    </row>
    <row r="1700">
      <c r="A1700" s="4">
        <v>3189967.0</v>
      </c>
      <c r="B1700" s="6">
        <v>46271.0</v>
      </c>
    </row>
    <row r="1701">
      <c r="A1701" s="4">
        <v>3189967.0</v>
      </c>
      <c r="B1701" s="6">
        <v>46272.0</v>
      </c>
    </row>
    <row r="1702">
      <c r="A1702" s="4">
        <v>3189967.0</v>
      </c>
      <c r="B1702" s="6">
        <v>46273.0</v>
      </c>
    </row>
    <row r="1703">
      <c r="A1703" s="4">
        <v>3189967.0</v>
      </c>
      <c r="B1703" s="6">
        <v>46274.0</v>
      </c>
    </row>
    <row r="1704">
      <c r="A1704" s="4">
        <v>3189967.0</v>
      </c>
      <c r="B1704" s="6">
        <v>46275.0</v>
      </c>
    </row>
    <row r="1705">
      <c r="A1705" s="4">
        <v>3189967.0</v>
      </c>
      <c r="B1705" s="6">
        <v>46276.0</v>
      </c>
    </row>
    <row r="1706">
      <c r="A1706" s="4">
        <v>3189967.0</v>
      </c>
      <c r="B1706" s="6">
        <v>46277.0</v>
      </c>
    </row>
    <row r="1707">
      <c r="A1707" s="4">
        <v>3189967.0</v>
      </c>
      <c r="B1707" s="6">
        <v>46278.0</v>
      </c>
    </row>
    <row r="1708">
      <c r="A1708" s="4">
        <v>3189967.0</v>
      </c>
      <c r="B1708" s="6">
        <v>46279.0</v>
      </c>
    </row>
    <row r="1709">
      <c r="A1709" s="4">
        <v>3189967.0</v>
      </c>
      <c r="B1709" s="6">
        <v>46280.0</v>
      </c>
    </row>
    <row r="1710">
      <c r="A1710" s="4">
        <v>3189967.0</v>
      </c>
      <c r="B1710" s="6">
        <v>46281.0</v>
      </c>
    </row>
    <row r="1711">
      <c r="A1711" s="4">
        <v>3189967.0</v>
      </c>
      <c r="B1711" s="6">
        <v>46282.0</v>
      </c>
    </row>
    <row r="1712">
      <c r="A1712" s="4">
        <v>3189967.0</v>
      </c>
      <c r="B1712" s="6">
        <v>46283.0</v>
      </c>
    </row>
    <row r="1713">
      <c r="A1713" s="4">
        <v>3189967.0</v>
      </c>
      <c r="B1713" s="6">
        <v>46296.0</v>
      </c>
    </row>
    <row r="1714">
      <c r="A1714" s="4">
        <v>3189967.0</v>
      </c>
      <c r="B1714" s="6">
        <v>46297.0</v>
      </c>
    </row>
    <row r="1715">
      <c r="A1715" s="4">
        <v>3189967.0</v>
      </c>
      <c r="B1715" s="6">
        <v>46298.0</v>
      </c>
    </row>
    <row r="1716">
      <c r="A1716" s="4">
        <v>3189967.0</v>
      </c>
      <c r="B1716" s="6">
        <v>46299.0</v>
      </c>
    </row>
    <row r="1717">
      <c r="A1717" s="4">
        <v>3189967.0</v>
      </c>
      <c r="B1717" s="6">
        <v>46300.0</v>
      </c>
    </row>
    <row r="1718">
      <c r="A1718" s="4">
        <v>3189967.0</v>
      </c>
      <c r="B1718" s="6">
        <v>46301.0</v>
      </c>
    </row>
    <row r="1719">
      <c r="A1719" s="4">
        <v>3189967.0</v>
      </c>
      <c r="B1719" s="6">
        <v>46302.0</v>
      </c>
    </row>
    <row r="1720">
      <c r="A1720" s="4">
        <v>3189967.0</v>
      </c>
      <c r="B1720" s="6">
        <v>46303.0</v>
      </c>
    </row>
    <row r="1721">
      <c r="A1721" s="4">
        <v>3189967.0</v>
      </c>
      <c r="B1721" s="6">
        <v>46304.0</v>
      </c>
    </row>
    <row r="1722">
      <c r="A1722" s="4">
        <v>3189967.0</v>
      </c>
      <c r="B1722" s="6">
        <v>46305.0</v>
      </c>
    </row>
    <row r="1723">
      <c r="A1723" s="4">
        <v>3189967.0</v>
      </c>
      <c r="B1723" s="6">
        <v>46306.0</v>
      </c>
    </row>
    <row r="1724">
      <c r="A1724" s="4">
        <v>3189967.0</v>
      </c>
      <c r="B1724" s="6">
        <v>46307.0</v>
      </c>
    </row>
    <row r="1725">
      <c r="A1725" s="4">
        <v>3189967.0</v>
      </c>
      <c r="B1725" s="6">
        <v>46308.0</v>
      </c>
    </row>
    <row r="1726">
      <c r="A1726" s="4">
        <v>3189967.0</v>
      </c>
      <c r="B1726" s="6">
        <v>46309.0</v>
      </c>
    </row>
    <row r="1727">
      <c r="A1727" s="4">
        <v>3189967.0</v>
      </c>
      <c r="B1727" s="6">
        <v>46310.0</v>
      </c>
    </row>
    <row r="1728">
      <c r="A1728" s="4">
        <v>3189967.0</v>
      </c>
      <c r="B1728" s="6">
        <v>46311.0</v>
      </c>
    </row>
    <row r="1729">
      <c r="A1729" s="4">
        <v>3189967.0</v>
      </c>
      <c r="B1729" s="6">
        <v>46312.0</v>
      </c>
    </row>
    <row r="1730">
      <c r="A1730" s="4">
        <v>3189967.0</v>
      </c>
      <c r="B1730" s="6">
        <v>46313.0</v>
      </c>
    </row>
    <row r="1731">
      <c r="A1731" s="4">
        <v>3217561.0</v>
      </c>
      <c r="B1731" s="6">
        <v>45383.0</v>
      </c>
    </row>
    <row r="1732">
      <c r="A1732" s="4">
        <v>3217561.0</v>
      </c>
      <c r="B1732" s="6">
        <v>45384.0</v>
      </c>
    </row>
    <row r="1733">
      <c r="A1733" s="4">
        <v>3217561.0</v>
      </c>
      <c r="B1733" s="6">
        <v>45385.0</v>
      </c>
    </row>
    <row r="1734">
      <c r="A1734" s="4">
        <v>3217561.0</v>
      </c>
      <c r="B1734" s="6">
        <v>45386.0</v>
      </c>
    </row>
    <row r="1735">
      <c r="A1735" s="4">
        <v>3217561.0</v>
      </c>
      <c r="B1735" s="6">
        <v>45387.0</v>
      </c>
    </row>
    <row r="1736">
      <c r="A1736" s="4">
        <v>3217561.0</v>
      </c>
      <c r="B1736" s="6">
        <v>45388.0</v>
      </c>
    </row>
    <row r="1737">
      <c r="A1737" s="4">
        <v>3217561.0</v>
      </c>
      <c r="B1737" s="6">
        <v>45389.0</v>
      </c>
    </row>
    <row r="1738">
      <c r="A1738" s="4">
        <v>3217561.0</v>
      </c>
      <c r="B1738" s="6">
        <v>45390.0</v>
      </c>
    </row>
    <row r="1739">
      <c r="A1739" s="4">
        <v>3217561.0</v>
      </c>
      <c r="B1739" s="6">
        <v>45391.0</v>
      </c>
    </row>
    <row r="1740">
      <c r="A1740" s="4">
        <v>3217561.0</v>
      </c>
      <c r="B1740" s="6">
        <v>45392.0</v>
      </c>
    </row>
    <row r="1741">
      <c r="A1741" s="4">
        <v>3217561.0</v>
      </c>
      <c r="B1741" s="6">
        <v>45393.0</v>
      </c>
    </row>
    <row r="1742">
      <c r="A1742" s="4">
        <v>3217561.0</v>
      </c>
      <c r="B1742" s="6">
        <v>45394.0</v>
      </c>
    </row>
    <row r="1743">
      <c r="A1743" s="4">
        <v>3217561.0</v>
      </c>
      <c r="B1743" s="6">
        <v>45395.0</v>
      </c>
    </row>
    <row r="1744">
      <c r="A1744" s="4">
        <v>3217561.0</v>
      </c>
      <c r="B1744" s="6">
        <v>45396.0</v>
      </c>
    </row>
    <row r="1745">
      <c r="A1745" s="4">
        <v>3217561.0</v>
      </c>
      <c r="B1745" s="6">
        <v>45397.0</v>
      </c>
    </row>
    <row r="1746">
      <c r="A1746" s="4">
        <v>3217561.0</v>
      </c>
      <c r="B1746" s="6">
        <v>45543.0</v>
      </c>
    </row>
    <row r="1747">
      <c r="A1747" s="4">
        <v>3217561.0</v>
      </c>
      <c r="B1747" s="6">
        <v>45544.0</v>
      </c>
    </row>
    <row r="1748">
      <c r="A1748" s="4">
        <v>3217561.0</v>
      </c>
      <c r="B1748" s="6">
        <v>45545.0</v>
      </c>
    </row>
    <row r="1749">
      <c r="A1749" s="4">
        <v>3217561.0</v>
      </c>
      <c r="B1749" s="6">
        <v>45546.0</v>
      </c>
    </row>
    <row r="1750">
      <c r="A1750" s="4">
        <v>3217561.0</v>
      </c>
      <c r="B1750" s="6">
        <v>45547.0</v>
      </c>
    </row>
    <row r="1751">
      <c r="A1751" s="4">
        <v>3217561.0</v>
      </c>
      <c r="B1751" s="6">
        <v>45548.0</v>
      </c>
    </row>
    <row r="1752">
      <c r="A1752" s="4">
        <v>3217561.0</v>
      </c>
      <c r="B1752" s="6">
        <v>45549.0</v>
      </c>
    </row>
    <row r="1753">
      <c r="A1753" s="4">
        <v>3217561.0</v>
      </c>
      <c r="B1753" s="6">
        <v>45550.0</v>
      </c>
    </row>
    <row r="1754">
      <c r="A1754" s="4">
        <v>3217561.0</v>
      </c>
      <c r="B1754" s="6">
        <v>45611.0</v>
      </c>
    </row>
    <row r="1755">
      <c r="A1755" s="4">
        <v>3217561.0</v>
      </c>
      <c r="B1755" s="6">
        <v>45612.0</v>
      </c>
    </row>
    <row r="1756">
      <c r="A1756" s="4">
        <v>3217561.0</v>
      </c>
      <c r="B1756" s="6">
        <v>45613.0</v>
      </c>
    </row>
    <row r="1757">
      <c r="A1757" s="4">
        <v>3217561.0</v>
      </c>
      <c r="B1757" s="6">
        <v>45614.0</v>
      </c>
    </row>
    <row r="1758">
      <c r="A1758" s="4">
        <v>3217561.0</v>
      </c>
      <c r="B1758" s="6">
        <v>45615.0</v>
      </c>
    </row>
    <row r="1759">
      <c r="A1759" s="4">
        <v>3217561.0</v>
      </c>
      <c r="B1759" s="6">
        <v>45616.0</v>
      </c>
    </row>
    <row r="1760">
      <c r="A1760" s="4">
        <v>3217561.0</v>
      </c>
      <c r="B1760" s="6">
        <v>45617.0</v>
      </c>
    </row>
    <row r="1761">
      <c r="A1761" s="4">
        <v>3217561.0</v>
      </c>
      <c r="B1761" s="6">
        <v>45618.0</v>
      </c>
    </row>
    <row r="1762">
      <c r="A1762" s="4">
        <v>3217561.0</v>
      </c>
      <c r="B1762" s="6">
        <v>45619.0</v>
      </c>
    </row>
    <row r="1763">
      <c r="A1763" s="4">
        <v>3217561.0</v>
      </c>
      <c r="B1763" s="6">
        <v>45620.0</v>
      </c>
    </row>
    <row r="1764">
      <c r="A1764" s="4">
        <v>3217561.0</v>
      </c>
      <c r="B1764" s="6">
        <v>45621.0</v>
      </c>
    </row>
    <row r="1765">
      <c r="A1765" s="4">
        <v>3217561.0</v>
      </c>
      <c r="B1765" s="6">
        <v>45622.0</v>
      </c>
    </row>
    <row r="1766">
      <c r="A1766" s="4">
        <v>3217561.0</v>
      </c>
      <c r="B1766" s="6">
        <v>45623.0</v>
      </c>
    </row>
    <row r="1767">
      <c r="A1767" s="4">
        <v>3217561.0</v>
      </c>
      <c r="B1767" s="6">
        <v>45624.0</v>
      </c>
    </row>
    <row r="1768">
      <c r="A1768" s="4">
        <v>3217561.0</v>
      </c>
      <c r="B1768" s="6">
        <v>45625.0</v>
      </c>
    </row>
    <row r="1769">
      <c r="A1769" s="4">
        <v>3217561.0</v>
      </c>
      <c r="B1769" s="6">
        <v>45626.0</v>
      </c>
    </row>
    <row r="1770">
      <c r="A1770" s="4">
        <v>3217561.0</v>
      </c>
      <c r="B1770" s="6">
        <v>45755.0</v>
      </c>
    </row>
    <row r="1771">
      <c r="A1771" s="4">
        <v>3217561.0</v>
      </c>
      <c r="B1771" s="6">
        <v>45756.0</v>
      </c>
    </row>
    <row r="1772">
      <c r="A1772" s="4">
        <v>3217561.0</v>
      </c>
      <c r="B1772" s="6">
        <v>45757.0</v>
      </c>
    </row>
    <row r="1773">
      <c r="A1773" s="4">
        <v>3217561.0</v>
      </c>
      <c r="B1773" s="6">
        <v>45758.0</v>
      </c>
    </row>
    <row r="1774">
      <c r="A1774" s="4">
        <v>3217561.0</v>
      </c>
      <c r="B1774" s="6">
        <v>45759.0</v>
      </c>
    </row>
    <row r="1775">
      <c r="A1775" s="4">
        <v>3217561.0</v>
      </c>
      <c r="B1775" s="6">
        <v>45760.0</v>
      </c>
    </row>
    <row r="1776">
      <c r="A1776" s="4">
        <v>3217561.0</v>
      </c>
      <c r="B1776" s="6">
        <v>45761.0</v>
      </c>
    </row>
    <row r="1777">
      <c r="A1777" s="4">
        <v>3217561.0</v>
      </c>
      <c r="B1777" s="6">
        <v>45762.0</v>
      </c>
    </row>
    <row r="1778">
      <c r="A1778" s="4">
        <v>3217561.0</v>
      </c>
      <c r="B1778" s="6">
        <v>45763.0</v>
      </c>
    </row>
    <row r="1779">
      <c r="A1779" s="4">
        <v>3217561.0</v>
      </c>
      <c r="B1779" s="6">
        <v>45764.0</v>
      </c>
    </row>
    <row r="1780">
      <c r="A1780" s="4">
        <v>3217561.0</v>
      </c>
      <c r="B1780" s="6">
        <v>45765.0</v>
      </c>
    </row>
    <row r="1781">
      <c r="A1781" s="4">
        <v>3217561.0</v>
      </c>
      <c r="B1781" s="6">
        <v>45766.0</v>
      </c>
    </row>
    <row r="1782">
      <c r="A1782" s="4">
        <v>3217561.0</v>
      </c>
      <c r="B1782" s="6">
        <v>45767.0</v>
      </c>
    </row>
    <row r="1783">
      <c r="A1783" s="4">
        <v>3217561.0</v>
      </c>
      <c r="B1783" s="6">
        <v>45768.0</v>
      </c>
    </row>
    <row r="1784">
      <c r="A1784" s="4">
        <v>3217561.0</v>
      </c>
      <c r="B1784" s="6">
        <v>45769.0</v>
      </c>
    </row>
    <row r="1785">
      <c r="A1785" s="4">
        <v>3217561.0</v>
      </c>
      <c r="B1785" s="6">
        <v>45870.0</v>
      </c>
    </row>
    <row r="1786">
      <c r="A1786" s="4">
        <v>3217561.0</v>
      </c>
      <c r="B1786" s="6">
        <v>45871.0</v>
      </c>
    </row>
    <row r="1787">
      <c r="A1787" s="4">
        <v>3217561.0</v>
      </c>
      <c r="B1787" s="6">
        <v>45872.0</v>
      </c>
    </row>
    <row r="1788">
      <c r="A1788" s="4">
        <v>3217561.0</v>
      </c>
      <c r="B1788" s="6">
        <v>45873.0</v>
      </c>
    </row>
    <row r="1789">
      <c r="A1789" s="4">
        <v>3217561.0</v>
      </c>
      <c r="B1789" s="6">
        <v>45874.0</v>
      </c>
    </row>
    <row r="1790">
      <c r="A1790" s="4">
        <v>3217561.0</v>
      </c>
      <c r="B1790" s="6">
        <v>45875.0</v>
      </c>
    </row>
    <row r="1791">
      <c r="A1791" s="4">
        <v>3217561.0</v>
      </c>
      <c r="B1791" s="6">
        <v>45876.0</v>
      </c>
    </row>
    <row r="1792">
      <c r="A1792" s="4">
        <v>3217561.0</v>
      </c>
      <c r="B1792" s="6">
        <v>45944.0</v>
      </c>
    </row>
    <row r="1793">
      <c r="A1793" s="4">
        <v>3217561.0</v>
      </c>
      <c r="B1793" s="6">
        <v>45945.0</v>
      </c>
    </row>
    <row r="1794">
      <c r="A1794" s="4">
        <v>3217561.0</v>
      </c>
      <c r="B1794" s="6">
        <v>45946.0</v>
      </c>
    </row>
    <row r="1795">
      <c r="A1795" s="4">
        <v>3217561.0</v>
      </c>
      <c r="B1795" s="6">
        <v>45947.0</v>
      </c>
    </row>
    <row r="1796">
      <c r="A1796" s="4">
        <v>3217561.0</v>
      </c>
      <c r="B1796" s="6">
        <v>45948.0</v>
      </c>
    </row>
    <row r="1797">
      <c r="A1797" s="4">
        <v>3217561.0</v>
      </c>
      <c r="B1797" s="6">
        <v>45949.0</v>
      </c>
    </row>
    <row r="1798">
      <c r="A1798" s="4">
        <v>3217561.0</v>
      </c>
      <c r="B1798" s="6">
        <v>45950.0</v>
      </c>
    </row>
    <row r="1799">
      <c r="A1799" s="4">
        <v>3217561.0</v>
      </c>
      <c r="B1799" s="6">
        <v>45951.0</v>
      </c>
    </row>
    <row r="1800">
      <c r="A1800" s="4">
        <v>3217561.0</v>
      </c>
      <c r="B1800" s="6">
        <v>45952.0</v>
      </c>
    </row>
    <row r="1801">
      <c r="A1801" s="4">
        <v>3217561.0</v>
      </c>
      <c r="B1801" s="6">
        <v>45953.0</v>
      </c>
    </row>
    <row r="1802">
      <c r="A1802" s="4">
        <v>3217561.0</v>
      </c>
      <c r="B1802" s="6">
        <v>45954.0</v>
      </c>
    </row>
    <row r="1803">
      <c r="A1803" s="4">
        <v>3217561.0</v>
      </c>
      <c r="B1803" s="6">
        <v>45955.0</v>
      </c>
    </row>
    <row r="1804">
      <c r="A1804" s="4">
        <v>3217561.0</v>
      </c>
      <c r="B1804" s="6">
        <v>45956.0</v>
      </c>
    </row>
    <row r="1805">
      <c r="A1805" s="4">
        <v>3217561.0</v>
      </c>
      <c r="B1805" s="6">
        <v>45957.0</v>
      </c>
    </row>
    <row r="1806">
      <c r="A1806" s="4">
        <v>3217561.0</v>
      </c>
      <c r="B1806" s="6">
        <v>45958.0</v>
      </c>
    </row>
    <row r="1807">
      <c r="A1807" s="4">
        <v>3217561.0</v>
      </c>
      <c r="B1807" s="6">
        <v>45959.0</v>
      </c>
    </row>
    <row r="1808">
      <c r="A1808" s="4">
        <v>3217561.0</v>
      </c>
      <c r="B1808" s="6">
        <v>45960.0</v>
      </c>
    </row>
    <row r="1809">
      <c r="A1809" s="4">
        <v>3217561.0</v>
      </c>
      <c r="B1809" s="6">
        <v>45961.0</v>
      </c>
    </row>
    <row r="1810">
      <c r="A1810" s="4">
        <v>3217561.0</v>
      </c>
      <c r="B1810" s="6">
        <v>46120.0</v>
      </c>
    </row>
    <row r="1811">
      <c r="A1811" s="4">
        <v>3217561.0</v>
      </c>
      <c r="B1811" s="6">
        <v>46121.0</v>
      </c>
    </row>
    <row r="1812">
      <c r="A1812" s="4">
        <v>3217561.0</v>
      </c>
      <c r="B1812" s="6">
        <v>46122.0</v>
      </c>
    </row>
    <row r="1813">
      <c r="A1813" s="4">
        <v>3217561.0</v>
      </c>
      <c r="B1813" s="6">
        <v>46123.0</v>
      </c>
    </row>
    <row r="1814">
      <c r="A1814" s="4">
        <v>3217561.0</v>
      </c>
      <c r="B1814" s="6">
        <v>46124.0</v>
      </c>
    </row>
    <row r="1815">
      <c r="A1815" s="4">
        <v>3217561.0</v>
      </c>
      <c r="B1815" s="6">
        <v>46125.0</v>
      </c>
    </row>
    <row r="1816">
      <c r="A1816" s="4">
        <v>3217561.0</v>
      </c>
      <c r="B1816" s="6">
        <v>46126.0</v>
      </c>
    </row>
    <row r="1817">
      <c r="A1817" s="4">
        <v>3217561.0</v>
      </c>
      <c r="B1817" s="6">
        <v>46127.0</v>
      </c>
    </row>
    <row r="1818">
      <c r="A1818" s="4">
        <v>3217561.0</v>
      </c>
      <c r="B1818" s="6">
        <v>46128.0</v>
      </c>
    </row>
    <row r="1819">
      <c r="A1819" s="4">
        <v>3217561.0</v>
      </c>
      <c r="B1819" s="6">
        <v>46129.0</v>
      </c>
    </row>
    <row r="1820">
      <c r="A1820" s="4">
        <v>3217561.0</v>
      </c>
      <c r="B1820" s="6">
        <v>46130.0</v>
      </c>
    </row>
    <row r="1821">
      <c r="A1821" s="4">
        <v>3217561.0</v>
      </c>
      <c r="B1821" s="6">
        <v>46131.0</v>
      </c>
    </row>
    <row r="1822">
      <c r="A1822" s="4">
        <v>3217561.0</v>
      </c>
      <c r="B1822" s="6">
        <v>46132.0</v>
      </c>
    </row>
    <row r="1823">
      <c r="A1823" s="4">
        <v>3217561.0</v>
      </c>
      <c r="B1823" s="6">
        <v>46133.0</v>
      </c>
    </row>
    <row r="1824">
      <c r="A1824" s="4">
        <v>3217561.0</v>
      </c>
      <c r="B1824" s="6">
        <v>46134.0</v>
      </c>
    </row>
    <row r="1825">
      <c r="A1825" s="4">
        <v>3217561.0</v>
      </c>
      <c r="B1825" s="6">
        <v>46281.0</v>
      </c>
    </row>
    <row r="1826">
      <c r="A1826" s="4">
        <v>3217561.0</v>
      </c>
      <c r="B1826" s="6">
        <v>46282.0</v>
      </c>
    </row>
    <row r="1827">
      <c r="A1827" s="4">
        <v>3217561.0</v>
      </c>
      <c r="B1827" s="6">
        <v>46283.0</v>
      </c>
    </row>
    <row r="1828">
      <c r="A1828" s="4">
        <v>3217561.0</v>
      </c>
      <c r="B1828" s="6">
        <v>46284.0</v>
      </c>
    </row>
    <row r="1829">
      <c r="A1829" s="4">
        <v>3217561.0</v>
      </c>
      <c r="B1829" s="6">
        <v>46285.0</v>
      </c>
    </row>
    <row r="1830">
      <c r="A1830" s="4">
        <v>3217561.0</v>
      </c>
      <c r="B1830" s="6">
        <v>46286.0</v>
      </c>
    </row>
    <row r="1831">
      <c r="A1831" s="4">
        <v>3217561.0</v>
      </c>
      <c r="B1831" s="6">
        <v>46287.0</v>
      </c>
    </row>
    <row r="1832">
      <c r="A1832" s="4">
        <v>3217561.0</v>
      </c>
      <c r="B1832" s="6">
        <v>46288.0</v>
      </c>
    </row>
    <row r="1833">
      <c r="A1833" s="4">
        <v>3217561.0</v>
      </c>
      <c r="B1833" s="6">
        <v>46289.0</v>
      </c>
    </row>
    <row r="1834">
      <c r="A1834" s="4">
        <v>3217561.0</v>
      </c>
      <c r="B1834" s="6">
        <v>46290.0</v>
      </c>
    </row>
    <row r="1835">
      <c r="A1835" s="4">
        <v>3217561.0</v>
      </c>
      <c r="B1835" s="6">
        <v>46291.0</v>
      </c>
    </row>
    <row r="1836">
      <c r="A1836" s="4">
        <v>3217561.0</v>
      </c>
      <c r="B1836" s="6">
        <v>46292.0</v>
      </c>
    </row>
    <row r="1837">
      <c r="A1837" s="4">
        <v>3217561.0</v>
      </c>
      <c r="B1837" s="6">
        <v>46293.0</v>
      </c>
    </row>
    <row r="1838">
      <c r="A1838" s="4">
        <v>3217561.0</v>
      </c>
      <c r="B1838" s="6">
        <v>46294.0</v>
      </c>
    </row>
    <row r="1839">
      <c r="A1839" s="4">
        <v>3217561.0</v>
      </c>
      <c r="B1839" s="6">
        <v>46295.0</v>
      </c>
    </row>
    <row r="1840">
      <c r="A1840" s="4">
        <v>3750335.0</v>
      </c>
      <c r="B1840" s="6">
        <v>45383.0</v>
      </c>
    </row>
    <row r="1841">
      <c r="A1841" s="4">
        <v>3750335.0</v>
      </c>
      <c r="B1841" s="6">
        <v>45384.0</v>
      </c>
    </row>
    <row r="1842">
      <c r="A1842" s="4">
        <v>3750335.0</v>
      </c>
      <c r="B1842" s="6">
        <v>45385.0</v>
      </c>
    </row>
    <row r="1843">
      <c r="A1843" s="4">
        <v>3750335.0</v>
      </c>
      <c r="B1843" s="6">
        <v>45386.0</v>
      </c>
    </row>
    <row r="1844">
      <c r="A1844" s="4">
        <v>3750335.0</v>
      </c>
      <c r="B1844" s="6">
        <v>45387.0</v>
      </c>
    </row>
    <row r="1845">
      <c r="A1845" s="4">
        <v>3750335.0</v>
      </c>
      <c r="B1845" s="6">
        <v>45388.0</v>
      </c>
    </row>
    <row r="1846">
      <c r="A1846" s="4">
        <v>3750335.0</v>
      </c>
      <c r="B1846" s="6">
        <v>45389.0</v>
      </c>
    </row>
    <row r="1847">
      <c r="A1847" s="4">
        <v>3750335.0</v>
      </c>
      <c r="B1847" s="6">
        <v>45391.0</v>
      </c>
    </row>
    <row r="1848">
      <c r="A1848" s="4">
        <v>3750335.0</v>
      </c>
      <c r="B1848" s="6">
        <v>45392.0</v>
      </c>
    </row>
    <row r="1849">
      <c r="A1849" s="4">
        <v>3750335.0</v>
      </c>
      <c r="B1849" s="6">
        <v>45393.0</v>
      </c>
    </row>
    <row r="1850">
      <c r="A1850" s="4">
        <v>3750335.0</v>
      </c>
      <c r="B1850" s="6">
        <v>45394.0</v>
      </c>
    </row>
    <row r="1851">
      <c r="A1851" s="4">
        <v>3750335.0</v>
      </c>
      <c r="B1851" s="6">
        <v>45395.0</v>
      </c>
    </row>
    <row r="1852">
      <c r="A1852" s="4">
        <v>3750335.0</v>
      </c>
      <c r="B1852" s="6">
        <v>45396.0</v>
      </c>
    </row>
    <row r="1853">
      <c r="A1853" s="4">
        <v>3750335.0</v>
      </c>
      <c r="B1853" s="6">
        <v>45397.0</v>
      </c>
    </row>
    <row r="1854">
      <c r="A1854" s="4">
        <v>3750335.0</v>
      </c>
      <c r="B1854" s="6">
        <v>45398.0</v>
      </c>
    </row>
    <row r="1855">
      <c r="A1855" s="4">
        <v>3750335.0</v>
      </c>
      <c r="B1855" s="6">
        <v>45399.0</v>
      </c>
    </row>
    <row r="1856">
      <c r="A1856" s="4">
        <v>3750335.0</v>
      </c>
      <c r="B1856" s="6">
        <v>45400.0</v>
      </c>
    </row>
    <row r="1857">
      <c r="A1857" s="4">
        <v>3750335.0</v>
      </c>
      <c r="B1857" s="6">
        <v>45401.0</v>
      </c>
    </row>
    <row r="1858">
      <c r="A1858" s="4">
        <v>3750335.0</v>
      </c>
      <c r="B1858" s="6">
        <v>45402.0</v>
      </c>
    </row>
    <row r="1859">
      <c r="A1859" s="4">
        <v>3750335.0</v>
      </c>
      <c r="B1859" s="6">
        <v>45543.0</v>
      </c>
    </row>
    <row r="1860">
      <c r="A1860" s="4">
        <v>3750335.0</v>
      </c>
      <c r="B1860" s="6">
        <v>45544.0</v>
      </c>
    </row>
    <row r="1861">
      <c r="A1861" s="4">
        <v>3750335.0</v>
      </c>
      <c r="B1861" s="6">
        <v>45545.0</v>
      </c>
    </row>
    <row r="1862">
      <c r="A1862" s="4">
        <v>3750335.0</v>
      </c>
      <c r="B1862" s="6">
        <v>45546.0</v>
      </c>
    </row>
    <row r="1863">
      <c r="A1863" s="4">
        <v>3750335.0</v>
      </c>
      <c r="B1863" s="6">
        <v>45547.0</v>
      </c>
    </row>
    <row r="1864">
      <c r="A1864" s="4">
        <v>3750335.0</v>
      </c>
      <c r="B1864" s="6">
        <v>45548.0</v>
      </c>
    </row>
    <row r="1865">
      <c r="A1865" s="4">
        <v>3750335.0</v>
      </c>
      <c r="B1865" s="6">
        <v>45549.0</v>
      </c>
    </row>
    <row r="1866">
      <c r="A1866" s="4">
        <v>3750335.0</v>
      </c>
      <c r="B1866" s="6">
        <v>45550.0</v>
      </c>
    </row>
    <row r="1867">
      <c r="A1867" s="4">
        <v>3750335.0</v>
      </c>
      <c r="B1867" s="6">
        <v>45573.0</v>
      </c>
    </row>
    <row r="1868">
      <c r="A1868" s="4">
        <v>3750335.0</v>
      </c>
      <c r="B1868" s="6">
        <v>45574.0</v>
      </c>
    </row>
    <row r="1869">
      <c r="A1869" s="4">
        <v>3750335.0</v>
      </c>
      <c r="B1869" s="6">
        <v>45575.0</v>
      </c>
    </row>
    <row r="1870">
      <c r="A1870" s="4">
        <v>3750335.0</v>
      </c>
      <c r="B1870" s="6">
        <v>45576.0</v>
      </c>
    </row>
    <row r="1871">
      <c r="A1871" s="4">
        <v>3750335.0</v>
      </c>
      <c r="B1871" s="6">
        <v>45577.0</v>
      </c>
    </row>
    <row r="1872">
      <c r="A1872" s="4">
        <v>3750335.0</v>
      </c>
      <c r="B1872" s="6">
        <v>45578.0</v>
      </c>
    </row>
    <row r="1873">
      <c r="A1873" s="4">
        <v>3750335.0</v>
      </c>
      <c r="B1873" s="6">
        <v>45579.0</v>
      </c>
    </row>
    <row r="1874">
      <c r="A1874" s="4">
        <v>3750335.0</v>
      </c>
      <c r="B1874" s="6">
        <v>45580.0</v>
      </c>
    </row>
    <row r="1875">
      <c r="A1875" s="4">
        <v>3750335.0</v>
      </c>
      <c r="B1875" s="6">
        <v>45736.0</v>
      </c>
    </row>
    <row r="1876">
      <c r="A1876" s="4">
        <v>3750335.0</v>
      </c>
      <c r="B1876" s="6">
        <v>45737.0</v>
      </c>
    </row>
    <row r="1877">
      <c r="A1877" s="4">
        <v>3750335.0</v>
      </c>
      <c r="B1877" s="6">
        <v>45738.0</v>
      </c>
    </row>
    <row r="1878">
      <c r="A1878" s="4">
        <v>3750335.0</v>
      </c>
      <c r="B1878" s="6">
        <v>45739.0</v>
      </c>
    </row>
    <row r="1879">
      <c r="A1879" s="4">
        <v>3750335.0</v>
      </c>
      <c r="B1879" s="6">
        <v>45740.0</v>
      </c>
    </row>
    <row r="1880">
      <c r="A1880" s="4">
        <v>3750335.0</v>
      </c>
      <c r="B1880" s="6">
        <v>45741.0</v>
      </c>
    </row>
    <row r="1881">
      <c r="A1881" s="4">
        <v>3750335.0</v>
      </c>
      <c r="B1881" s="6">
        <v>45742.0</v>
      </c>
    </row>
    <row r="1882">
      <c r="A1882" s="4">
        <v>3750335.0</v>
      </c>
      <c r="B1882" s="6">
        <v>45743.0</v>
      </c>
    </row>
    <row r="1883">
      <c r="A1883" s="4">
        <v>3750335.0</v>
      </c>
      <c r="B1883" s="6">
        <v>45744.0</v>
      </c>
    </row>
    <row r="1884">
      <c r="A1884" s="4">
        <v>3750335.0</v>
      </c>
      <c r="B1884" s="6">
        <v>45745.0</v>
      </c>
    </row>
    <row r="1885">
      <c r="A1885" s="4">
        <v>3750335.0</v>
      </c>
      <c r="B1885" s="6">
        <v>45746.0</v>
      </c>
    </row>
    <row r="1886">
      <c r="A1886" s="4">
        <v>3750335.0</v>
      </c>
      <c r="B1886" s="6">
        <v>45747.0</v>
      </c>
    </row>
    <row r="1887">
      <c r="A1887" s="4">
        <v>3750335.0</v>
      </c>
      <c r="B1887" s="6">
        <v>45748.0</v>
      </c>
    </row>
    <row r="1888">
      <c r="A1888" s="4">
        <v>3750335.0</v>
      </c>
      <c r="B1888" s="6">
        <v>45749.0</v>
      </c>
    </row>
    <row r="1889">
      <c r="A1889" s="4">
        <v>3750335.0</v>
      </c>
      <c r="B1889" s="6">
        <v>45750.0</v>
      </c>
    </row>
    <row r="1890">
      <c r="A1890" s="4">
        <v>3750335.0</v>
      </c>
      <c r="B1890" s="6">
        <v>45751.0</v>
      </c>
    </row>
    <row r="1891">
      <c r="A1891" s="4">
        <v>3750335.0</v>
      </c>
      <c r="B1891" s="6">
        <v>45752.0</v>
      </c>
    </row>
    <row r="1892">
      <c r="A1892" s="4">
        <v>3750335.0</v>
      </c>
      <c r="B1892" s="6">
        <v>45753.0</v>
      </c>
    </row>
    <row r="1893">
      <c r="A1893" s="4">
        <v>3750335.0</v>
      </c>
      <c r="B1893" s="6">
        <v>45754.0</v>
      </c>
    </row>
    <row r="1894">
      <c r="A1894" s="4">
        <v>3750335.0</v>
      </c>
      <c r="B1894" s="6">
        <v>45885.0</v>
      </c>
    </row>
    <row r="1895">
      <c r="A1895" s="4">
        <v>3750335.0</v>
      </c>
      <c r="B1895" s="6">
        <v>45886.0</v>
      </c>
    </row>
    <row r="1896">
      <c r="A1896" s="4">
        <v>3750335.0</v>
      </c>
      <c r="B1896" s="6">
        <v>45887.0</v>
      </c>
    </row>
    <row r="1897">
      <c r="A1897" s="4">
        <v>3750335.0</v>
      </c>
      <c r="B1897" s="6">
        <v>45888.0</v>
      </c>
    </row>
    <row r="1898">
      <c r="A1898" s="4">
        <v>3750335.0</v>
      </c>
      <c r="B1898" s="6">
        <v>45889.0</v>
      </c>
    </row>
    <row r="1899">
      <c r="A1899" s="4">
        <v>3750335.0</v>
      </c>
      <c r="B1899" s="6">
        <v>45890.0</v>
      </c>
    </row>
    <row r="1900">
      <c r="A1900" s="4">
        <v>3750335.0</v>
      </c>
      <c r="B1900" s="6">
        <v>45891.0</v>
      </c>
    </row>
    <row r="1901">
      <c r="A1901" s="4">
        <v>3750335.0</v>
      </c>
      <c r="B1901" s="6">
        <v>45892.0</v>
      </c>
    </row>
    <row r="1902">
      <c r="A1902" s="4">
        <v>3750335.0</v>
      </c>
      <c r="B1902" s="6">
        <v>45938.0</v>
      </c>
    </row>
    <row r="1903">
      <c r="A1903" s="4">
        <v>3750335.0</v>
      </c>
      <c r="B1903" s="6">
        <v>45939.0</v>
      </c>
    </row>
    <row r="1904">
      <c r="A1904" s="4">
        <v>3750335.0</v>
      </c>
      <c r="B1904" s="6">
        <v>45940.0</v>
      </c>
    </row>
    <row r="1905">
      <c r="A1905" s="4">
        <v>3750335.0</v>
      </c>
      <c r="B1905" s="6">
        <v>45941.0</v>
      </c>
    </row>
    <row r="1906">
      <c r="A1906" s="4">
        <v>3750335.0</v>
      </c>
      <c r="B1906" s="6">
        <v>45942.0</v>
      </c>
    </row>
    <row r="1907">
      <c r="A1907" s="4">
        <v>3750335.0</v>
      </c>
      <c r="B1907" s="6">
        <v>45943.0</v>
      </c>
    </row>
    <row r="1908">
      <c r="A1908" s="4">
        <v>3750335.0</v>
      </c>
      <c r="B1908" s="6">
        <v>45944.0</v>
      </c>
    </row>
    <row r="1909">
      <c r="A1909" s="4">
        <v>3750335.0</v>
      </c>
      <c r="B1909" s="6">
        <v>45945.0</v>
      </c>
    </row>
    <row r="1910">
      <c r="A1910" s="4">
        <v>3750335.0</v>
      </c>
      <c r="B1910" s="6">
        <v>46123.0</v>
      </c>
    </row>
    <row r="1911">
      <c r="A1911" s="4">
        <v>3750335.0</v>
      </c>
      <c r="B1911" s="6">
        <v>46124.0</v>
      </c>
    </row>
    <row r="1912">
      <c r="A1912" s="4">
        <v>3750335.0</v>
      </c>
      <c r="B1912" s="6">
        <v>46125.0</v>
      </c>
    </row>
    <row r="1913">
      <c r="A1913" s="4">
        <v>3750335.0</v>
      </c>
      <c r="B1913" s="6">
        <v>46126.0</v>
      </c>
    </row>
    <row r="1914">
      <c r="A1914" s="4">
        <v>3750335.0</v>
      </c>
      <c r="B1914" s="6">
        <v>46127.0</v>
      </c>
    </row>
    <row r="1915">
      <c r="A1915" s="4">
        <v>3750335.0</v>
      </c>
      <c r="B1915" s="6">
        <v>46128.0</v>
      </c>
    </row>
    <row r="1916">
      <c r="A1916" s="4">
        <v>3750335.0</v>
      </c>
      <c r="B1916" s="6">
        <v>46129.0</v>
      </c>
    </row>
    <row r="1917">
      <c r="A1917" s="4">
        <v>3750335.0</v>
      </c>
      <c r="B1917" s="6">
        <v>46130.0</v>
      </c>
    </row>
    <row r="1918">
      <c r="A1918" s="4">
        <v>3750335.0</v>
      </c>
      <c r="B1918" s="6">
        <v>46131.0</v>
      </c>
    </row>
    <row r="1919">
      <c r="A1919" s="4">
        <v>3750335.0</v>
      </c>
      <c r="B1919" s="6">
        <v>46132.0</v>
      </c>
    </row>
    <row r="1920">
      <c r="A1920" s="4">
        <v>3750335.0</v>
      </c>
      <c r="B1920" s="6">
        <v>46133.0</v>
      </c>
    </row>
    <row r="1921">
      <c r="A1921" s="4">
        <v>3750335.0</v>
      </c>
      <c r="B1921" s="6">
        <v>46134.0</v>
      </c>
    </row>
    <row r="1922">
      <c r="A1922" s="4">
        <v>3750335.0</v>
      </c>
      <c r="B1922" s="6">
        <v>46135.0</v>
      </c>
    </row>
    <row r="1923">
      <c r="A1923" s="4">
        <v>3750335.0</v>
      </c>
      <c r="B1923" s="6">
        <v>46136.0</v>
      </c>
    </row>
    <row r="1924">
      <c r="A1924" s="4">
        <v>3750335.0</v>
      </c>
      <c r="B1924" s="6">
        <v>46137.0</v>
      </c>
    </row>
    <row r="1925">
      <c r="A1925" s="4">
        <v>3750335.0</v>
      </c>
      <c r="B1925" s="6">
        <v>46138.0</v>
      </c>
    </row>
    <row r="1926">
      <c r="A1926" s="4">
        <v>3750335.0</v>
      </c>
      <c r="B1926" s="6">
        <v>46139.0</v>
      </c>
    </row>
    <row r="1927">
      <c r="A1927" s="4">
        <v>3750335.0</v>
      </c>
      <c r="B1927" s="6">
        <v>46140.0</v>
      </c>
    </row>
    <row r="1928">
      <c r="A1928" s="4">
        <v>3750335.0</v>
      </c>
      <c r="B1928" s="6">
        <v>46141.0</v>
      </c>
    </row>
    <row r="1929">
      <c r="A1929" s="4">
        <v>3750335.0</v>
      </c>
      <c r="B1929" s="6">
        <v>46142.0</v>
      </c>
    </row>
    <row r="1930">
      <c r="A1930" s="4">
        <v>3750335.0</v>
      </c>
      <c r="B1930" s="6">
        <v>46273.0</v>
      </c>
    </row>
    <row r="1931">
      <c r="A1931" s="4">
        <v>3750335.0</v>
      </c>
      <c r="B1931" s="6">
        <v>46274.0</v>
      </c>
    </row>
    <row r="1932">
      <c r="A1932" s="4">
        <v>3750335.0</v>
      </c>
      <c r="B1932" s="6">
        <v>46275.0</v>
      </c>
    </row>
    <row r="1933">
      <c r="A1933" s="4">
        <v>3750335.0</v>
      </c>
      <c r="B1933" s="6">
        <v>46276.0</v>
      </c>
    </row>
    <row r="1934">
      <c r="A1934" s="4">
        <v>3750335.0</v>
      </c>
      <c r="B1934" s="6">
        <v>46277.0</v>
      </c>
    </row>
    <row r="1935">
      <c r="A1935" s="4">
        <v>3750335.0</v>
      </c>
      <c r="B1935" s="6">
        <v>46278.0</v>
      </c>
    </row>
    <row r="1936">
      <c r="A1936" s="4">
        <v>3750335.0</v>
      </c>
      <c r="B1936" s="6">
        <v>46279.0</v>
      </c>
    </row>
    <row r="1937">
      <c r="A1937" s="4">
        <v>3750335.0</v>
      </c>
      <c r="B1937" s="6">
        <v>46280.0</v>
      </c>
    </row>
    <row r="1938">
      <c r="A1938" s="4">
        <v>3750335.0</v>
      </c>
      <c r="B1938" s="6">
        <v>46313.0</v>
      </c>
    </row>
    <row r="1939">
      <c r="A1939" s="4">
        <v>3750335.0</v>
      </c>
      <c r="B1939" s="6">
        <v>46314.0</v>
      </c>
    </row>
    <row r="1940">
      <c r="A1940" s="4">
        <v>3750335.0</v>
      </c>
      <c r="B1940" s="6">
        <v>46315.0</v>
      </c>
    </row>
    <row r="1941">
      <c r="A1941" s="4">
        <v>3750335.0</v>
      </c>
      <c r="B1941" s="6">
        <v>46316.0</v>
      </c>
    </row>
    <row r="1942">
      <c r="A1942" s="4">
        <v>3750335.0</v>
      </c>
      <c r="B1942" s="6">
        <v>46317.0</v>
      </c>
    </row>
    <row r="1943">
      <c r="A1943" s="4">
        <v>3750335.0</v>
      </c>
      <c r="B1943" s="6">
        <v>46318.0</v>
      </c>
    </row>
    <row r="1944">
      <c r="A1944" s="4">
        <v>3750335.0</v>
      </c>
      <c r="B1944" s="6">
        <v>46319.0</v>
      </c>
    </row>
    <row r="1945">
      <c r="A1945" s="4">
        <v>3750335.0</v>
      </c>
      <c r="B1945" s="6">
        <v>46320.0</v>
      </c>
    </row>
    <row r="1946">
      <c r="A1946" s="4">
        <v>3779550.0</v>
      </c>
      <c r="B1946" s="6">
        <v>45383.0</v>
      </c>
    </row>
    <row r="1947">
      <c r="A1947" s="4">
        <v>3779550.0</v>
      </c>
      <c r="B1947" s="6">
        <v>45384.0</v>
      </c>
    </row>
    <row r="1948">
      <c r="A1948" s="4">
        <v>3779550.0</v>
      </c>
      <c r="B1948" s="6">
        <v>45385.0</v>
      </c>
    </row>
    <row r="1949">
      <c r="A1949" s="4">
        <v>3779550.0</v>
      </c>
      <c r="B1949" s="6">
        <v>45386.0</v>
      </c>
    </row>
    <row r="1950">
      <c r="A1950" s="4">
        <v>3779550.0</v>
      </c>
      <c r="B1950" s="6">
        <v>45387.0</v>
      </c>
    </row>
    <row r="1951">
      <c r="A1951" s="4">
        <v>3779550.0</v>
      </c>
      <c r="B1951" s="6">
        <v>45388.0</v>
      </c>
    </row>
    <row r="1952">
      <c r="A1952" s="4">
        <v>3779550.0</v>
      </c>
      <c r="B1952" s="6">
        <v>45389.0</v>
      </c>
    </row>
    <row r="1953">
      <c r="A1953" s="4">
        <v>3779550.0</v>
      </c>
      <c r="B1953" s="6">
        <v>45451.0</v>
      </c>
    </row>
    <row r="1954">
      <c r="A1954" s="4">
        <v>3779550.0</v>
      </c>
      <c r="B1954" s="6">
        <v>45452.0</v>
      </c>
    </row>
    <row r="1955">
      <c r="A1955" s="4">
        <v>3779550.0</v>
      </c>
      <c r="B1955" s="6">
        <v>45453.0</v>
      </c>
    </row>
    <row r="1956">
      <c r="A1956" s="4">
        <v>3779550.0</v>
      </c>
      <c r="B1956" s="6">
        <v>45454.0</v>
      </c>
    </row>
    <row r="1957">
      <c r="A1957" s="4">
        <v>3779550.0</v>
      </c>
      <c r="B1957" s="6">
        <v>45455.0</v>
      </c>
    </row>
    <row r="1958">
      <c r="A1958" s="4">
        <v>3779550.0</v>
      </c>
      <c r="B1958" s="6">
        <v>45456.0</v>
      </c>
    </row>
    <row r="1959">
      <c r="A1959" s="4">
        <v>3779550.0</v>
      </c>
      <c r="B1959" s="6">
        <v>45457.0</v>
      </c>
    </row>
    <row r="1960">
      <c r="A1960" s="4">
        <v>3779550.0</v>
      </c>
      <c r="B1960" s="6">
        <v>45458.0</v>
      </c>
    </row>
    <row r="1961">
      <c r="A1961" s="4">
        <v>3779550.0</v>
      </c>
      <c r="B1961" s="6">
        <v>45597.0</v>
      </c>
    </row>
    <row r="1962">
      <c r="A1962" s="4">
        <v>3779550.0</v>
      </c>
      <c r="B1962" s="6">
        <v>45598.0</v>
      </c>
    </row>
    <row r="1963">
      <c r="A1963" s="4">
        <v>3779550.0</v>
      </c>
      <c r="B1963" s="6">
        <v>45599.0</v>
      </c>
    </row>
    <row r="1964">
      <c r="A1964" s="4">
        <v>3779550.0</v>
      </c>
      <c r="B1964" s="6">
        <v>45600.0</v>
      </c>
    </row>
    <row r="1965">
      <c r="A1965" s="4">
        <v>3779550.0</v>
      </c>
      <c r="B1965" s="6">
        <v>45601.0</v>
      </c>
    </row>
    <row r="1966">
      <c r="A1966" s="4">
        <v>3779550.0</v>
      </c>
      <c r="B1966" s="6">
        <v>45602.0</v>
      </c>
    </row>
    <row r="1967">
      <c r="A1967" s="4">
        <v>3779550.0</v>
      </c>
      <c r="B1967" s="6">
        <v>45603.0</v>
      </c>
    </row>
    <row r="1968">
      <c r="A1968" s="4">
        <v>3779550.0</v>
      </c>
      <c r="B1968" s="6">
        <v>45604.0</v>
      </c>
    </row>
    <row r="1969">
      <c r="A1969" s="4">
        <v>3779550.0</v>
      </c>
      <c r="B1969" s="6">
        <v>45605.0</v>
      </c>
    </row>
    <row r="1970">
      <c r="A1970" s="4">
        <v>3779550.0</v>
      </c>
      <c r="B1970" s="6">
        <v>45606.0</v>
      </c>
    </row>
    <row r="1971">
      <c r="A1971" s="4">
        <v>3779550.0</v>
      </c>
      <c r="B1971" s="6">
        <v>45607.0</v>
      </c>
    </row>
    <row r="1972">
      <c r="A1972" s="4">
        <v>3779550.0</v>
      </c>
      <c r="B1972" s="6">
        <v>45608.0</v>
      </c>
    </row>
    <row r="1973">
      <c r="A1973" s="4">
        <v>3779550.0</v>
      </c>
      <c r="B1973" s="6">
        <v>45609.0</v>
      </c>
    </row>
    <row r="1974">
      <c r="A1974" s="4">
        <v>3779550.0</v>
      </c>
      <c r="B1974" s="6">
        <v>45610.0</v>
      </c>
    </row>
    <row r="1975">
      <c r="A1975" s="4">
        <v>3779550.0</v>
      </c>
      <c r="B1975" s="6">
        <v>45611.0</v>
      </c>
    </row>
    <row r="1976">
      <c r="A1976" s="4">
        <v>3779550.0</v>
      </c>
      <c r="B1976" s="6">
        <v>45673.0</v>
      </c>
    </row>
    <row r="1977">
      <c r="A1977" s="4">
        <v>3779550.0</v>
      </c>
      <c r="B1977" s="6">
        <v>45674.0</v>
      </c>
    </row>
    <row r="1978">
      <c r="A1978" s="4">
        <v>3779550.0</v>
      </c>
      <c r="B1978" s="6">
        <v>45675.0</v>
      </c>
    </row>
    <row r="1979">
      <c r="A1979" s="4">
        <v>3779550.0</v>
      </c>
      <c r="B1979" s="6">
        <v>45676.0</v>
      </c>
    </row>
    <row r="1980">
      <c r="A1980" s="4">
        <v>3779550.0</v>
      </c>
      <c r="B1980" s="6">
        <v>45677.0</v>
      </c>
    </row>
    <row r="1981">
      <c r="A1981" s="4">
        <v>3779550.0</v>
      </c>
      <c r="B1981" s="6">
        <v>45678.0</v>
      </c>
    </row>
    <row r="1982">
      <c r="A1982" s="4">
        <v>3779550.0</v>
      </c>
      <c r="B1982" s="6">
        <v>45679.0</v>
      </c>
    </row>
    <row r="1983">
      <c r="A1983" s="4">
        <v>3779550.0</v>
      </c>
      <c r="B1983" s="6">
        <v>45680.0</v>
      </c>
    </row>
    <row r="1984">
      <c r="A1984" s="4">
        <v>3779550.0</v>
      </c>
      <c r="B1984" s="6">
        <v>45770.0</v>
      </c>
    </row>
    <row r="1985">
      <c r="A1985" s="4">
        <v>3779550.0</v>
      </c>
      <c r="B1985" s="6">
        <v>45771.0</v>
      </c>
    </row>
    <row r="1986">
      <c r="A1986" s="4">
        <v>3779550.0</v>
      </c>
      <c r="B1986" s="6">
        <v>45772.0</v>
      </c>
    </row>
    <row r="1987">
      <c r="A1987" s="4">
        <v>3779550.0</v>
      </c>
      <c r="B1987" s="6">
        <v>45773.0</v>
      </c>
    </row>
    <row r="1988">
      <c r="A1988" s="4">
        <v>3779550.0</v>
      </c>
      <c r="B1988" s="6">
        <v>45774.0</v>
      </c>
    </row>
    <row r="1989">
      <c r="A1989" s="4">
        <v>3779550.0</v>
      </c>
      <c r="B1989" s="6">
        <v>45775.0</v>
      </c>
    </row>
    <row r="1990">
      <c r="A1990" s="4">
        <v>3779550.0</v>
      </c>
      <c r="B1990" s="6">
        <v>45776.0</v>
      </c>
    </row>
    <row r="1991">
      <c r="A1991" s="4">
        <v>3779550.0</v>
      </c>
      <c r="B1991" s="6">
        <v>45777.0</v>
      </c>
    </row>
    <row r="1992">
      <c r="A1992" s="4">
        <v>3779550.0</v>
      </c>
      <c r="B1992" s="6">
        <v>45778.0</v>
      </c>
    </row>
    <row r="1993">
      <c r="A1993" s="4">
        <v>3779550.0</v>
      </c>
      <c r="B1993" s="6">
        <v>45779.0</v>
      </c>
    </row>
    <row r="1994">
      <c r="A1994" s="4">
        <v>3779550.0</v>
      </c>
      <c r="B1994" s="6">
        <v>45780.0</v>
      </c>
    </row>
    <row r="1995">
      <c r="A1995" s="4">
        <v>3779550.0</v>
      </c>
      <c r="B1995" s="6">
        <v>45781.0</v>
      </c>
    </row>
    <row r="1996">
      <c r="A1996" s="4">
        <v>3779550.0</v>
      </c>
      <c r="B1996" s="6">
        <v>45782.0</v>
      </c>
    </row>
    <row r="1997">
      <c r="A1997" s="4">
        <v>3779550.0</v>
      </c>
      <c r="B1997" s="6">
        <v>45783.0</v>
      </c>
    </row>
    <row r="1998">
      <c r="A1998" s="4">
        <v>3779550.0</v>
      </c>
      <c r="B1998" s="6">
        <v>45784.0</v>
      </c>
    </row>
    <row r="1999">
      <c r="A1999" s="4">
        <v>3779550.0</v>
      </c>
      <c r="B1999" s="6">
        <v>45946.0</v>
      </c>
    </row>
    <row r="2000">
      <c r="A2000" s="4">
        <v>3779550.0</v>
      </c>
      <c r="B2000" s="6">
        <v>45947.0</v>
      </c>
    </row>
    <row r="2001">
      <c r="A2001" s="4">
        <v>3779550.0</v>
      </c>
      <c r="B2001" s="6">
        <v>45948.0</v>
      </c>
    </row>
    <row r="2002">
      <c r="A2002" s="4">
        <v>3779550.0</v>
      </c>
      <c r="B2002" s="6">
        <v>45949.0</v>
      </c>
    </row>
    <row r="2003">
      <c r="A2003" s="4">
        <v>3779550.0</v>
      </c>
      <c r="B2003" s="6">
        <v>45950.0</v>
      </c>
    </row>
    <row r="2004">
      <c r="A2004" s="4">
        <v>3779550.0</v>
      </c>
      <c r="B2004" s="6">
        <v>45951.0</v>
      </c>
    </row>
    <row r="2005">
      <c r="A2005" s="4">
        <v>3779550.0</v>
      </c>
      <c r="B2005" s="6">
        <v>45952.0</v>
      </c>
    </row>
    <row r="2006">
      <c r="A2006" s="4">
        <v>3779550.0</v>
      </c>
      <c r="B2006" s="6">
        <v>45953.0</v>
      </c>
    </row>
    <row r="2007">
      <c r="A2007" s="4">
        <v>3779550.0</v>
      </c>
      <c r="B2007" s="6">
        <v>45954.0</v>
      </c>
    </row>
    <row r="2008">
      <c r="A2008" s="4">
        <v>3779550.0</v>
      </c>
      <c r="B2008" s="6">
        <v>45955.0</v>
      </c>
    </row>
    <row r="2009">
      <c r="A2009" s="4">
        <v>3779550.0</v>
      </c>
      <c r="B2009" s="6">
        <v>45956.0</v>
      </c>
    </row>
    <row r="2010">
      <c r="A2010" s="4">
        <v>3779550.0</v>
      </c>
      <c r="B2010" s="6">
        <v>45957.0</v>
      </c>
    </row>
    <row r="2011">
      <c r="A2011" s="4">
        <v>3779550.0</v>
      </c>
      <c r="B2011" s="6">
        <v>45958.0</v>
      </c>
    </row>
    <row r="2012">
      <c r="A2012" s="4">
        <v>3779550.0</v>
      </c>
      <c r="B2012" s="6">
        <v>45959.0</v>
      </c>
    </row>
    <row r="2013">
      <c r="A2013" s="4">
        <v>3779550.0</v>
      </c>
      <c r="B2013" s="6">
        <v>45960.0</v>
      </c>
    </row>
    <row r="2014">
      <c r="A2014" s="4">
        <v>3779550.0</v>
      </c>
      <c r="B2014" s="6">
        <v>45961.0</v>
      </c>
    </row>
    <row r="2015">
      <c r="A2015" s="4">
        <v>3779550.0</v>
      </c>
      <c r="B2015" s="6">
        <v>46120.0</v>
      </c>
    </row>
    <row r="2016">
      <c r="A2016" s="4">
        <v>3779550.0</v>
      </c>
      <c r="B2016" s="6">
        <v>46121.0</v>
      </c>
    </row>
    <row r="2017">
      <c r="A2017" s="4">
        <v>3779550.0</v>
      </c>
      <c r="B2017" s="6">
        <v>46122.0</v>
      </c>
    </row>
    <row r="2018">
      <c r="A2018" s="4">
        <v>3779550.0</v>
      </c>
      <c r="B2018" s="6">
        <v>46123.0</v>
      </c>
    </row>
    <row r="2019">
      <c r="A2019" s="4">
        <v>3779550.0</v>
      </c>
      <c r="B2019" s="6">
        <v>46124.0</v>
      </c>
    </row>
    <row r="2020">
      <c r="A2020" s="4">
        <v>3779550.0</v>
      </c>
      <c r="B2020" s="6">
        <v>46125.0</v>
      </c>
    </row>
    <row r="2021">
      <c r="A2021" s="4">
        <v>3779550.0</v>
      </c>
      <c r="B2021" s="6">
        <v>46126.0</v>
      </c>
    </row>
    <row r="2022">
      <c r="A2022" s="4">
        <v>3779550.0</v>
      </c>
      <c r="B2022" s="6">
        <v>46127.0</v>
      </c>
    </row>
    <row r="2023">
      <c r="A2023" s="4">
        <v>3779550.0</v>
      </c>
      <c r="B2023" s="6">
        <v>46174.0</v>
      </c>
    </row>
    <row r="2024">
      <c r="A2024" s="4">
        <v>3779550.0</v>
      </c>
      <c r="B2024" s="6">
        <v>46175.0</v>
      </c>
    </row>
    <row r="2025">
      <c r="A2025" s="4">
        <v>3779550.0</v>
      </c>
      <c r="B2025" s="6">
        <v>46176.0</v>
      </c>
    </row>
    <row r="2026">
      <c r="A2026" s="4">
        <v>3779550.0</v>
      </c>
      <c r="B2026" s="6">
        <v>46177.0</v>
      </c>
    </row>
    <row r="2027">
      <c r="A2027" s="4">
        <v>3779550.0</v>
      </c>
      <c r="B2027" s="6">
        <v>46178.0</v>
      </c>
    </row>
    <row r="2028">
      <c r="A2028" s="4">
        <v>3779550.0</v>
      </c>
      <c r="B2028" s="6">
        <v>46179.0</v>
      </c>
    </row>
    <row r="2029">
      <c r="A2029" s="4">
        <v>3779550.0</v>
      </c>
      <c r="B2029" s="6">
        <v>46180.0</v>
      </c>
    </row>
    <row r="2030">
      <c r="A2030" s="4">
        <v>3779550.0</v>
      </c>
      <c r="B2030" s="6">
        <v>46181.0</v>
      </c>
    </row>
    <row r="2031">
      <c r="A2031" s="4">
        <v>3779550.0</v>
      </c>
      <c r="B2031" s="6">
        <v>46182.0</v>
      </c>
    </row>
    <row r="2032">
      <c r="A2032" s="4">
        <v>3779550.0</v>
      </c>
      <c r="B2032" s="6">
        <v>46183.0</v>
      </c>
    </row>
    <row r="2033">
      <c r="A2033" s="4">
        <v>3779550.0</v>
      </c>
      <c r="B2033" s="6">
        <v>46184.0</v>
      </c>
    </row>
    <row r="2034">
      <c r="A2034" s="4">
        <v>3779550.0</v>
      </c>
      <c r="B2034" s="6">
        <v>46185.0</v>
      </c>
    </row>
    <row r="2035">
      <c r="A2035" s="4">
        <v>3779550.0</v>
      </c>
      <c r="B2035" s="6">
        <v>46186.0</v>
      </c>
    </row>
    <row r="2036">
      <c r="A2036" s="4">
        <v>3779550.0</v>
      </c>
      <c r="B2036" s="6">
        <v>46187.0</v>
      </c>
    </row>
    <row r="2037">
      <c r="A2037" s="4">
        <v>3779550.0</v>
      </c>
      <c r="B2037" s="6">
        <v>46188.0</v>
      </c>
    </row>
    <row r="2038">
      <c r="A2038" s="4">
        <v>3796947.0</v>
      </c>
      <c r="B2038" s="6">
        <v>45367.0</v>
      </c>
    </row>
    <row r="2039">
      <c r="A2039" s="4">
        <v>3796947.0</v>
      </c>
      <c r="B2039" s="6">
        <v>45368.0</v>
      </c>
    </row>
    <row r="2040">
      <c r="A2040" s="4">
        <v>3796947.0</v>
      </c>
      <c r="B2040" s="6">
        <v>45369.0</v>
      </c>
    </row>
    <row r="2041">
      <c r="A2041" s="4">
        <v>3796947.0</v>
      </c>
      <c r="B2041" s="6">
        <v>45370.0</v>
      </c>
    </row>
    <row r="2042">
      <c r="A2042" s="4">
        <v>3796947.0</v>
      </c>
      <c r="B2042" s="6">
        <v>45371.0</v>
      </c>
    </row>
    <row r="2043">
      <c r="A2043" s="4">
        <v>3796947.0</v>
      </c>
      <c r="B2043" s="6">
        <v>45372.0</v>
      </c>
    </row>
    <row r="2044">
      <c r="A2044" s="4">
        <v>3796947.0</v>
      </c>
      <c r="B2044" s="6">
        <v>45373.0</v>
      </c>
    </row>
    <row r="2045">
      <c r="A2045" s="4">
        <v>3796947.0</v>
      </c>
      <c r="B2045" s="6">
        <v>45374.0</v>
      </c>
    </row>
    <row r="2046">
      <c r="A2046" s="4">
        <v>3796947.0</v>
      </c>
      <c r="B2046" s="6">
        <v>45444.0</v>
      </c>
    </row>
    <row r="2047">
      <c r="A2047" s="4">
        <v>3796947.0</v>
      </c>
      <c r="B2047" s="6">
        <v>45445.0</v>
      </c>
    </row>
    <row r="2048">
      <c r="A2048" s="4">
        <v>3796947.0</v>
      </c>
      <c r="B2048" s="6">
        <v>45446.0</v>
      </c>
    </row>
    <row r="2049">
      <c r="A2049" s="4">
        <v>3796947.0</v>
      </c>
      <c r="B2049" s="6">
        <v>45447.0</v>
      </c>
    </row>
    <row r="2050">
      <c r="A2050" s="4">
        <v>3796947.0</v>
      </c>
      <c r="B2050" s="6">
        <v>45448.0</v>
      </c>
    </row>
    <row r="2051">
      <c r="A2051" s="4">
        <v>3796947.0</v>
      </c>
      <c r="B2051" s="6">
        <v>45449.0</v>
      </c>
    </row>
    <row r="2052">
      <c r="A2052" s="4">
        <v>3796947.0</v>
      </c>
      <c r="B2052" s="6">
        <v>45450.0</v>
      </c>
    </row>
    <row r="2053">
      <c r="A2053" s="4">
        <v>3796947.0</v>
      </c>
      <c r="B2053" s="6">
        <v>45500.0</v>
      </c>
    </row>
    <row r="2054">
      <c r="A2054" s="4">
        <v>3796947.0</v>
      </c>
      <c r="B2054" s="6">
        <v>45501.0</v>
      </c>
    </row>
    <row r="2055">
      <c r="A2055" s="4">
        <v>3796947.0</v>
      </c>
      <c r="B2055" s="6">
        <v>45502.0</v>
      </c>
    </row>
    <row r="2056">
      <c r="A2056" s="4">
        <v>3796947.0</v>
      </c>
      <c r="B2056" s="6">
        <v>45503.0</v>
      </c>
    </row>
    <row r="2057">
      <c r="A2057" s="4">
        <v>3796947.0</v>
      </c>
      <c r="B2057" s="6">
        <v>45504.0</v>
      </c>
    </row>
    <row r="2058">
      <c r="A2058" s="4">
        <v>3796947.0</v>
      </c>
      <c r="B2058" s="6">
        <v>45505.0</v>
      </c>
    </row>
    <row r="2059">
      <c r="A2059" s="4">
        <v>3796947.0</v>
      </c>
      <c r="B2059" s="6">
        <v>45506.0</v>
      </c>
    </row>
    <row r="2060">
      <c r="A2060" s="4">
        <v>3796947.0</v>
      </c>
      <c r="B2060" s="6">
        <v>45507.0</v>
      </c>
    </row>
    <row r="2061">
      <c r="A2061" s="4">
        <v>3796947.0</v>
      </c>
      <c r="B2061" s="6">
        <v>45508.0</v>
      </c>
    </row>
    <row r="2062">
      <c r="A2062" s="4">
        <v>3796947.0</v>
      </c>
      <c r="B2062" s="6">
        <v>45509.0</v>
      </c>
    </row>
    <row r="2063">
      <c r="A2063" s="4">
        <v>3796947.0</v>
      </c>
      <c r="B2063" s="6">
        <v>45510.0</v>
      </c>
    </row>
    <row r="2064">
      <c r="A2064" s="4">
        <v>3796947.0</v>
      </c>
      <c r="B2064" s="6">
        <v>45511.0</v>
      </c>
    </row>
    <row r="2065">
      <c r="A2065" s="4">
        <v>3796947.0</v>
      </c>
      <c r="B2065" s="6">
        <v>45512.0</v>
      </c>
    </row>
    <row r="2066">
      <c r="A2066" s="4">
        <v>3796947.0</v>
      </c>
      <c r="B2066" s="6">
        <v>45558.0</v>
      </c>
    </row>
    <row r="2067">
      <c r="A2067" s="4">
        <v>3796947.0</v>
      </c>
      <c r="B2067" s="6">
        <v>45559.0</v>
      </c>
    </row>
    <row r="2068">
      <c r="A2068" s="4">
        <v>3796947.0</v>
      </c>
      <c r="B2068" s="6">
        <v>45560.0</v>
      </c>
    </row>
    <row r="2069">
      <c r="A2069" s="4">
        <v>3796947.0</v>
      </c>
      <c r="B2069" s="6">
        <v>45561.0</v>
      </c>
    </row>
    <row r="2070">
      <c r="A2070" s="4">
        <v>3796947.0</v>
      </c>
      <c r="B2070" s="6">
        <v>45562.0</v>
      </c>
    </row>
    <row r="2071">
      <c r="A2071" s="4">
        <v>3796947.0</v>
      </c>
      <c r="B2071" s="6">
        <v>45563.0</v>
      </c>
    </row>
    <row r="2072">
      <c r="A2072" s="4">
        <v>3796947.0</v>
      </c>
      <c r="B2072" s="6">
        <v>45564.0</v>
      </c>
    </row>
    <row r="2073">
      <c r="A2073" s="4">
        <v>3796947.0</v>
      </c>
      <c r="B2073" s="6">
        <v>45565.0</v>
      </c>
    </row>
    <row r="2074">
      <c r="A2074" s="4">
        <v>3796947.0</v>
      </c>
      <c r="B2074" s="6">
        <v>45665.0</v>
      </c>
    </row>
    <row r="2075">
      <c r="A2075" s="4">
        <v>3796947.0</v>
      </c>
      <c r="B2075" s="6">
        <v>45666.0</v>
      </c>
    </row>
    <row r="2076">
      <c r="A2076" s="4">
        <v>3796947.0</v>
      </c>
      <c r="B2076" s="6">
        <v>45667.0</v>
      </c>
    </row>
    <row r="2077">
      <c r="A2077" s="4">
        <v>3796947.0</v>
      </c>
      <c r="B2077" s="6">
        <v>45668.0</v>
      </c>
    </row>
    <row r="2078">
      <c r="A2078" s="4">
        <v>3796947.0</v>
      </c>
      <c r="B2078" s="6">
        <v>45669.0</v>
      </c>
    </row>
    <row r="2079">
      <c r="A2079" s="4">
        <v>3796947.0</v>
      </c>
      <c r="B2079" s="6">
        <v>45670.0</v>
      </c>
    </row>
    <row r="2080">
      <c r="A2080" s="4">
        <v>3796947.0</v>
      </c>
      <c r="B2080" s="6">
        <v>45671.0</v>
      </c>
    </row>
    <row r="2081">
      <c r="A2081" s="4">
        <v>3796947.0</v>
      </c>
      <c r="B2081" s="6">
        <v>45672.0</v>
      </c>
    </row>
    <row r="2082">
      <c r="A2082" s="4">
        <v>3796947.0</v>
      </c>
      <c r="B2082" s="6">
        <v>45759.0</v>
      </c>
    </row>
    <row r="2083">
      <c r="A2083" s="4">
        <v>3796947.0</v>
      </c>
      <c r="B2083" s="6">
        <v>45760.0</v>
      </c>
    </row>
    <row r="2084">
      <c r="A2084" s="4">
        <v>3796947.0</v>
      </c>
      <c r="B2084" s="6">
        <v>45761.0</v>
      </c>
    </row>
    <row r="2085">
      <c r="A2085" s="4">
        <v>3796947.0</v>
      </c>
      <c r="B2085" s="6">
        <v>45762.0</v>
      </c>
    </row>
    <row r="2086">
      <c r="A2086" s="4">
        <v>3796947.0</v>
      </c>
      <c r="B2086" s="6">
        <v>45763.0</v>
      </c>
    </row>
    <row r="2087">
      <c r="A2087" s="4">
        <v>3796947.0</v>
      </c>
      <c r="B2087" s="6">
        <v>45764.0</v>
      </c>
    </row>
    <row r="2088">
      <c r="A2088" s="4">
        <v>3796947.0</v>
      </c>
      <c r="B2088" s="6">
        <v>45765.0</v>
      </c>
    </row>
    <row r="2089">
      <c r="A2089" s="4">
        <v>3796947.0</v>
      </c>
      <c r="B2089" s="6">
        <v>45766.0</v>
      </c>
    </row>
    <row r="2090">
      <c r="A2090" s="4">
        <v>3796947.0</v>
      </c>
      <c r="B2090" s="6">
        <v>45767.0</v>
      </c>
    </row>
    <row r="2091">
      <c r="A2091" s="4">
        <v>3796947.0</v>
      </c>
      <c r="B2091" s="6">
        <v>45768.0</v>
      </c>
    </row>
    <row r="2092">
      <c r="A2092" s="4">
        <v>3796947.0</v>
      </c>
      <c r="B2092" s="6">
        <v>45769.0</v>
      </c>
    </row>
    <row r="2093">
      <c r="A2093" s="4">
        <v>3796947.0</v>
      </c>
      <c r="B2093" s="6">
        <v>45770.0</v>
      </c>
    </row>
    <row r="2094">
      <c r="A2094" s="4">
        <v>3796947.0</v>
      </c>
      <c r="B2094" s="6">
        <v>45771.0</v>
      </c>
    </row>
    <row r="2095">
      <c r="A2095" s="4">
        <v>3796947.0</v>
      </c>
      <c r="B2095" s="6">
        <v>45772.0</v>
      </c>
    </row>
    <row r="2096">
      <c r="A2096" s="4">
        <v>3796947.0</v>
      </c>
      <c r="B2096" s="6">
        <v>45773.0</v>
      </c>
    </row>
    <row r="2097">
      <c r="A2097" s="4">
        <v>3796947.0</v>
      </c>
      <c r="B2097" s="6">
        <v>45774.0</v>
      </c>
    </row>
    <row r="2098">
      <c r="A2098" s="4">
        <v>3796947.0</v>
      </c>
      <c r="B2098" s="6">
        <v>45775.0</v>
      </c>
    </row>
    <row r="2099">
      <c r="A2099" s="4">
        <v>3796947.0</v>
      </c>
      <c r="B2099" s="6">
        <v>45776.0</v>
      </c>
    </row>
    <row r="2100">
      <c r="A2100" s="4">
        <v>3796947.0</v>
      </c>
      <c r="B2100" s="6">
        <v>45777.0</v>
      </c>
    </row>
    <row r="2101">
      <c r="A2101" s="4">
        <v>3796947.0</v>
      </c>
      <c r="B2101" s="6">
        <v>45778.0</v>
      </c>
    </row>
    <row r="2102">
      <c r="A2102" s="4">
        <v>3796947.0</v>
      </c>
      <c r="B2102" s="6">
        <v>45779.0</v>
      </c>
    </row>
    <row r="2103">
      <c r="A2103" s="4">
        <v>3796947.0</v>
      </c>
      <c r="B2103" s="6">
        <v>46266.0</v>
      </c>
    </row>
    <row r="2104">
      <c r="A2104" s="4">
        <v>3796947.0</v>
      </c>
      <c r="B2104" s="6">
        <v>46267.0</v>
      </c>
    </row>
    <row r="2105">
      <c r="A2105" s="4">
        <v>3796947.0</v>
      </c>
      <c r="B2105" s="6">
        <v>46268.0</v>
      </c>
    </row>
    <row r="2106">
      <c r="A2106" s="4">
        <v>3796947.0</v>
      </c>
      <c r="B2106" s="6">
        <v>46269.0</v>
      </c>
    </row>
    <row r="2107">
      <c r="A2107" s="4">
        <v>3796947.0</v>
      </c>
      <c r="B2107" s="6">
        <v>46270.0</v>
      </c>
    </row>
    <row r="2108">
      <c r="A2108" s="4">
        <v>3796947.0</v>
      </c>
      <c r="B2108" s="6">
        <v>46271.0</v>
      </c>
    </row>
    <row r="2109">
      <c r="A2109" s="4">
        <v>3796947.0</v>
      </c>
      <c r="B2109" s="6">
        <v>46272.0</v>
      </c>
    </row>
    <row r="2110">
      <c r="A2110" s="4">
        <v>3796947.0</v>
      </c>
      <c r="B2110" s="6">
        <v>46273.0</v>
      </c>
    </row>
    <row r="2111">
      <c r="A2111" s="4">
        <v>3841387.0</v>
      </c>
      <c r="B2111" s="6">
        <v>45352.0</v>
      </c>
    </row>
    <row r="2112">
      <c r="A2112" s="4">
        <v>3841387.0</v>
      </c>
      <c r="B2112" s="6">
        <v>45353.0</v>
      </c>
    </row>
    <row r="2113">
      <c r="A2113" s="4">
        <v>3841387.0</v>
      </c>
      <c r="B2113" s="6">
        <v>45354.0</v>
      </c>
    </row>
    <row r="2114">
      <c r="A2114" s="4">
        <v>3841387.0</v>
      </c>
      <c r="B2114" s="6">
        <v>45355.0</v>
      </c>
    </row>
    <row r="2115">
      <c r="A2115" s="4">
        <v>3841387.0</v>
      </c>
      <c r="B2115" s="6">
        <v>45356.0</v>
      </c>
    </row>
    <row r="2116">
      <c r="A2116" s="4">
        <v>3841387.0</v>
      </c>
      <c r="B2116" s="6">
        <v>45357.0</v>
      </c>
    </row>
    <row r="2117">
      <c r="A2117" s="4">
        <v>3841387.0</v>
      </c>
      <c r="B2117" s="6">
        <v>45358.0</v>
      </c>
    </row>
    <row r="2118">
      <c r="A2118" s="4">
        <v>3841387.0</v>
      </c>
      <c r="B2118" s="6">
        <v>45359.0</v>
      </c>
    </row>
    <row r="2119">
      <c r="A2119" s="4">
        <v>3841387.0</v>
      </c>
      <c r="B2119" s="6">
        <v>45360.0</v>
      </c>
    </row>
    <row r="2120">
      <c r="A2120" s="4">
        <v>3841387.0</v>
      </c>
      <c r="B2120" s="6">
        <v>45361.0</v>
      </c>
    </row>
    <row r="2121">
      <c r="A2121" s="4">
        <v>3841387.0</v>
      </c>
      <c r="B2121" s="6">
        <v>45362.0</v>
      </c>
    </row>
    <row r="2122">
      <c r="A2122" s="4">
        <v>3841387.0</v>
      </c>
      <c r="B2122" s="6">
        <v>45363.0</v>
      </c>
    </row>
    <row r="2123">
      <c r="A2123" s="4">
        <v>3841387.0</v>
      </c>
      <c r="B2123" s="6">
        <v>45364.0</v>
      </c>
    </row>
    <row r="2124">
      <c r="A2124" s="4">
        <v>3841387.0</v>
      </c>
      <c r="B2124" s="6">
        <v>45365.0</v>
      </c>
    </row>
    <row r="2125">
      <c r="A2125" s="4">
        <v>3841387.0</v>
      </c>
      <c r="B2125" s="6">
        <v>45366.0</v>
      </c>
    </row>
    <row r="2126">
      <c r="A2126" s="4">
        <v>3841387.0</v>
      </c>
      <c r="B2126" s="6">
        <v>45481.0</v>
      </c>
    </row>
    <row r="2127">
      <c r="A2127" s="4">
        <v>3841387.0</v>
      </c>
      <c r="B2127" s="6">
        <v>45482.0</v>
      </c>
    </row>
    <row r="2128">
      <c r="A2128" s="4">
        <v>3841387.0</v>
      </c>
      <c r="B2128" s="6">
        <v>45483.0</v>
      </c>
    </row>
    <row r="2129">
      <c r="A2129" s="4">
        <v>3841387.0</v>
      </c>
      <c r="B2129" s="6">
        <v>45484.0</v>
      </c>
    </row>
    <row r="2130">
      <c r="A2130" s="4">
        <v>3841387.0</v>
      </c>
      <c r="B2130" s="6">
        <v>45485.0</v>
      </c>
    </row>
    <row r="2131">
      <c r="A2131" s="4">
        <v>3841387.0</v>
      </c>
      <c r="B2131" s="6">
        <v>45486.0</v>
      </c>
    </row>
    <row r="2132">
      <c r="A2132" s="4">
        <v>3841387.0</v>
      </c>
      <c r="B2132" s="6">
        <v>45487.0</v>
      </c>
    </row>
    <row r="2133">
      <c r="A2133" s="4">
        <v>3841387.0</v>
      </c>
      <c r="B2133" s="6">
        <v>45488.0</v>
      </c>
    </row>
    <row r="2134">
      <c r="A2134" s="4">
        <v>3841387.0</v>
      </c>
      <c r="B2134" s="6">
        <v>45489.0</v>
      </c>
    </row>
    <row r="2135">
      <c r="A2135" s="4">
        <v>3841387.0</v>
      </c>
      <c r="B2135" s="6">
        <v>45490.0</v>
      </c>
    </row>
    <row r="2136">
      <c r="A2136" s="4">
        <v>3841387.0</v>
      </c>
      <c r="B2136" s="6">
        <v>45491.0</v>
      </c>
    </row>
    <row r="2137">
      <c r="A2137" s="4">
        <v>3841387.0</v>
      </c>
      <c r="B2137" s="6">
        <v>45492.0</v>
      </c>
    </row>
    <row r="2138">
      <c r="A2138" s="4">
        <v>3841387.0</v>
      </c>
      <c r="B2138" s="6">
        <v>45493.0</v>
      </c>
    </row>
    <row r="2139">
      <c r="A2139" s="4">
        <v>3841387.0</v>
      </c>
      <c r="B2139" s="6">
        <v>45494.0</v>
      </c>
    </row>
    <row r="2140">
      <c r="A2140" s="4">
        <v>3841387.0</v>
      </c>
      <c r="B2140" s="6">
        <v>45495.0</v>
      </c>
    </row>
    <row r="2141">
      <c r="A2141" s="4">
        <v>3841387.0</v>
      </c>
      <c r="B2141" s="6">
        <v>45496.0</v>
      </c>
    </row>
    <row r="2142">
      <c r="A2142" s="4">
        <v>3841387.0</v>
      </c>
      <c r="B2142" s="6">
        <v>45581.0</v>
      </c>
    </row>
    <row r="2143">
      <c r="A2143" s="4">
        <v>3841387.0</v>
      </c>
      <c r="B2143" s="6">
        <v>45582.0</v>
      </c>
    </row>
    <row r="2144">
      <c r="A2144" s="4">
        <v>3841387.0</v>
      </c>
      <c r="B2144" s="6">
        <v>45583.0</v>
      </c>
    </row>
    <row r="2145">
      <c r="A2145" s="4">
        <v>3841387.0</v>
      </c>
      <c r="B2145" s="6">
        <v>45584.0</v>
      </c>
    </row>
    <row r="2146">
      <c r="A2146" s="4">
        <v>3841387.0</v>
      </c>
      <c r="B2146" s="6">
        <v>45585.0</v>
      </c>
    </row>
    <row r="2147">
      <c r="A2147" s="4">
        <v>3841387.0</v>
      </c>
      <c r="B2147" s="6">
        <v>45586.0</v>
      </c>
    </row>
    <row r="2148">
      <c r="A2148" s="4">
        <v>3841387.0</v>
      </c>
      <c r="B2148" s="6">
        <v>45587.0</v>
      </c>
    </row>
    <row r="2149">
      <c r="A2149" s="4">
        <v>3841387.0</v>
      </c>
      <c r="B2149" s="6">
        <v>45588.0</v>
      </c>
    </row>
    <row r="2150">
      <c r="A2150" s="4">
        <v>3841387.0</v>
      </c>
      <c r="B2150" s="6">
        <v>45703.0</v>
      </c>
    </row>
    <row r="2151">
      <c r="A2151" s="4">
        <v>3841387.0</v>
      </c>
      <c r="B2151" s="6">
        <v>45704.0</v>
      </c>
    </row>
    <row r="2152">
      <c r="A2152" s="4">
        <v>3841387.0</v>
      </c>
      <c r="B2152" s="6">
        <v>45705.0</v>
      </c>
    </row>
    <row r="2153">
      <c r="A2153" s="4">
        <v>3841387.0</v>
      </c>
      <c r="B2153" s="6">
        <v>45706.0</v>
      </c>
    </row>
    <row r="2154">
      <c r="A2154" s="4">
        <v>3841387.0</v>
      </c>
      <c r="B2154" s="6">
        <v>45707.0</v>
      </c>
    </row>
    <row r="2155">
      <c r="A2155" s="4">
        <v>3841387.0</v>
      </c>
      <c r="B2155" s="6">
        <v>45708.0</v>
      </c>
    </row>
    <row r="2156">
      <c r="A2156" s="4">
        <v>3841387.0</v>
      </c>
      <c r="B2156" s="6">
        <v>45709.0</v>
      </c>
    </row>
    <row r="2157">
      <c r="A2157" s="4">
        <v>3841387.0</v>
      </c>
      <c r="B2157" s="6">
        <v>45710.0</v>
      </c>
    </row>
    <row r="2158">
      <c r="A2158" s="4">
        <v>3841387.0</v>
      </c>
      <c r="B2158" s="6">
        <v>45711.0</v>
      </c>
    </row>
    <row r="2159">
      <c r="A2159" s="4">
        <v>3841387.0</v>
      </c>
      <c r="B2159" s="6">
        <v>45712.0</v>
      </c>
    </row>
    <row r="2160">
      <c r="A2160" s="4">
        <v>3841387.0</v>
      </c>
      <c r="B2160" s="6">
        <v>45713.0</v>
      </c>
    </row>
    <row r="2161">
      <c r="A2161" s="4">
        <v>3841387.0</v>
      </c>
      <c r="B2161" s="6">
        <v>45714.0</v>
      </c>
    </row>
    <row r="2162">
      <c r="A2162" s="4">
        <v>3841387.0</v>
      </c>
      <c r="B2162" s="6">
        <v>45715.0</v>
      </c>
    </row>
    <row r="2163">
      <c r="A2163" s="4">
        <v>3841387.0</v>
      </c>
      <c r="B2163" s="6">
        <v>45716.0</v>
      </c>
    </row>
    <row r="2164">
      <c r="A2164" s="4">
        <v>3841387.0</v>
      </c>
      <c r="B2164" s="6">
        <v>45862.0</v>
      </c>
    </row>
    <row r="2165">
      <c r="A2165" s="4">
        <v>3841387.0</v>
      </c>
      <c r="B2165" s="6">
        <v>45863.0</v>
      </c>
    </row>
    <row r="2166">
      <c r="A2166" s="4">
        <v>3841387.0</v>
      </c>
      <c r="B2166" s="6">
        <v>45864.0</v>
      </c>
    </row>
    <row r="2167">
      <c r="A2167" s="4">
        <v>3841387.0</v>
      </c>
      <c r="B2167" s="6">
        <v>45865.0</v>
      </c>
    </row>
    <row r="2168">
      <c r="A2168" s="4">
        <v>3841387.0</v>
      </c>
      <c r="B2168" s="6">
        <v>45866.0</v>
      </c>
    </row>
    <row r="2169">
      <c r="A2169" s="4">
        <v>3841387.0</v>
      </c>
      <c r="B2169" s="6">
        <v>45867.0</v>
      </c>
    </row>
    <row r="2170">
      <c r="A2170" s="4">
        <v>3841387.0</v>
      </c>
      <c r="B2170" s="6">
        <v>45868.0</v>
      </c>
    </row>
    <row r="2171">
      <c r="A2171" s="4">
        <v>3841387.0</v>
      </c>
      <c r="B2171" s="6">
        <v>45869.0</v>
      </c>
    </row>
    <row r="2172">
      <c r="A2172" s="4">
        <v>3841387.0</v>
      </c>
      <c r="B2172" s="6">
        <v>45870.0</v>
      </c>
    </row>
    <row r="2173">
      <c r="A2173" s="4">
        <v>3841387.0</v>
      </c>
      <c r="B2173" s="6">
        <v>45871.0</v>
      </c>
    </row>
    <row r="2174">
      <c r="A2174" s="4">
        <v>3841387.0</v>
      </c>
      <c r="B2174" s="6">
        <v>45872.0</v>
      </c>
    </row>
    <row r="2175">
      <c r="A2175" s="4">
        <v>3841387.0</v>
      </c>
      <c r="B2175" s="6">
        <v>45873.0</v>
      </c>
    </row>
    <row r="2176">
      <c r="A2176" s="4">
        <v>3841387.0</v>
      </c>
      <c r="B2176" s="6">
        <v>45874.0</v>
      </c>
    </row>
    <row r="2177">
      <c r="A2177" s="4">
        <v>3841387.0</v>
      </c>
      <c r="B2177" s="6">
        <v>45875.0</v>
      </c>
    </row>
    <row r="2178">
      <c r="A2178" s="4">
        <v>3841387.0</v>
      </c>
      <c r="B2178" s="6">
        <v>45876.0</v>
      </c>
    </row>
    <row r="2179">
      <c r="A2179" s="4">
        <v>3841387.0</v>
      </c>
      <c r="B2179" s="6">
        <v>45877.0</v>
      </c>
    </row>
    <row r="2180">
      <c r="A2180" s="4">
        <v>3841387.0</v>
      </c>
      <c r="B2180" s="6">
        <v>45878.0</v>
      </c>
    </row>
    <row r="2181">
      <c r="A2181" s="4">
        <v>3841387.0</v>
      </c>
      <c r="B2181" s="6">
        <v>45879.0</v>
      </c>
    </row>
    <row r="2182">
      <c r="A2182" s="4">
        <v>3841387.0</v>
      </c>
      <c r="B2182" s="6">
        <v>45880.0</v>
      </c>
    </row>
    <row r="2183">
      <c r="A2183" s="4">
        <v>3841387.0</v>
      </c>
      <c r="B2183" s="6">
        <v>45881.0</v>
      </c>
    </row>
    <row r="2184">
      <c r="A2184" s="4">
        <v>3841387.0</v>
      </c>
      <c r="B2184" s="6">
        <v>45882.0</v>
      </c>
    </row>
    <row r="2185">
      <c r="A2185" s="4">
        <v>3841387.0</v>
      </c>
      <c r="B2185" s="6">
        <v>45883.0</v>
      </c>
    </row>
    <row r="2186">
      <c r="A2186" s="4">
        <v>3841387.0</v>
      </c>
      <c r="B2186" s="6">
        <v>45884.0</v>
      </c>
    </row>
    <row r="2187">
      <c r="A2187" s="4">
        <v>3841387.0</v>
      </c>
      <c r="B2187" s="6">
        <v>46038.0</v>
      </c>
    </row>
    <row r="2188">
      <c r="A2188" s="4">
        <v>3841387.0</v>
      </c>
      <c r="B2188" s="6">
        <v>46039.0</v>
      </c>
    </row>
    <row r="2189">
      <c r="A2189" s="4">
        <v>3841387.0</v>
      </c>
      <c r="B2189" s="6">
        <v>46040.0</v>
      </c>
    </row>
    <row r="2190">
      <c r="A2190" s="4">
        <v>3841387.0</v>
      </c>
      <c r="B2190" s="6">
        <v>46041.0</v>
      </c>
    </row>
    <row r="2191">
      <c r="A2191" s="4">
        <v>3841387.0</v>
      </c>
      <c r="B2191" s="6">
        <v>46042.0</v>
      </c>
    </row>
    <row r="2192">
      <c r="A2192" s="4">
        <v>3841387.0</v>
      </c>
      <c r="B2192" s="6">
        <v>46043.0</v>
      </c>
    </row>
    <row r="2193">
      <c r="A2193" s="4">
        <v>3841387.0</v>
      </c>
      <c r="B2193" s="6">
        <v>46044.0</v>
      </c>
    </row>
    <row r="2194">
      <c r="A2194" s="4">
        <v>3841387.0</v>
      </c>
      <c r="B2194" s="6">
        <v>46045.0</v>
      </c>
    </row>
    <row r="2195">
      <c r="A2195" s="4">
        <v>3841387.0</v>
      </c>
      <c r="B2195" s="6">
        <v>46174.0</v>
      </c>
    </row>
    <row r="2196">
      <c r="A2196" s="4">
        <v>3841387.0</v>
      </c>
      <c r="B2196" s="6">
        <v>46175.0</v>
      </c>
    </row>
    <row r="2197">
      <c r="A2197" s="4">
        <v>3841387.0</v>
      </c>
      <c r="B2197" s="6">
        <v>46176.0</v>
      </c>
    </row>
    <row r="2198">
      <c r="A2198" s="4">
        <v>3841387.0</v>
      </c>
      <c r="B2198" s="6">
        <v>46177.0</v>
      </c>
    </row>
    <row r="2199">
      <c r="A2199" s="4">
        <v>3841387.0</v>
      </c>
      <c r="B2199" s="6">
        <v>46178.0</v>
      </c>
    </row>
    <row r="2200">
      <c r="A2200" s="4">
        <v>3841387.0</v>
      </c>
      <c r="B2200" s="6">
        <v>46179.0</v>
      </c>
    </row>
    <row r="2201">
      <c r="A2201" s="4">
        <v>3841387.0</v>
      </c>
      <c r="B2201" s="6">
        <v>46180.0</v>
      </c>
    </row>
    <row r="2202">
      <c r="A2202" s="4">
        <v>3841387.0</v>
      </c>
      <c r="B2202" s="6">
        <v>46218.0</v>
      </c>
    </row>
    <row r="2203">
      <c r="A2203" s="4">
        <v>3841387.0</v>
      </c>
      <c r="B2203" s="6">
        <v>46219.0</v>
      </c>
    </row>
    <row r="2204">
      <c r="A2204" s="4">
        <v>3841387.0</v>
      </c>
      <c r="B2204" s="6">
        <v>46220.0</v>
      </c>
    </row>
    <row r="2205">
      <c r="A2205" s="4">
        <v>3841387.0</v>
      </c>
      <c r="B2205" s="6">
        <v>46221.0</v>
      </c>
    </row>
    <row r="2206">
      <c r="A2206" s="4">
        <v>3841387.0</v>
      </c>
      <c r="B2206" s="6">
        <v>46222.0</v>
      </c>
    </row>
    <row r="2207">
      <c r="A2207" s="4">
        <v>3841387.0</v>
      </c>
      <c r="B2207" s="6">
        <v>46223.0</v>
      </c>
    </row>
    <row r="2208">
      <c r="A2208" s="4">
        <v>3841387.0</v>
      </c>
      <c r="B2208" s="6">
        <v>46224.0</v>
      </c>
    </row>
    <row r="2209">
      <c r="A2209" s="4">
        <v>3841387.0</v>
      </c>
      <c r="B2209" s="6">
        <v>46225.0</v>
      </c>
    </row>
    <row r="2210">
      <c r="A2210" s="4">
        <v>3841387.0</v>
      </c>
      <c r="B2210" s="6">
        <v>46226.0</v>
      </c>
    </row>
    <row r="2211">
      <c r="A2211" s="4">
        <v>3841387.0</v>
      </c>
      <c r="B2211" s="6">
        <v>46227.0</v>
      </c>
    </row>
    <row r="2212">
      <c r="A2212" s="4">
        <v>3841387.0</v>
      </c>
      <c r="B2212" s="6">
        <v>46228.0</v>
      </c>
    </row>
    <row r="2213">
      <c r="A2213" s="4">
        <v>3841387.0</v>
      </c>
      <c r="B2213" s="6">
        <v>46229.0</v>
      </c>
    </row>
    <row r="2214">
      <c r="A2214" s="4">
        <v>3841387.0</v>
      </c>
      <c r="B2214" s="6">
        <v>46230.0</v>
      </c>
    </row>
    <row r="2215">
      <c r="A2215" s="4">
        <v>3841387.0</v>
      </c>
      <c r="B2215" s="6">
        <v>46231.0</v>
      </c>
    </row>
    <row r="2216">
      <c r="A2216" s="4">
        <v>3841387.0</v>
      </c>
      <c r="B2216" s="6">
        <v>46232.0</v>
      </c>
    </row>
    <row r="2217">
      <c r="A2217" s="4">
        <v>3841387.0</v>
      </c>
      <c r="B2217" s="6">
        <v>46233.0</v>
      </c>
    </row>
    <row r="2218">
      <c r="A2218" s="4">
        <v>3841387.0</v>
      </c>
      <c r="B2218" s="6">
        <v>46234.0</v>
      </c>
    </row>
    <row r="2219">
      <c r="A2219" s="4">
        <v>3841387.0</v>
      </c>
      <c r="B2219" s="6">
        <v>46235.0</v>
      </c>
    </row>
    <row r="2220">
      <c r="A2220" s="4">
        <v>3841387.0</v>
      </c>
      <c r="B2220" s="6">
        <v>46236.0</v>
      </c>
    </row>
    <row r="2221">
      <c r="A2221" s="4">
        <v>3841387.0</v>
      </c>
      <c r="B2221" s="6">
        <v>46237.0</v>
      </c>
    </row>
    <row r="2222">
      <c r="A2222" s="4">
        <v>3841387.0</v>
      </c>
      <c r="B2222" s="6">
        <v>46238.0</v>
      </c>
    </row>
    <row r="2223">
      <c r="A2223" s="4">
        <v>3841387.0</v>
      </c>
      <c r="B2223" s="6">
        <v>46239.0</v>
      </c>
    </row>
    <row r="2224">
      <c r="A2224" s="4">
        <v>3841387.0</v>
      </c>
      <c r="B2224" s="6">
        <v>46240.0</v>
      </c>
    </row>
    <row r="2225">
      <c r="A2225" s="4">
        <v>3841387.0</v>
      </c>
      <c r="B2225" s="6">
        <v>46241.0</v>
      </c>
    </row>
    <row r="2226">
      <c r="A2226" s="4">
        <v>3852423.0</v>
      </c>
      <c r="B2226" s="6">
        <v>45444.0</v>
      </c>
    </row>
    <row r="2227">
      <c r="A2227" s="4">
        <v>3852423.0</v>
      </c>
      <c r="B2227" s="6">
        <v>45445.0</v>
      </c>
    </row>
    <row r="2228">
      <c r="A2228" s="4">
        <v>3852423.0</v>
      </c>
      <c r="B2228" s="6">
        <v>45446.0</v>
      </c>
    </row>
    <row r="2229">
      <c r="A2229" s="4">
        <v>3852423.0</v>
      </c>
      <c r="B2229" s="6">
        <v>45447.0</v>
      </c>
    </row>
    <row r="2230">
      <c r="A2230" s="4">
        <v>3852423.0</v>
      </c>
      <c r="B2230" s="6">
        <v>45448.0</v>
      </c>
    </row>
    <row r="2231">
      <c r="A2231" s="4">
        <v>3852423.0</v>
      </c>
      <c r="B2231" s="6">
        <v>45449.0</v>
      </c>
    </row>
    <row r="2232">
      <c r="A2232" s="4">
        <v>3852423.0</v>
      </c>
      <c r="B2232" s="6">
        <v>45450.0</v>
      </c>
    </row>
    <row r="2233">
      <c r="A2233" s="4">
        <v>3852423.0</v>
      </c>
      <c r="B2233" s="6">
        <v>45536.0</v>
      </c>
    </row>
    <row r="2234">
      <c r="A2234" s="4">
        <v>3852423.0</v>
      </c>
      <c r="B2234" s="6">
        <v>45537.0</v>
      </c>
    </row>
    <row r="2235">
      <c r="A2235" s="4">
        <v>3852423.0</v>
      </c>
      <c r="B2235" s="6">
        <v>45538.0</v>
      </c>
    </row>
    <row r="2236">
      <c r="A2236" s="4">
        <v>3852423.0</v>
      </c>
      <c r="B2236" s="6">
        <v>45539.0</v>
      </c>
    </row>
    <row r="2237">
      <c r="A2237" s="4">
        <v>3852423.0</v>
      </c>
      <c r="B2237" s="6">
        <v>45540.0</v>
      </c>
    </row>
    <row r="2238">
      <c r="A2238" s="4">
        <v>3852423.0</v>
      </c>
      <c r="B2238" s="6">
        <v>45541.0</v>
      </c>
    </row>
    <row r="2239">
      <c r="A2239" s="4">
        <v>3852423.0</v>
      </c>
      <c r="B2239" s="6">
        <v>45542.0</v>
      </c>
    </row>
    <row r="2240">
      <c r="A2240" s="4">
        <v>3852423.0</v>
      </c>
      <c r="B2240" s="6">
        <v>45543.0</v>
      </c>
    </row>
    <row r="2241">
      <c r="A2241" s="4">
        <v>3852423.0</v>
      </c>
      <c r="B2241" s="6">
        <v>45544.0</v>
      </c>
    </row>
    <row r="2242">
      <c r="A2242" s="4">
        <v>3852423.0</v>
      </c>
      <c r="B2242" s="6">
        <v>45545.0</v>
      </c>
    </row>
    <row r="2243">
      <c r="A2243" s="4">
        <v>3852423.0</v>
      </c>
      <c r="B2243" s="6">
        <v>45546.0</v>
      </c>
    </row>
    <row r="2244">
      <c r="A2244" s="4">
        <v>3852423.0</v>
      </c>
      <c r="B2244" s="6">
        <v>45547.0</v>
      </c>
    </row>
    <row r="2245">
      <c r="A2245" s="4">
        <v>3852423.0</v>
      </c>
      <c r="B2245" s="6">
        <v>45548.0</v>
      </c>
    </row>
    <row r="2246">
      <c r="A2246" s="4">
        <v>3852423.0</v>
      </c>
      <c r="B2246" s="6">
        <v>45549.0</v>
      </c>
    </row>
    <row r="2247">
      <c r="A2247" s="4">
        <v>3852423.0</v>
      </c>
      <c r="B2247" s="6">
        <v>45550.0</v>
      </c>
    </row>
    <row r="2248">
      <c r="A2248" s="4">
        <v>3852423.0</v>
      </c>
      <c r="B2248" s="6">
        <v>45665.0</v>
      </c>
    </row>
    <row r="2249">
      <c r="A2249" s="4">
        <v>3852423.0</v>
      </c>
      <c r="B2249" s="6">
        <v>45666.0</v>
      </c>
    </row>
    <row r="2250">
      <c r="A2250" s="4">
        <v>3852423.0</v>
      </c>
      <c r="B2250" s="6">
        <v>45667.0</v>
      </c>
    </row>
    <row r="2251">
      <c r="A2251" s="4">
        <v>3852423.0</v>
      </c>
      <c r="B2251" s="6">
        <v>45668.0</v>
      </c>
    </row>
    <row r="2252">
      <c r="A2252" s="4">
        <v>3852423.0</v>
      </c>
      <c r="B2252" s="6">
        <v>45669.0</v>
      </c>
    </row>
    <row r="2253">
      <c r="A2253" s="4">
        <v>3852423.0</v>
      </c>
      <c r="B2253" s="6">
        <v>45670.0</v>
      </c>
    </row>
    <row r="2254">
      <c r="A2254" s="4">
        <v>3852423.0</v>
      </c>
      <c r="B2254" s="6">
        <v>45671.0</v>
      </c>
    </row>
    <row r="2255">
      <c r="A2255" s="4">
        <v>3852423.0</v>
      </c>
      <c r="B2255" s="6">
        <v>45672.0</v>
      </c>
    </row>
    <row r="2256">
      <c r="A2256" s="4">
        <v>3852423.0</v>
      </c>
      <c r="B2256" s="6">
        <v>45673.0</v>
      </c>
    </row>
    <row r="2257">
      <c r="A2257" s="4">
        <v>3852423.0</v>
      </c>
      <c r="B2257" s="6">
        <v>45674.0</v>
      </c>
    </row>
    <row r="2258">
      <c r="A2258" s="4">
        <v>3852423.0</v>
      </c>
      <c r="B2258" s="6">
        <v>45675.0</v>
      </c>
    </row>
    <row r="2259">
      <c r="A2259" s="4">
        <v>3852423.0</v>
      </c>
      <c r="B2259" s="6">
        <v>45676.0</v>
      </c>
    </row>
    <row r="2260">
      <c r="A2260" s="4">
        <v>3852423.0</v>
      </c>
      <c r="B2260" s="6">
        <v>45677.0</v>
      </c>
    </row>
    <row r="2261">
      <c r="A2261" s="4">
        <v>3852423.0</v>
      </c>
      <c r="B2261" s="6">
        <v>45678.0</v>
      </c>
    </row>
    <row r="2262">
      <c r="A2262" s="4">
        <v>3852423.0</v>
      </c>
      <c r="B2262" s="6">
        <v>45679.0</v>
      </c>
    </row>
    <row r="2263">
      <c r="A2263" s="4">
        <v>3852423.0</v>
      </c>
      <c r="B2263" s="6">
        <v>45680.0</v>
      </c>
    </row>
    <row r="2264">
      <c r="A2264" s="4">
        <v>3852423.0</v>
      </c>
      <c r="B2264" s="6">
        <v>45771.0</v>
      </c>
    </row>
    <row r="2265">
      <c r="A2265" s="4">
        <v>3852423.0</v>
      </c>
      <c r="B2265" s="6">
        <v>45772.0</v>
      </c>
    </row>
    <row r="2266">
      <c r="A2266" s="4">
        <v>3852423.0</v>
      </c>
      <c r="B2266" s="6">
        <v>45773.0</v>
      </c>
    </row>
    <row r="2267">
      <c r="A2267" s="4">
        <v>3852423.0</v>
      </c>
      <c r="B2267" s="6">
        <v>45774.0</v>
      </c>
    </row>
    <row r="2268">
      <c r="A2268" s="4">
        <v>3852423.0</v>
      </c>
      <c r="B2268" s="6">
        <v>45775.0</v>
      </c>
    </row>
    <row r="2269">
      <c r="A2269" s="4">
        <v>3852423.0</v>
      </c>
      <c r="B2269" s="6">
        <v>45776.0</v>
      </c>
    </row>
    <row r="2270">
      <c r="A2270" s="4">
        <v>3852423.0</v>
      </c>
      <c r="B2270" s="6">
        <v>45777.0</v>
      </c>
    </row>
    <row r="2271">
      <c r="A2271" s="4">
        <v>3852423.0</v>
      </c>
      <c r="B2271" s="6">
        <v>45778.0</v>
      </c>
    </row>
    <row r="2272">
      <c r="A2272" s="4">
        <v>3852423.0</v>
      </c>
      <c r="B2272" s="6">
        <v>45931.0</v>
      </c>
    </row>
    <row r="2273">
      <c r="A2273" s="4">
        <v>3852423.0</v>
      </c>
      <c r="B2273" s="6">
        <v>45932.0</v>
      </c>
    </row>
    <row r="2274">
      <c r="A2274" s="4">
        <v>3852423.0</v>
      </c>
      <c r="B2274" s="6">
        <v>45933.0</v>
      </c>
    </row>
    <row r="2275">
      <c r="A2275" s="4">
        <v>3852423.0</v>
      </c>
      <c r="B2275" s="6">
        <v>45934.0</v>
      </c>
    </row>
    <row r="2276">
      <c r="A2276" s="4">
        <v>3852423.0</v>
      </c>
      <c r="B2276" s="6">
        <v>45935.0</v>
      </c>
    </row>
    <row r="2277">
      <c r="A2277" s="4">
        <v>3852423.0</v>
      </c>
      <c r="B2277" s="6">
        <v>45936.0</v>
      </c>
    </row>
    <row r="2278">
      <c r="A2278" s="4">
        <v>3852423.0</v>
      </c>
      <c r="B2278" s="6">
        <v>45937.0</v>
      </c>
    </row>
    <row r="2279">
      <c r="A2279" s="4">
        <v>3852423.0</v>
      </c>
      <c r="B2279" s="6">
        <v>45938.0</v>
      </c>
    </row>
    <row r="2280">
      <c r="A2280" s="4">
        <v>3852423.0</v>
      </c>
      <c r="B2280" s="6">
        <v>45939.0</v>
      </c>
    </row>
    <row r="2281">
      <c r="A2281" s="4">
        <v>3852423.0</v>
      </c>
      <c r="B2281" s="6">
        <v>45940.0</v>
      </c>
    </row>
    <row r="2282">
      <c r="A2282" s="4">
        <v>3852423.0</v>
      </c>
      <c r="B2282" s="6">
        <v>45941.0</v>
      </c>
    </row>
    <row r="2283">
      <c r="A2283" s="4">
        <v>3852423.0</v>
      </c>
      <c r="B2283" s="6">
        <v>45942.0</v>
      </c>
    </row>
    <row r="2284">
      <c r="A2284" s="4">
        <v>3852423.0</v>
      </c>
      <c r="B2284" s="6">
        <v>45943.0</v>
      </c>
    </row>
    <row r="2285">
      <c r="A2285" s="4">
        <v>3852423.0</v>
      </c>
      <c r="B2285" s="6">
        <v>45944.0</v>
      </c>
    </row>
    <row r="2286">
      <c r="A2286" s="4">
        <v>3852423.0</v>
      </c>
      <c r="B2286" s="6">
        <v>45945.0</v>
      </c>
    </row>
    <row r="2287">
      <c r="A2287" s="4">
        <v>3852423.0</v>
      </c>
      <c r="B2287" s="6">
        <v>46105.0</v>
      </c>
    </row>
    <row r="2288">
      <c r="A2288" s="4">
        <v>3852423.0</v>
      </c>
      <c r="B2288" s="6">
        <v>46106.0</v>
      </c>
    </row>
    <row r="2289">
      <c r="A2289" s="4">
        <v>3852423.0</v>
      </c>
      <c r="B2289" s="6">
        <v>46107.0</v>
      </c>
    </row>
    <row r="2290">
      <c r="A2290" s="4">
        <v>3852423.0</v>
      </c>
      <c r="B2290" s="6">
        <v>46108.0</v>
      </c>
    </row>
    <row r="2291">
      <c r="A2291" s="4">
        <v>3852423.0</v>
      </c>
      <c r="B2291" s="6">
        <v>46109.0</v>
      </c>
    </row>
    <row r="2292">
      <c r="A2292" s="4">
        <v>3852423.0</v>
      </c>
      <c r="B2292" s="6">
        <v>46110.0</v>
      </c>
    </row>
    <row r="2293">
      <c r="A2293" s="4">
        <v>3852423.0</v>
      </c>
      <c r="B2293" s="6">
        <v>46111.0</v>
      </c>
    </row>
    <row r="2294">
      <c r="A2294" s="4">
        <v>3852423.0</v>
      </c>
      <c r="B2294" s="6">
        <v>46112.0</v>
      </c>
    </row>
    <row r="2295">
      <c r="A2295" s="4">
        <v>3852423.0</v>
      </c>
      <c r="B2295" s="6">
        <v>46158.0</v>
      </c>
    </row>
    <row r="2296">
      <c r="A2296" s="4">
        <v>3852423.0</v>
      </c>
      <c r="B2296" s="6">
        <v>46159.0</v>
      </c>
    </row>
    <row r="2297">
      <c r="A2297" s="4">
        <v>3852423.0</v>
      </c>
      <c r="B2297" s="6">
        <v>46160.0</v>
      </c>
    </row>
    <row r="2298">
      <c r="A2298" s="4">
        <v>3852423.0</v>
      </c>
      <c r="B2298" s="6">
        <v>46161.0</v>
      </c>
    </row>
    <row r="2299">
      <c r="A2299" s="4">
        <v>3852423.0</v>
      </c>
      <c r="B2299" s="6">
        <v>46162.0</v>
      </c>
    </row>
    <row r="2300">
      <c r="A2300" s="4">
        <v>3852423.0</v>
      </c>
      <c r="B2300" s="6">
        <v>46163.0</v>
      </c>
    </row>
    <row r="2301">
      <c r="A2301" s="4">
        <v>3852423.0</v>
      </c>
      <c r="B2301" s="6">
        <v>46164.0</v>
      </c>
    </row>
    <row r="2302">
      <c r="A2302" s="4">
        <v>3852423.0</v>
      </c>
      <c r="B2302" s="6">
        <v>46165.0</v>
      </c>
    </row>
    <row r="2303">
      <c r="A2303" s="4">
        <v>3852423.0</v>
      </c>
      <c r="B2303" s="6">
        <v>46189.0</v>
      </c>
    </row>
    <row r="2304">
      <c r="A2304" s="4">
        <v>3852423.0</v>
      </c>
      <c r="B2304" s="6">
        <v>46190.0</v>
      </c>
    </row>
    <row r="2305">
      <c r="A2305" s="4">
        <v>3852423.0</v>
      </c>
      <c r="B2305" s="6">
        <v>46191.0</v>
      </c>
    </row>
    <row r="2306">
      <c r="A2306" s="4">
        <v>3852423.0</v>
      </c>
      <c r="B2306" s="6">
        <v>46192.0</v>
      </c>
    </row>
    <row r="2307">
      <c r="A2307" s="4">
        <v>3852423.0</v>
      </c>
      <c r="B2307" s="6">
        <v>46193.0</v>
      </c>
    </row>
    <row r="2308">
      <c r="A2308" s="4">
        <v>3852423.0</v>
      </c>
      <c r="B2308" s="6">
        <v>46194.0</v>
      </c>
    </row>
    <row r="2309">
      <c r="A2309" s="4">
        <v>3852423.0</v>
      </c>
      <c r="B2309" s="6">
        <v>46195.0</v>
      </c>
    </row>
    <row r="2310">
      <c r="A2310" s="4">
        <v>3852423.0</v>
      </c>
      <c r="B2310" s="6">
        <v>46242.0</v>
      </c>
    </row>
    <row r="2311">
      <c r="A2311" s="4">
        <v>3852423.0</v>
      </c>
      <c r="B2311" s="6">
        <v>46243.0</v>
      </c>
    </row>
    <row r="2312">
      <c r="A2312" s="4">
        <v>3852423.0</v>
      </c>
      <c r="B2312" s="6">
        <v>46244.0</v>
      </c>
    </row>
    <row r="2313">
      <c r="A2313" s="4">
        <v>3852423.0</v>
      </c>
      <c r="B2313" s="6">
        <v>46245.0</v>
      </c>
    </row>
    <row r="2314">
      <c r="A2314" s="4">
        <v>3852423.0</v>
      </c>
      <c r="B2314" s="6">
        <v>46246.0</v>
      </c>
    </row>
    <row r="2315">
      <c r="A2315" s="4">
        <v>3852423.0</v>
      </c>
      <c r="B2315" s="6">
        <v>46247.0</v>
      </c>
    </row>
    <row r="2316">
      <c r="A2316" s="4">
        <v>3852423.0</v>
      </c>
      <c r="B2316" s="6">
        <v>46248.0</v>
      </c>
    </row>
    <row r="2317">
      <c r="A2317" s="4">
        <v>3852423.0</v>
      </c>
      <c r="B2317" s="6">
        <v>46249.0</v>
      </c>
    </row>
    <row r="2318">
      <c r="A2318" s="4">
        <v>3852423.0</v>
      </c>
      <c r="B2318" s="6">
        <v>46250.0</v>
      </c>
    </row>
    <row r="2319">
      <c r="A2319" s="4">
        <v>3852423.0</v>
      </c>
      <c r="B2319" s="6">
        <v>46251.0</v>
      </c>
    </row>
    <row r="2320">
      <c r="A2320" s="4">
        <v>3852423.0</v>
      </c>
      <c r="B2320" s="6">
        <v>46252.0</v>
      </c>
    </row>
    <row r="2321">
      <c r="A2321" s="4">
        <v>3852423.0</v>
      </c>
      <c r="B2321" s="6">
        <v>46253.0</v>
      </c>
    </row>
    <row r="2322">
      <c r="A2322" s="4">
        <v>3852423.0</v>
      </c>
      <c r="B2322" s="6">
        <v>46254.0</v>
      </c>
    </row>
    <row r="2323">
      <c r="A2323" s="4">
        <v>3852423.0</v>
      </c>
      <c r="B2323" s="6">
        <v>46255.0</v>
      </c>
    </row>
    <row r="2324">
      <c r="A2324" s="4">
        <v>3852423.0</v>
      </c>
      <c r="B2324" s="6">
        <v>46256.0</v>
      </c>
    </row>
    <row r="2325">
      <c r="A2325" s="4">
        <v>3852423.0</v>
      </c>
      <c r="B2325" s="6">
        <v>46257.0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31</v>
      </c>
      <c r="B1" s="4" t="s">
        <v>83</v>
      </c>
      <c r="C1" s="4" t="s">
        <v>84</v>
      </c>
      <c r="D1" s="4" t="s">
        <v>85</v>
      </c>
      <c r="E1" s="4" t="s">
        <v>86</v>
      </c>
    </row>
    <row r="2">
      <c r="A2" s="4">
        <v>29530.0</v>
      </c>
      <c r="B2" s="6">
        <v>46296.0</v>
      </c>
      <c r="C2" s="6">
        <v>46310.0</v>
      </c>
      <c r="D2" s="7">
        <v>15.0</v>
      </c>
      <c r="E2" s="6">
        <v>46230.0</v>
      </c>
    </row>
    <row r="3">
      <c r="A3" s="4">
        <v>29530.0</v>
      </c>
      <c r="B3" s="6">
        <v>46377.0</v>
      </c>
      <c r="C3" s="6">
        <v>46387.0</v>
      </c>
      <c r="D3" s="7">
        <v>11.0</v>
      </c>
      <c r="E3" s="6">
        <v>46230.0</v>
      </c>
    </row>
    <row r="4">
      <c r="A4" s="4">
        <v>1271571.0</v>
      </c>
      <c r="B4" s="6">
        <v>46279.0</v>
      </c>
      <c r="C4" s="6">
        <v>46313.0</v>
      </c>
      <c r="D4" s="7">
        <v>24.0</v>
      </c>
      <c r="E4" s="6">
        <v>46227.0</v>
      </c>
    </row>
    <row r="5">
      <c r="A5" s="4">
        <v>2369624.0</v>
      </c>
      <c r="B5" s="6">
        <v>46296.0</v>
      </c>
      <c r="C5" s="6">
        <v>46310.0</v>
      </c>
      <c r="D5" s="7">
        <v>15.0</v>
      </c>
      <c r="E5" s="6">
        <v>46230.0</v>
      </c>
    </row>
    <row r="6">
      <c r="A6" s="4">
        <v>2369624.0</v>
      </c>
      <c r="B6" s="6">
        <v>46266.0</v>
      </c>
      <c r="C6" s="6">
        <v>46272.0</v>
      </c>
      <c r="D6" s="7">
        <v>7.0</v>
      </c>
      <c r="E6" s="6">
        <v>46230.0</v>
      </c>
    </row>
    <row r="7">
      <c r="A7" s="4">
        <v>2369641.0</v>
      </c>
      <c r="B7" s="6">
        <v>46282.0</v>
      </c>
      <c r="C7" s="6">
        <v>46295.0</v>
      </c>
      <c r="D7" s="7">
        <v>14.0</v>
      </c>
      <c r="E7" s="6">
        <v>46230.0</v>
      </c>
    </row>
    <row r="8">
      <c r="A8" s="4">
        <v>2369641.0</v>
      </c>
      <c r="B8" s="6">
        <v>46349.0</v>
      </c>
      <c r="C8" s="6">
        <v>46356.0</v>
      </c>
      <c r="D8" s="7">
        <v>8.0</v>
      </c>
      <c r="E8" s="6">
        <v>46230.0</v>
      </c>
    </row>
    <row r="9">
      <c r="A9" s="4">
        <v>2415373.0</v>
      </c>
      <c r="B9" s="6">
        <v>46300.0</v>
      </c>
      <c r="C9" s="6">
        <v>46307.0</v>
      </c>
      <c r="D9" s="7">
        <v>8.0</v>
      </c>
      <c r="E9" s="6">
        <v>46234.0</v>
      </c>
    </row>
    <row r="10">
      <c r="A10" s="4">
        <v>2415373.0</v>
      </c>
      <c r="B10" s="6">
        <v>46308.0</v>
      </c>
      <c r="C10" s="6">
        <v>46314.0</v>
      </c>
      <c r="D10" s="7">
        <v>7.0</v>
      </c>
      <c r="E10" s="6">
        <v>46235.0</v>
      </c>
    </row>
    <row r="11">
      <c r="A11" s="4">
        <v>2440915.0</v>
      </c>
      <c r="B11" s="6">
        <v>46303.0</v>
      </c>
      <c r="C11" s="6">
        <v>46310.0</v>
      </c>
      <c r="D11" s="7">
        <v>8.0</v>
      </c>
      <c r="E11" s="6">
        <v>46230.0</v>
      </c>
    </row>
    <row r="12">
      <c r="A12" s="4">
        <v>2604360.0</v>
      </c>
      <c r="B12" s="6">
        <v>46281.0</v>
      </c>
      <c r="C12" s="6">
        <v>46295.0</v>
      </c>
      <c r="D12" s="7">
        <v>15.0</v>
      </c>
      <c r="E12" s="6">
        <v>46233.0</v>
      </c>
    </row>
    <row r="13">
      <c r="A13" s="4">
        <v>2604360.0</v>
      </c>
      <c r="B13" s="6">
        <v>46381.0</v>
      </c>
      <c r="C13" s="6">
        <v>46387.0</v>
      </c>
      <c r="D13" s="7">
        <v>7.0</v>
      </c>
      <c r="E13" s="6">
        <v>46233.0</v>
      </c>
    </row>
    <row r="14">
      <c r="A14" s="4">
        <v>2713993.0</v>
      </c>
      <c r="B14" s="6">
        <v>46300.0</v>
      </c>
      <c r="C14" s="6">
        <v>46315.0</v>
      </c>
      <c r="D14" s="7">
        <v>16.0</v>
      </c>
      <c r="E14" s="6">
        <v>46230.0</v>
      </c>
    </row>
    <row r="15">
      <c r="A15" s="4">
        <v>2713993.0</v>
      </c>
      <c r="B15" s="6">
        <v>46316.0</v>
      </c>
      <c r="C15" s="6">
        <v>46330.0</v>
      </c>
      <c r="D15" s="7">
        <v>15.0</v>
      </c>
      <c r="E15" s="6">
        <v>46230.0</v>
      </c>
    </row>
    <row r="16">
      <c r="A16" s="4">
        <v>2823133.0</v>
      </c>
      <c r="B16" s="6">
        <v>46370.0</v>
      </c>
      <c r="C16" s="6">
        <v>46380.0</v>
      </c>
      <c r="D16" s="7">
        <v>11.0</v>
      </c>
      <c r="E16" s="6">
        <v>46230.0</v>
      </c>
    </row>
    <row r="17">
      <c r="A17" s="4">
        <v>2843319.0</v>
      </c>
      <c r="B17" s="6">
        <v>46303.0</v>
      </c>
      <c r="C17" s="6">
        <v>46318.0</v>
      </c>
      <c r="D17" s="7">
        <v>16.0</v>
      </c>
      <c r="E17" s="6">
        <v>46230.0</v>
      </c>
    </row>
    <row r="18">
      <c r="A18" s="4">
        <v>3134911.0</v>
      </c>
      <c r="B18" s="6">
        <v>46296.0</v>
      </c>
      <c r="C18" s="6">
        <v>46318.0</v>
      </c>
      <c r="D18" s="7">
        <v>23.0</v>
      </c>
      <c r="E18" s="6">
        <v>46230.0</v>
      </c>
    </row>
    <row r="19">
      <c r="A19" s="4">
        <v>3189967.0</v>
      </c>
      <c r="B19" s="6">
        <v>46296.0</v>
      </c>
      <c r="C19" s="6">
        <v>46313.0</v>
      </c>
      <c r="D19" s="7">
        <v>18.0</v>
      </c>
      <c r="E19" s="6">
        <v>46233.0</v>
      </c>
    </row>
    <row r="20">
      <c r="A20" s="4">
        <v>3217561.0</v>
      </c>
      <c r="B20" s="6">
        <v>46281.0</v>
      </c>
      <c r="C20" s="6">
        <v>46295.0</v>
      </c>
      <c r="D20" s="7">
        <v>15.0</v>
      </c>
      <c r="E20" s="6">
        <v>46230.0</v>
      </c>
    </row>
    <row r="21">
      <c r="A21" s="4">
        <v>3217561.0</v>
      </c>
      <c r="B21" s="6">
        <v>46335.0</v>
      </c>
      <c r="C21" s="6">
        <v>46345.0</v>
      </c>
      <c r="D21" s="7">
        <v>11.0</v>
      </c>
      <c r="E21" s="6">
        <v>46230.0</v>
      </c>
    </row>
    <row r="22">
      <c r="A22" s="4">
        <v>3750335.0</v>
      </c>
      <c r="B22" s="6">
        <v>46273.0</v>
      </c>
      <c r="C22" s="6">
        <v>46279.0</v>
      </c>
      <c r="D22" s="7">
        <v>7.0</v>
      </c>
      <c r="E22" s="6">
        <v>46231.0</v>
      </c>
    </row>
    <row r="23">
      <c r="A23" s="4">
        <v>3750335.0</v>
      </c>
      <c r="B23" s="6">
        <v>46313.0</v>
      </c>
      <c r="C23" s="6">
        <v>46320.0</v>
      </c>
      <c r="D23" s="7">
        <v>8.0</v>
      </c>
      <c r="E23" s="6">
        <v>46231.0</v>
      </c>
    </row>
    <row r="24">
      <c r="A24" s="4">
        <v>3779550.0</v>
      </c>
      <c r="B24" s="6">
        <v>46328.0</v>
      </c>
      <c r="C24" s="6">
        <v>46342.0</v>
      </c>
      <c r="D24" s="7">
        <v>15.0</v>
      </c>
      <c r="E24" s="6">
        <v>46237.0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87</v>
      </c>
      <c r="B1" s="4" t="s">
        <v>31</v>
      </c>
      <c r="C1" s="4" t="s">
        <v>32</v>
      </c>
      <c r="D1" s="5" t="s">
        <v>85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</row>
    <row r="2">
      <c r="D2" s="8"/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7.0"/>
    <col customWidth="1" min="3" max="3" width="18.14"/>
  </cols>
  <sheetData>
    <row r="1">
      <c r="A1" s="5" t="s">
        <v>93</v>
      </c>
      <c r="B1" s="4" t="s">
        <v>94</v>
      </c>
      <c r="C1" s="4" t="s">
        <v>95</v>
      </c>
      <c r="D1" s="4" t="s">
        <v>96</v>
      </c>
    </row>
    <row r="2">
      <c r="A2" s="5" t="s">
        <v>97</v>
      </c>
      <c r="B2" s="4" t="s">
        <v>98</v>
      </c>
      <c r="C2" s="9">
        <v>46296.54043443287</v>
      </c>
    </row>
    <row r="3">
      <c r="A3" s="5" t="s">
        <v>99</v>
      </c>
      <c r="B3" s="4" t="s">
        <v>100</v>
      </c>
      <c r="C3" s="9">
        <v>46296.54043443287</v>
      </c>
    </row>
    <row r="4">
      <c r="A4" s="5" t="s">
        <v>101</v>
      </c>
      <c r="B4" s="4" t="s">
        <v>102</v>
      </c>
      <c r="C4" s="9">
        <v>46296.54043443287</v>
      </c>
    </row>
    <row r="5">
      <c r="A5" s="5" t="s">
        <v>103</v>
      </c>
      <c r="B5" s="4" t="s">
        <v>104</v>
      </c>
      <c r="C5" s="9">
        <v>46296.54043443287</v>
      </c>
    </row>
    <row r="6">
      <c r="A6" s="5" t="s">
        <v>105</v>
      </c>
      <c r="B6" s="4" t="s">
        <v>106</v>
      </c>
      <c r="C6" s="9">
        <v>46296.54043443287</v>
      </c>
    </row>
    <row r="7">
      <c r="A7" s="5" t="s">
        <v>107</v>
      </c>
      <c r="B7" s="4" t="s">
        <v>108</v>
      </c>
      <c r="C7" s="9">
        <v>46296.54043443287</v>
      </c>
    </row>
    <row r="8">
      <c r="A8" s="5" t="s">
        <v>109</v>
      </c>
      <c r="B8" s="4" t="s">
        <v>110</v>
      </c>
      <c r="C8" s="9">
        <v>46296.54043443287</v>
      </c>
    </row>
    <row r="9">
      <c r="A9" s="5" t="s">
        <v>111</v>
      </c>
      <c r="B9" s="4" t="s">
        <v>112</v>
      </c>
      <c r="C9" s="9">
        <v>46296.54043443287</v>
      </c>
    </row>
    <row r="10">
      <c r="A10" s="5" t="s">
        <v>113</v>
      </c>
      <c r="B10" s="4" t="s">
        <v>114</v>
      </c>
      <c r="C10" s="9">
        <v>46296.54043443287</v>
      </c>
    </row>
    <row r="11">
      <c r="A11" s="5" t="s">
        <v>115</v>
      </c>
      <c r="B11" s="4" t="s">
        <v>116</v>
      </c>
      <c r="C11" s="9">
        <v>46296.54043443287</v>
      </c>
    </row>
    <row r="12">
      <c r="A12" s="5" t="s">
        <v>117</v>
      </c>
      <c r="B12" s="4" t="s">
        <v>118</v>
      </c>
      <c r="C12" s="10">
        <v>46307.44549084491</v>
      </c>
      <c r="D12" s="4" t="s">
        <v>119</v>
      </c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120</v>
      </c>
      <c r="B1" s="4" t="s">
        <v>94</v>
      </c>
      <c r="C1" s="4" t="s">
        <v>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8.0"/>
    <col customWidth="1" min="3" max="3" width="40.0"/>
    <col customWidth="1" min="4" max="4" width="34.0"/>
    <col customWidth="1" min="5" max="5" width="15.0"/>
    <col customWidth="1" min="6" max="6" width="22.0"/>
    <col customWidth="1" min="7" max="7" width="11.0"/>
    <col customWidth="1" min="8" max="8" width="16.0"/>
    <col customWidth="1" min="9" max="9" width="10.14"/>
    <col customWidth="1" min="10" max="10" width="60.0"/>
    <col customWidth="1" min="11" max="26" width="8.71"/>
  </cols>
  <sheetData>
    <row r="1" ht="31.5" customHeight="1">
      <c r="A1" s="11" t="s">
        <v>31</v>
      </c>
      <c r="B1" s="11" t="s">
        <v>121</v>
      </c>
      <c r="C1" s="11" t="s">
        <v>122</v>
      </c>
      <c r="D1" s="11" t="s">
        <v>123</v>
      </c>
      <c r="E1" s="11" t="s">
        <v>3</v>
      </c>
      <c r="F1" s="11" t="s">
        <v>124</v>
      </c>
      <c r="G1" s="11" t="s">
        <v>125</v>
      </c>
      <c r="H1" s="11" t="s">
        <v>126</v>
      </c>
      <c r="I1" s="11" t="s">
        <v>5</v>
      </c>
      <c r="J1" s="11" t="s">
        <v>127</v>
      </c>
    </row>
    <row r="2">
      <c r="A2" s="12" t="s">
        <v>128</v>
      </c>
      <c r="B2" s="13" t="s">
        <v>129</v>
      </c>
      <c r="C2" s="13" t="s">
        <v>60</v>
      </c>
      <c r="D2" s="13"/>
      <c r="E2" s="13" t="s">
        <v>130</v>
      </c>
      <c r="F2" s="13" t="s">
        <v>131</v>
      </c>
      <c r="G2" s="13" t="s">
        <v>132</v>
      </c>
      <c r="H2" s="13" t="s">
        <v>133</v>
      </c>
      <c r="I2" s="13" t="s">
        <v>134</v>
      </c>
      <c r="J2" s="13" t="s">
        <v>135</v>
      </c>
    </row>
    <row r="3">
      <c r="A3" s="12" t="s">
        <v>136</v>
      </c>
      <c r="B3" s="13" t="s">
        <v>137</v>
      </c>
      <c r="C3" s="13" t="s">
        <v>52</v>
      </c>
      <c r="D3" s="13"/>
      <c r="E3" s="13" t="s">
        <v>130</v>
      </c>
      <c r="F3" s="13" t="s">
        <v>131</v>
      </c>
      <c r="G3" s="13" t="s">
        <v>132</v>
      </c>
      <c r="H3" s="13" t="s">
        <v>133</v>
      </c>
      <c r="I3" s="13" t="s">
        <v>134</v>
      </c>
      <c r="J3" s="13" t="s">
        <v>135</v>
      </c>
    </row>
    <row r="4">
      <c r="A4" s="12" t="s">
        <v>138</v>
      </c>
      <c r="B4" s="13" t="s">
        <v>139</v>
      </c>
      <c r="C4" s="13" t="s">
        <v>46</v>
      </c>
      <c r="D4" s="13"/>
      <c r="E4" s="13" t="s">
        <v>130</v>
      </c>
      <c r="F4" s="13" t="s">
        <v>140</v>
      </c>
      <c r="G4" s="13" t="s">
        <v>132</v>
      </c>
      <c r="H4" s="13" t="s">
        <v>133</v>
      </c>
      <c r="I4" s="13" t="s">
        <v>134</v>
      </c>
      <c r="J4" s="13" t="s">
        <v>135</v>
      </c>
    </row>
    <row r="5">
      <c r="A5" s="12" t="s">
        <v>141</v>
      </c>
      <c r="B5" s="13" t="s">
        <v>142</v>
      </c>
      <c r="C5" s="13" t="s">
        <v>64</v>
      </c>
      <c r="D5" s="13"/>
      <c r="E5" s="13" t="s">
        <v>130</v>
      </c>
      <c r="F5" s="13" t="s">
        <v>143</v>
      </c>
      <c r="G5" s="13" t="s">
        <v>144</v>
      </c>
      <c r="H5" s="13" t="s">
        <v>132</v>
      </c>
      <c r="I5" s="13" t="s">
        <v>134</v>
      </c>
      <c r="J5" s="13"/>
    </row>
    <row r="6">
      <c r="A6" s="12" t="s">
        <v>145</v>
      </c>
      <c r="B6" s="13" t="s">
        <v>146</v>
      </c>
      <c r="C6" s="13" t="s">
        <v>74</v>
      </c>
      <c r="D6" s="13"/>
      <c r="E6" s="13" t="s">
        <v>130</v>
      </c>
      <c r="F6" s="13" t="s">
        <v>143</v>
      </c>
      <c r="G6" s="13" t="s">
        <v>144</v>
      </c>
      <c r="H6" s="13" t="s">
        <v>132</v>
      </c>
      <c r="I6" s="13" t="s">
        <v>134</v>
      </c>
      <c r="J6" s="13"/>
    </row>
    <row r="7">
      <c r="A7" s="12" t="s">
        <v>147</v>
      </c>
      <c r="B7" s="13" t="s">
        <v>148</v>
      </c>
      <c r="C7" s="13" t="s">
        <v>149</v>
      </c>
      <c r="D7" s="13"/>
      <c r="E7" s="13" t="s">
        <v>130</v>
      </c>
      <c r="F7" s="13" t="s">
        <v>143</v>
      </c>
      <c r="G7" s="13" t="s">
        <v>144</v>
      </c>
      <c r="H7" s="13" t="s">
        <v>132</v>
      </c>
      <c r="I7" s="13" t="s">
        <v>134</v>
      </c>
      <c r="J7" s="13"/>
    </row>
    <row r="8">
      <c r="A8" s="12" t="s">
        <v>150</v>
      </c>
      <c r="B8" s="13" t="s">
        <v>151</v>
      </c>
      <c r="C8" s="13" t="s">
        <v>70</v>
      </c>
      <c r="D8" s="13"/>
      <c r="E8" s="13" t="s">
        <v>130</v>
      </c>
      <c r="F8" s="13" t="s">
        <v>143</v>
      </c>
      <c r="G8" s="13" t="s">
        <v>144</v>
      </c>
      <c r="H8" s="13" t="s">
        <v>132</v>
      </c>
      <c r="I8" s="13" t="s">
        <v>134</v>
      </c>
      <c r="J8" s="13"/>
    </row>
    <row r="9">
      <c r="A9" s="12" t="s">
        <v>152</v>
      </c>
      <c r="B9" s="13" t="s">
        <v>153</v>
      </c>
      <c r="C9" s="13" t="s">
        <v>42</v>
      </c>
      <c r="D9" s="13"/>
      <c r="E9" s="13" t="s">
        <v>130</v>
      </c>
      <c r="F9" s="13"/>
      <c r="G9" s="13" t="s">
        <v>154</v>
      </c>
      <c r="H9" s="13" t="s">
        <v>155</v>
      </c>
      <c r="I9" s="13" t="s">
        <v>134</v>
      </c>
      <c r="J9" s="13" t="s">
        <v>156</v>
      </c>
    </row>
    <row r="10">
      <c r="A10" s="12" t="s">
        <v>157</v>
      </c>
      <c r="B10" s="13" t="s">
        <v>158</v>
      </c>
      <c r="C10" s="13" t="s">
        <v>44</v>
      </c>
      <c r="D10" s="13"/>
      <c r="E10" s="13" t="s">
        <v>130</v>
      </c>
      <c r="F10" s="13" t="s">
        <v>143</v>
      </c>
      <c r="G10" s="13" t="s">
        <v>154</v>
      </c>
      <c r="H10" s="13" t="s">
        <v>132</v>
      </c>
      <c r="I10" s="13" t="s">
        <v>134</v>
      </c>
      <c r="J10" s="13"/>
    </row>
    <row r="11">
      <c r="A11" s="12" t="s">
        <v>159</v>
      </c>
      <c r="B11" s="13" t="s">
        <v>160</v>
      </c>
      <c r="C11" s="13" t="s">
        <v>50</v>
      </c>
      <c r="D11" s="13"/>
      <c r="E11" s="13" t="s">
        <v>130</v>
      </c>
      <c r="F11" s="13" t="s">
        <v>161</v>
      </c>
      <c r="G11" s="13" t="s">
        <v>144</v>
      </c>
      <c r="H11" s="13" t="s">
        <v>132</v>
      </c>
      <c r="I11" s="13" t="s">
        <v>134</v>
      </c>
      <c r="J11" s="13"/>
    </row>
    <row r="12">
      <c r="A12" s="12" t="s">
        <v>162</v>
      </c>
      <c r="B12" s="13" t="s">
        <v>163</v>
      </c>
      <c r="C12" s="13" t="s">
        <v>48</v>
      </c>
      <c r="D12" s="13"/>
      <c r="E12" s="13" t="s">
        <v>130</v>
      </c>
      <c r="F12" s="13" t="s">
        <v>161</v>
      </c>
      <c r="G12" s="13" t="s">
        <v>144</v>
      </c>
      <c r="H12" s="13" t="s">
        <v>132</v>
      </c>
      <c r="I12" s="13" t="s">
        <v>134</v>
      </c>
      <c r="J12" s="13"/>
    </row>
    <row r="13">
      <c r="A13" s="12" t="s">
        <v>164</v>
      </c>
      <c r="B13" s="13" t="s">
        <v>165</v>
      </c>
      <c r="C13" s="13" t="s">
        <v>66</v>
      </c>
      <c r="D13" s="13"/>
      <c r="E13" s="13" t="s">
        <v>130</v>
      </c>
      <c r="F13" s="13" t="s">
        <v>161</v>
      </c>
      <c r="G13" s="13" t="s">
        <v>144</v>
      </c>
      <c r="H13" s="13" t="s">
        <v>132</v>
      </c>
      <c r="I13" s="13" t="s">
        <v>134</v>
      </c>
      <c r="J13" s="13"/>
    </row>
    <row r="14">
      <c r="A14" s="12" t="s">
        <v>166</v>
      </c>
      <c r="B14" s="13" t="s">
        <v>167</v>
      </c>
      <c r="C14" s="13" t="s">
        <v>72</v>
      </c>
      <c r="D14" s="13"/>
      <c r="E14" s="13" t="s">
        <v>130</v>
      </c>
      <c r="F14" s="13" t="s">
        <v>161</v>
      </c>
      <c r="G14" s="13" t="s">
        <v>144</v>
      </c>
      <c r="H14" s="13" t="s">
        <v>132</v>
      </c>
      <c r="I14" s="13" t="s">
        <v>134</v>
      </c>
      <c r="J14" s="13"/>
    </row>
    <row r="15">
      <c r="A15" s="12" t="s">
        <v>168</v>
      </c>
      <c r="B15" s="13" t="s">
        <v>169</v>
      </c>
      <c r="C15" s="13" t="s">
        <v>80</v>
      </c>
      <c r="D15" s="13"/>
      <c r="E15" s="13" t="s">
        <v>130</v>
      </c>
      <c r="F15" s="13" t="s">
        <v>161</v>
      </c>
      <c r="G15" s="13" t="s">
        <v>144</v>
      </c>
      <c r="H15" s="13" t="s">
        <v>132</v>
      </c>
      <c r="I15" s="13" t="s">
        <v>134</v>
      </c>
      <c r="J15" s="13"/>
    </row>
    <row r="16">
      <c r="A16" s="12" t="s">
        <v>170</v>
      </c>
      <c r="B16" s="13" t="s">
        <v>171</v>
      </c>
      <c r="C16" s="13" t="s">
        <v>58</v>
      </c>
      <c r="D16" s="13"/>
      <c r="E16" s="13" t="s">
        <v>130</v>
      </c>
      <c r="F16" s="13" t="s">
        <v>161</v>
      </c>
      <c r="G16" s="13" t="s">
        <v>144</v>
      </c>
      <c r="H16" s="13" t="s">
        <v>132</v>
      </c>
      <c r="I16" s="13" t="s">
        <v>134</v>
      </c>
      <c r="J16" s="13"/>
    </row>
    <row r="17">
      <c r="A17" s="12" t="s">
        <v>172</v>
      </c>
      <c r="B17" s="13" t="s">
        <v>173</v>
      </c>
      <c r="C17" s="13" t="s">
        <v>62</v>
      </c>
      <c r="D17" s="13"/>
      <c r="E17" s="13" t="s">
        <v>130</v>
      </c>
      <c r="F17" s="13" t="s">
        <v>161</v>
      </c>
      <c r="G17" s="13" t="s">
        <v>144</v>
      </c>
      <c r="H17" s="13" t="s">
        <v>132</v>
      </c>
      <c r="I17" s="13" t="s">
        <v>134</v>
      </c>
      <c r="J17" s="13"/>
    </row>
    <row r="18">
      <c r="A18" s="12" t="s">
        <v>174</v>
      </c>
      <c r="B18" s="13" t="s">
        <v>175</v>
      </c>
      <c r="C18" s="13" t="s">
        <v>68</v>
      </c>
      <c r="D18" s="13"/>
      <c r="E18" s="13" t="s">
        <v>130</v>
      </c>
      <c r="F18" s="13" t="s">
        <v>161</v>
      </c>
      <c r="G18" s="13" t="s">
        <v>144</v>
      </c>
      <c r="H18" s="13" t="s">
        <v>132</v>
      </c>
      <c r="I18" s="13" t="s">
        <v>134</v>
      </c>
      <c r="J18" s="13"/>
    </row>
    <row r="19">
      <c r="A19" s="12" t="s">
        <v>176</v>
      </c>
      <c r="B19" s="13" t="s">
        <v>177</v>
      </c>
      <c r="C19" s="13" t="s">
        <v>54</v>
      </c>
      <c r="D19" s="13"/>
      <c r="E19" s="13" t="s">
        <v>130</v>
      </c>
      <c r="F19" s="13" t="s">
        <v>161</v>
      </c>
      <c r="G19" s="13" t="s">
        <v>154</v>
      </c>
      <c r="H19" s="13" t="s">
        <v>132</v>
      </c>
      <c r="I19" s="13" t="s">
        <v>134</v>
      </c>
      <c r="J19" s="13"/>
    </row>
    <row r="20">
      <c r="A20" s="12" t="s">
        <v>178</v>
      </c>
      <c r="B20" s="13" t="s">
        <v>179</v>
      </c>
      <c r="C20" s="13" t="s">
        <v>56</v>
      </c>
      <c r="D20" s="13"/>
      <c r="E20" s="13" t="s">
        <v>130</v>
      </c>
      <c r="F20" s="13" t="s">
        <v>161</v>
      </c>
      <c r="G20" s="13" t="s">
        <v>154</v>
      </c>
      <c r="H20" s="13" t="s">
        <v>132</v>
      </c>
      <c r="I20" s="13" t="s">
        <v>134</v>
      </c>
      <c r="J20" s="13"/>
    </row>
    <row r="21" ht="15.75" customHeight="1">
      <c r="A21" s="12" t="s">
        <v>180</v>
      </c>
      <c r="B21" s="13" t="s">
        <v>181</v>
      </c>
      <c r="C21" s="13" t="s">
        <v>182</v>
      </c>
      <c r="D21" s="13"/>
      <c r="E21" s="13" t="s">
        <v>130</v>
      </c>
      <c r="F21" s="13"/>
      <c r="G21" s="13" t="s">
        <v>144</v>
      </c>
      <c r="H21" s="13" t="s">
        <v>183</v>
      </c>
      <c r="I21" s="13" t="s">
        <v>134</v>
      </c>
      <c r="J21" s="13" t="s">
        <v>156</v>
      </c>
    </row>
    <row r="22" ht="15.75" customHeight="1">
      <c r="A22" s="12" t="s">
        <v>184</v>
      </c>
      <c r="B22" s="13" t="s">
        <v>185</v>
      </c>
      <c r="C22" s="13" t="s">
        <v>78</v>
      </c>
      <c r="D22" s="13"/>
      <c r="E22" s="13" t="s">
        <v>130</v>
      </c>
      <c r="F22" s="13" t="s">
        <v>161</v>
      </c>
      <c r="G22" s="13" t="s">
        <v>144</v>
      </c>
      <c r="H22" s="13" t="s">
        <v>132</v>
      </c>
      <c r="I22" s="13" t="s">
        <v>134</v>
      </c>
      <c r="J22" s="13"/>
    </row>
    <row r="23" ht="15.75" customHeight="1">
      <c r="A23" s="14" t="s">
        <v>186</v>
      </c>
      <c r="B23" s="4" t="s">
        <v>187</v>
      </c>
      <c r="C23" s="4" t="s">
        <v>188</v>
      </c>
      <c r="D23" s="4" t="s">
        <v>189</v>
      </c>
      <c r="E23" s="4" t="s">
        <v>190</v>
      </c>
      <c r="I23" s="4" t="s">
        <v>134</v>
      </c>
    </row>
    <row r="24" ht="15.75" customHeight="1">
      <c r="A24" s="14" t="s">
        <v>191</v>
      </c>
      <c r="B24" s="4" t="s">
        <v>192</v>
      </c>
      <c r="C24" s="4" t="s">
        <v>193</v>
      </c>
      <c r="D24" s="4" t="s">
        <v>194</v>
      </c>
      <c r="E24" s="4" t="s">
        <v>190</v>
      </c>
      <c r="I24" s="4" t="s">
        <v>134</v>
      </c>
    </row>
    <row r="25" ht="15.75" customHeight="1">
      <c r="A25" s="15"/>
      <c r="E25" s="16"/>
      <c r="I25" s="16"/>
    </row>
    <row r="26" ht="15.75" customHeight="1">
      <c r="A26" s="15"/>
      <c r="E26" s="16"/>
      <c r="I26" s="16"/>
    </row>
    <row r="27" ht="15.75" customHeight="1">
      <c r="A27" s="15"/>
      <c r="E27" s="16"/>
      <c r="I27" s="16"/>
    </row>
    <row r="28" ht="15.75" customHeight="1">
      <c r="A28" s="15"/>
      <c r="E28" s="16"/>
      <c r="I28" s="16"/>
    </row>
    <row r="29" ht="15.75" customHeight="1">
      <c r="A29" s="15"/>
      <c r="E29" s="16"/>
      <c r="I29" s="16"/>
    </row>
    <row r="30" ht="15.75" customHeight="1">
      <c r="A30" s="15"/>
      <c r="E30" s="16"/>
      <c r="I30" s="16"/>
    </row>
    <row r="31" ht="15.75" customHeight="1">
      <c r="A31" s="15"/>
      <c r="E31" s="16"/>
      <c r="I31" s="16"/>
    </row>
    <row r="32" ht="15.75" customHeight="1">
      <c r="A32" s="15"/>
      <c r="E32" s="16"/>
      <c r="I32" s="16"/>
    </row>
    <row r="33" ht="15.75" customHeight="1">
      <c r="A33" s="15"/>
      <c r="E33" s="16"/>
      <c r="I33" s="16"/>
    </row>
    <row r="34" ht="15.75" customHeight="1">
      <c r="A34" s="15"/>
      <c r="E34" s="16"/>
      <c r="I34" s="16"/>
    </row>
    <row r="35" ht="15.75" customHeight="1">
      <c r="A35" s="15"/>
      <c r="E35" s="16"/>
      <c r="I35" s="16"/>
    </row>
    <row r="36" ht="15.75" customHeight="1">
      <c r="A36" s="15"/>
      <c r="E36" s="16"/>
      <c r="I36" s="16"/>
    </row>
    <row r="37" ht="15.75" customHeight="1">
      <c r="A37" s="15"/>
      <c r="E37" s="16"/>
      <c r="I37" s="16"/>
    </row>
    <row r="38" ht="15.75" customHeight="1">
      <c r="A38" s="15"/>
      <c r="E38" s="16"/>
      <c r="I38" s="16"/>
    </row>
    <row r="39" ht="15.75" customHeight="1">
      <c r="A39" s="15"/>
      <c r="E39" s="16"/>
      <c r="I39" s="16"/>
    </row>
    <row r="40" ht="15.75" customHeight="1">
      <c r="A40" s="15"/>
      <c r="E40" s="16"/>
      <c r="I40" s="16"/>
    </row>
    <row r="41" ht="15.75" customHeight="1">
      <c r="A41" s="15"/>
      <c r="E41" s="16"/>
      <c r="I41" s="16"/>
    </row>
    <row r="42" ht="15.75" customHeight="1">
      <c r="A42" s="15"/>
      <c r="E42" s="16"/>
      <c r="I42" s="16"/>
    </row>
    <row r="43" ht="15.75" customHeight="1">
      <c r="A43" s="15"/>
      <c r="E43" s="16"/>
      <c r="I43" s="16"/>
    </row>
    <row r="44" ht="15.75" customHeight="1">
      <c r="A44" s="15"/>
      <c r="E44" s="16"/>
      <c r="I44" s="16"/>
    </row>
    <row r="45" ht="15.75" customHeight="1">
      <c r="A45" s="15"/>
      <c r="E45" s="16"/>
      <c r="I45" s="16"/>
    </row>
    <row r="46" ht="15.75" customHeight="1">
      <c r="A46" s="15"/>
      <c r="E46" s="16"/>
      <c r="I46" s="16"/>
    </row>
    <row r="47" ht="15.75" customHeight="1">
      <c r="A47" s="15"/>
      <c r="E47" s="16"/>
      <c r="I47" s="16"/>
    </row>
    <row r="48" ht="15.75" customHeight="1">
      <c r="A48" s="15"/>
      <c r="E48" s="16"/>
      <c r="I48" s="16"/>
    </row>
    <row r="49" ht="15.75" customHeight="1">
      <c r="A49" s="15"/>
      <c r="E49" s="16"/>
      <c r="I49" s="16"/>
    </row>
    <row r="50" ht="15.75" customHeight="1">
      <c r="A50" s="15"/>
      <c r="E50" s="16"/>
      <c r="I50" s="16"/>
    </row>
    <row r="51" ht="15.75" customHeight="1">
      <c r="A51" s="15"/>
      <c r="E51" s="16"/>
      <c r="I51" s="16"/>
    </row>
    <row r="52" ht="15.75" customHeight="1">
      <c r="A52" s="15"/>
      <c r="E52" s="16"/>
      <c r="I52" s="16"/>
    </row>
    <row r="53" ht="15.75" customHeight="1">
      <c r="A53" s="15"/>
      <c r="E53" s="16"/>
      <c r="I53" s="16"/>
    </row>
    <row r="54" ht="15.75" customHeight="1">
      <c r="A54" s="15"/>
      <c r="E54" s="16"/>
      <c r="I54" s="16"/>
    </row>
    <row r="55" ht="15.75" customHeight="1">
      <c r="A55" s="15"/>
      <c r="E55" s="16"/>
      <c r="I55" s="16"/>
    </row>
    <row r="56" ht="15.75" customHeight="1">
      <c r="A56" s="15"/>
      <c r="E56" s="16"/>
      <c r="I56" s="16"/>
    </row>
    <row r="57" ht="15.75" customHeight="1">
      <c r="A57" s="15"/>
      <c r="E57" s="16"/>
      <c r="I57" s="16"/>
    </row>
    <row r="58" ht="15.75" customHeight="1">
      <c r="A58" s="15"/>
      <c r="E58" s="16"/>
      <c r="I58" s="16"/>
    </row>
    <row r="59" ht="15.75" customHeight="1">
      <c r="A59" s="15"/>
      <c r="E59" s="16"/>
      <c r="I59" s="16"/>
    </row>
    <row r="60" ht="15.75" customHeight="1">
      <c r="A60" s="15"/>
      <c r="E60" s="16"/>
      <c r="I60" s="16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autoFilter ref="$A$1:$J$60"/>
  <conditionalFormatting sqref="D2:D60">
    <cfRule type="expression" dxfId="0" priority="1">
      <formula>AND($A2&lt;&gt;"",$D2="")</formula>
    </cfRule>
  </conditionalFormatting>
  <dataValidations>
    <dataValidation type="list" allowBlank="1" sqref="E2:E60">
      <formula1>"Instructor,Administrador"</formula1>
    </dataValidation>
    <dataValidation type="list" allowBlank="1" sqref="I2:I60">
      <formula1>"SI,NO"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16.43"/>
  </cols>
  <sheetData>
    <row r="1">
      <c r="A1" s="5" t="s">
        <v>195</v>
      </c>
      <c r="B1" s="4" t="s">
        <v>196</v>
      </c>
      <c r="C1" s="4" t="s">
        <v>197</v>
      </c>
      <c r="D1" s="4" t="s">
        <v>5</v>
      </c>
      <c r="E1" s="4" t="s">
        <v>198</v>
      </c>
      <c r="F1" s="4" t="s">
        <v>90</v>
      </c>
      <c r="G1" s="4" t="s">
        <v>199</v>
      </c>
      <c r="H1" s="4" t="s">
        <v>200</v>
      </c>
    </row>
    <row r="2">
      <c r="A2" s="5" t="s">
        <v>117</v>
      </c>
      <c r="B2" s="17" t="s">
        <v>201</v>
      </c>
      <c r="C2" s="4" t="s">
        <v>202</v>
      </c>
      <c r="D2" s="4" t="s">
        <v>134</v>
      </c>
      <c r="E2" s="10">
        <v>46307.44549503472</v>
      </c>
      <c r="F2" s="4" t="s">
        <v>203</v>
      </c>
      <c r="G2" s="7">
        <v>21.0</v>
      </c>
      <c r="H2" s="4" t="s">
        <v>204</v>
      </c>
    </row>
    <row r="3">
      <c r="A3" s="8"/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location="gid=681297197" ref="B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46.14"/>
  </cols>
  <sheetData>
    <row r="1">
      <c r="A1" s="4" t="s">
        <v>31</v>
      </c>
      <c r="B1" s="4" t="s">
        <v>32</v>
      </c>
      <c r="C1" s="4" t="s">
        <v>83</v>
      </c>
      <c r="D1" s="4" t="s">
        <v>84</v>
      </c>
      <c r="E1" s="4" t="s">
        <v>205</v>
      </c>
      <c r="F1" s="4" t="s">
        <v>90</v>
      </c>
    </row>
    <row r="2">
      <c r="A2" s="18">
        <v>71348.0</v>
      </c>
      <c r="B2" s="4" t="s">
        <v>153</v>
      </c>
      <c r="C2" s="6">
        <v>46082.0</v>
      </c>
      <c r="D2" s="6">
        <v>46112.0</v>
      </c>
      <c r="E2" s="4" t="s">
        <v>155</v>
      </c>
      <c r="F2" s="4" t="s">
        <v>206</v>
      </c>
    </row>
    <row r="3">
      <c r="A3" s="18">
        <v>3796947.0</v>
      </c>
      <c r="B3" s="4" t="s">
        <v>181</v>
      </c>
      <c r="C3" s="6">
        <v>46082.0</v>
      </c>
      <c r="D3" s="6">
        <v>46112.0</v>
      </c>
      <c r="E3" s="4" t="s">
        <v>207</v>
      </c>
      <c r="F3" s="4" t="s">
        <v>206</v>
      </c>
    </row>
    <row r="4">
      <c r="A4" s="18">
        <v>2713993.0</v>
      </c>
      <c r="B4" s="4" t="s">
        <v>129</v>
      </c>
      <c r="C4" s="6">
        <v>46092.0</v>
      </c>
      <c r="D4" s="6">
        <v>46094.0</v>
      </c>
      <c r="E4" s="4" t="s">
        <v>208</v>
      </c>
      <c r="F4" s="4" t="s">
        <v>206</v>
      </c>
    </row>
    <row r="5">
      <c r="A5" s="18">
        <v>2604360.0</v>
      </c>
      <c r="B5" s="4" t="s">
        <v>171</v>
      </c>
      <c r="C5" s="6">
        <v>46092.0</v>
      </c>
      <c r="D5" s="6">
        <v>46094.0</v>
      </c>
      <c r="E5" s="4" t="s">
        <v>208</v>
      </c>
      <c r="F5" s="4" t="s">
        <v>206</v>
      </c>
    </row>
    <row r="6">
      <c r="A6" s="18">
        <v>2369624.0</v>
      </c>
      <c r="B6" s="4" t="s">
        <v>209</v>
      </c>
      <c r="C6" s="6">
        <v>46092.0</v>
      </c>
      <c r="D6" s="6">
        <v>46094.0</v>
      </c>
      <c r="E6" s="4" t="s">
        <v>208</v>
      </c>
      <c r="F6" s="4" t="s">
        <v>206</v>
      </c>
    </row>
    <row r="7">
      <c r="A7" s="18">
        <v>2823133.0</v>
      </c>
      <c r="B7" s="4" t="s">
        <v>173</v>
      </c>
      <c r="C7" s="6">
        <v>46094.0</v>
      </c>
      <c r="D7" s="6">
        <v>46094.0</v>
      </c>
      <c r="E7" s="4" t="s">
        <v>210</v>
      </c>
      <c r="F7" s="4" t="s">
        <v>206</v>
      </c>
    </row>
    <row r="8">
      <c r="A8" s="18">
        <v>1271571.0</v>
      </c>
      <c r="B8" s="4" t="s">
        <v>139</v>
      </c>
      <c r="C8" s="6">
        <v>46094.0</v>
      </c>
      <c r="D8" s="6">
        <v>46094.0</v>
      </c>
      <c r="E8" s="4" t="s">
        <v>210</v>
      </c>
      <c r="F8" s="4" t="s">
        <v>206</v>
      </c>
    </row>
    <row r="9">
      <c r="A9" s="18">
        <v>3217561.0</v>
      </c>
      <c r="B9" s="4" t="s">
        <v>151</v>
      </c>
      <c r="C9" s="6">
        <v>46094.0</v>
      </c>
      <c r="D9" s="6">
        <v>46094.0</v>
      </c>
      <c r="E9" s="4" t="s">
        <v>210</v>
      </c>
      <c r="F9" s="4" t="s">
        <v>206</v>
      </c>
    </row>
    <row r="10">
      <c r="A10" s="18">
        <v>2369641.0</v>
      </c>
      <c r="B10" s="4" t="s">
        <v>160</v>
      </c>
      <c r="C10" s="6">
        <v>46094.0</v>
      </c>
      <c r="D10" s="6">
        <v>46094.0</v>
      </c>
      <c r="E10" s="4" t="s">
        <v>210</v>
      </c>
      <c r="F10" s="4" t="s">
        <v>206</v>
      </c>
    </row>
    <row r="11">
      <c r="A11" s="18">
        <v>967092.0</v>
      </c>
      <c r="B11" s="4" t="s">
        <v>158</v>
      </c>
      <c r="C11" s="6">
        <v>46094.0</v>
      </c>
      <c r="D11" s="6">
        <v>46094.0</v>
      </c>
      <c r="E11" s="4" t="s">
        <v>210</v>
      </c>
      <c r="F11" s="4" t="s">
        <v>206</v>
      </c>
    </row>
    <row r="12">
      <c r="A12" s="18">
        <v>2713993.0</v>
      </c>
      <c r="B12" s="4" t="s">
        <v>129</v>
      </c>
      <c r="C12" s="6">
        <v>46094.0</v>
      </c>
      <c r="D12" s="6">
        <v>46094.0</v>
      </c>
      <c r="E12" s="4" t="s">
        <v>210</v>
      </c>
      <c r="F12" s="4" t="s">
        <v>206</v>
      </c>
    </row>
    <row r="13">
      <c r="A13" s="18">
        <v>3852423.0</v>
      </c>
      <c r="B13" s="4" t="s">
        <v>169</v>
      </c>
      <c r="C13" s="6">
        <v>46094.0</v>
      </c>
      <c r="D13" s="6">
        <v>46094.0</v>
      </c>
      <c r="E13" s="4" t="s">
        <v>210</v>
      </c>
      <c r="F13" s="4" t="s">
        <v>206</v>
      </c>
    </row>
    <row r="14">
      <c r="A14" s="18">
        <v>3841387.0</v>
      </c>
      <c r="B14" s="4" t="s">
        <v>185</v>
      </c>
      <c r="C14" s="6">
        <v>46094.0</v>
      </c>
      <c r="D14" s="6">
        <v>46094.0</v>
      </c>
      <c r="E14" s="4" t="s">
        <v>210</v>
      </c>
      <c r="F14" s="4" t="s">
        <v>206</v>
      </c>
    </row>
    <row r="15">
      <c r="A15" s="18">
        <v>3134911.0</v>
      </c>
      <c r="B15" s="4" t="s">
        <v>165</v>
      </c>
      <c r="C15" s="6">
        <v>46094.0</v>
      </c>
      <c r="D15" s="6">
        <v>46094.0</v>
      </c>
      <c r="E15" s="4" t="s">
        <v>210</v>
      </c>
      <c r="F15" s="4" t="s">
        <v>211</v>
      </c>
    </row>
    <row r="16">
      <c r="A16" s="18">
        <v>29530.0</v>
      </c>
      <c r="B16" s="4" t="s">
        <v>148</v>
      </c>
      <c r="C16" s="6">
        <v>46094.0</v>
      </c>
      <c r="D16" s="6">
        <v>46094.0</v>
      </c>
      <c r="E16" s="4" t="s">
        <v>210</v>
      </c>
      <c r="F16" s="4" t="s">
        <v>206</v>
      </c>
    </row>
    <row r="17">
      <c r="A17" s="18">
        <v>3750335.0</v>
      </c>
      <c r="B17" s="4" t="s">
        <v>167</v>
      </c>
      <c r="C17" s="6">
        <v>46094.0</v>
      </c>
      <c r="D17" s="6">
        <v>46094.0</v>
      </c>
      <c r="E17" s="4" t="s">
        <v>210</v>
      </c>
      <c r="F17" s="4" t="s">
        <v>206</v>
      </c>
    </row>
    <row r="18">
      <c r="A18" s="18">
        <v>3779550.0</v>
      </c>
      <c r="B18" s="4" t="s">
        <v>146</v>
      </c>
      <c r="C18" s="6">
        <v>46094.0</v>
      </c>
      <c r="D18" s="6">
        <v>46094.0</v>
      </c>
      <c r="E18" s="4" t="s">
        <v>210</v>
      </c>
      <c r="F18" s="4" t="s">
        <v>206</v>
      </c>
    </row>
    <row r="19">
      <c r="A19" s="18">
        <v>2440915.0</v>
      </c>
      <c r="B19" s="4" t="s">
        <v>179</v>
      </c>
      <c r="C19" s="6">
        <v>46094.0</v>
      </c>
      <c r="D19" s="6">
        <v>46094.0</v>
      </c>
      <c r="E19" s="4" t="s">
        <v>210</v>
      </c>
      <c r="F19" s="4" t="s">
        <v>206</v>
      </c>
    </row>
    <row r="20">
      <c r="A20" s="18">
        <v>2843319.0</v>
      </c>
      <c r="B20" s="4" t="s">
        <v>142</v>
      </c>
      <c r="C20" s="6">
        <v>46094.0</v>
      </c>
      <c r="D20" s="6">
        <v>46094.0</v>
      </c>
      <c r="E20" s="4" t="s">
        <v>210</v>
      </c>
      <c r="F20" s="4" t="s">
        <v>206</v>
      </c>
    </row>
    <row r="21">
      <c r="A21" s="18">
        <v>3189967.0</v>
      </c>
      <c r="B21" s="4" t="s">
        <v>175</v>
      </c>
      <c r="C21" s="6">
        <v>46094.0</v>
      </c>
      <c r="D21" s="6">
        <v>46094.0</v>
      </c>
      <c r="E21" s="4" t="s">
        <v>210</v>
      </c>
      <c r="F21" s="4" t="s">
        <v>206</v>
      </c>
    </row>
    <row r="22">
      <c r="A22" s="18">
        <v>2963161.0</v>
      </c>
      <c r="B22" s="4" t="s">
        <v>212</v>
      </c>
      <c r="C22" s="6">
        <v>46094.0</v>
      </c>
      <c r="D22" s="6">
        <v>46094.0</v>
      </c>
      <c r="E22" s="4" t="s">
        <v>210</v>
      </c>
      <c r="F22" s="4" t="s">
        <v>206</v>
      </c>
    </row>
    <row r="23">
      <c r="A23" s="18">
        <v>2604360.0</v>
      </c>
      <c r="B23" s="4" t="s">
        <v>171</v>
      </c>
      <c r="C23" s="6">
        <v>46094.0</v>
      </c>
      <c r="D23" s="6">
        <v>46094.0</v>
      </c>
      <c r="E23" s="4" t="s">
        <v>210</v>
      </c>
      <c r="F23" s="4" t="s">
        <v>206</v>
      </c>
    </row>
    <row r="24">
      <c r="A24" s="18">
        <v>2415373.0</v>
      </c>
      <c r="B24" s="4" t="s">
        <v>177</v>
      </c>
      <c r="C24" s="6">
        <v>46094.0</v>
      </c>
      <c r="D24" s="6">
        <v>46094.0</v>
      </c>
      <c r="E24" s="4" t="s">
        <v>210</v>
      </c>
      <c r="F24" s="4" t="s">
        <v>206</v>
      </c>
    </row>
    <row r="25">
      <c r="A25" s="18">
        <v>2369624.0</v>
      </c>
      <c r="B25" s="4" t="s">
        <v>209</v>
      </c>
      <c r="C25" s="6">
        <v>46094.0</v>
      </c>
      <c r="D25" s="6">
        <v>46094.0</v>
      </c>
      <c r="E25" s="4" t="s">
        <v>210</v>
      </c>
      <c r="F25" s="4" t="s">
        <v>206</v>
      </c>
    </row>
    <row r="26">
      <c r="A26" s="18">
        <v>2396710.0</v>
      </c>
      <c r="B26" s="4" t="s">
        <v>137</v>
      </c>
      <c r="C26" s="6">
        <v>46094.0</v>
      </c>
      <c r="D26" s="6">
        <v>46094.0</v>
      </c>
      <c r="E26" s="4" t="s">
        <v>210</v>
      </c>
      <c r="F26" s="4" t="s">
        <v>206</v>
      </c>
    </row>
    <row r="27">
      <c r="A27" s="18">
        <v>2823133.0</v>
      </c>
      <c r="B27" s="4" t="s">
        <v>173</v>
      </c>
      <c r="C27" s="6">
        <v>46118.0</v>
      </c>
      <c r="D27" s="6">
        <v>46120.0</v>
      </c>
      <c r="E27" s="4" t="s">
        <v>213</v>
      </c>
      <c r="F27" s="4" t="s">
        <v>206</v>
      </c>
    </row>
    <row r="28">
      <c r="A28" s="18">
        <v>3852423.0</v>
      </c>
      <c r="B28" s="4" t="s">
        <v>169</v>
      </c>
      <c r="C28" s="6">
        <v>46118.0</v>
      </c>
      <c r="D28" s="6">
        <v>46120.0</v>
      </c>
      <c r="E28" s="4" t="s">
        <v>213</v>
      </c>
      <c r="F28" s="4" t="s">
        <v>206</v>
      </c>
    </row>
    <row r="29">
      <c r="A29" s="18">
        <v>3841387.0</v>
      </c>
      <c r="B29" s="4" t="s">
        <v>185</v>
      </c>
      <c r="C29" s="6">
        <v>46118.0</v>
      </c>
      <c r="D29" s="6">
        <v>46120.0</v>
      </c>
      <c r="E29" s="4" t="s">
        <v>213</v>
      </c>
      <c r="F29" s="4" t="s">
        <v>206</v>
      </c>
    </row>
    <row r="30">
      <c r="A30" s="18">
        <v>3134911.0</v>
      </c>
      <c r="B30" s="4" t="s">
        <v>165</v>
      </c>
      <c r="C30" s="6">
        <v>46118.0</v>
      </c>
      <c r="D30" s="6">
        <v>46120.0</v>
      </c>
      <c r="E30" s="4" t="s">
        <v>213</v>
      </c>
      <c r="F30" s="4" t="s">
        <v>206</v>
      </c>
    </row>
    <row r="31">
      <c r="A31" s="18">
        <v>2823133.0</v>
      </c>
      <c r="B31" s="4" t="s">
        <v>173</v>
      </c>
      <c r="C31" s="6">
        <v>46121.0</v>
      </c>
      <c r="D31" s="6">
        <v>46122.0</v>
      </c>
      <c r="E31" s="4" t="s">
        <v>214</v>
      </c>
      <c r="F31" s="4" t="s">
        <v>206</v>
      </c>
    </row>
    <row r="32">
      <c r="A32" s="18">
        <v>1271571.0</v>
      </c>
      <c r="B32" s="4" t="s">
        <v>139</v>
      </c>
      <c r="C32" s="6">
        <v>46121.0</v>
      </c>
      <c r="D32" s="6">
        <v>46122.0</v>
      </c>
      <c r="E32" s="4" t="s">
        <v>214</v>
      </c>
      <c r="F32" s="4" t="s">
        <v>206</v>
      </c>
    </row>
    <row r="33">
      <c r="A33" s="18">
        <v>3217561.0</v>
      </c>
      <c r="B33" s="4" t="s">
        <v>151</v>
      </c>
      <c r="C33" s="6">
        <v>46121.0</v>
      </c>
      <c r="D33" s="6">
        <v>46122.0</v>
      </c>
      <c r="E33" s="4" t="s">
        <v>214</v>
      </c>
      <c r="F33" s="4" t="s">
        <v>211</v>
      </c>
    </row>
    <row r="34">
      <c r="A34" s="18">
        <v>2369641.0</v>
      </c>
      <c r="B34" s="4" t="s">
        <v>160</v>
      </c>
      <c r="C34" s="6">
        <v>46121.0</v>
      </c>
      <c r="D34" s="6">
        <v>46122.0</v>
      </c>
      <c r="E34" s="4" t="s">
        <v>214</v>
      </c>
      <c r="F34" s="4" t="s">
        <v>206</v>
      </c>
    </row>
    <row r="35">
      <c r="A35" s="18">
        <v>967092.0</v>
      </c>
      <c r="B35" s="4" t="s">
        <v>158</v>
      </c>
      <c r="C35" s="6">
        <v>46121.0</v>
      </c>
      <c r="D35" s="6">
        <v>46122.0</v>
      </c>
      <c r="E35" s="4" t="s">
        <v>214</v>
      </c>
      <c r="F35" s="4" t="s">
        <v>206</v>
      </c>
    </row>
    <row r="36">
      <c r="A36" s="18">
        <v>2713993.0</v>
      </c>
      <c r="B36" s="4" t="s">
        <v>129</v>
      </c>
      <c r="C36" s="6">
        <v>46121.0</v>
      </c>
      <c r="D36" s="6">
        <v>46122.0</v>
      </c>
      <c r="E36" s="4" t="s">
        <v>214</v>
      </c>
      <c r="F36" s="4" t="s">
        <v>206</v>
      </c>
    </row>
    <row r="37">
      <c r="A37" s="18">
        <v>3852423.0</v>
      </c>
      <c r="B37" s="4" t="s">
        <v>169</v>
      </c>
      <c r="C37" s="6">
        <v>46121.0</v>
      </c>
      <c r="D37" s="6">
        <v>46122.0</v>
      </c>
      <c r="E37" s="4" t="s">
        <v>214</v>
      </c>
      <c r="F37" s="4" t="s">
        <v>206</v>
      </c>
    </row>
    <row r="38">
      <c r="A38" s="18">
        <v>3841387.0</v>
      </c>
      <c r="B38" s="4" t="s">
        <v>185</v>
      </c>
      <c r="C38" s="6">
        <v>46121.0</v>
      </c>
      <c r="D38" s="6">
        <v>46122.0</v>
      </c>
      <c r="E38" s="4" t="s">
        <v>214</v>
      </c>
      <c r="F38" s="4" t="s">
        <v>206</v>
      </c>
    </row>
    <row r="39">
      <c r="A39" s="18">
        <v>3134911.0</v>
      </c>
      <c r="B39" s="4" t="s">
        <v>165</v>
      </c>
      <c r="C39" s="6">
        <v>46121.0</v>
      </c>
      <c r="D39" s="6">
        <v>46122.0</v>
      </c>
      <c r="E39" s="4" t="s">
        <v>214</v>
      </c>
      <c r="F39" s="4" t="s">
        <v>206</v>
      </c>
    </row>
    <row r="40">
      <c r="A40" s="18">
        <v>29530.0</v>
      </c>
      <c r="B40" s="4" t="s">
        <v>148</v>
      </c>
      <c r="C40" s="6">
        <v>46121.0</v>
      </c>
      <c r="D40" s="6">
        <v>46122.0</v>
      </c>
      <c r="E40" s="4" t="s">
        <v>214</v>
      </c>
      <c r="F40" s="4" t="s">
        <v>206</v>
      </c>
    </row>
    <row r="41">
      <c r="A41" s="18">
        <v>3750335.0</v>
      </c>
      <c r="B41" s="4" t="s">
        <v>167</v>
      </c>
      <c r="C41" s="6">
        <v>46121.0</v>
      </c>
      <c r="D41" s="6">
        <v>46122.0</v>
      </c>
      <c r="E41" s="4" t="s">
        <v>214</v>
      </c>
      <c r="F41" s="4" t="s">
        <v>206</v>
      </c>
    </row>
    <row r="42">
      <c r="A42" s="18">
        <v>3779550.0</v>
      </c>
      <c r="B42" s="4" t="s">
        <v>146</v>
      </c>
      <c r="C42" s="6">
        <v>46121.0</v>
      </c>
      <c r="D42" s="6">
        <v>46122.0</v>
      </c>
      <c r="E42" s="4" t="s">
        <v>214</v>
      </c>
      <c r="F42" s="4" t="s">
        <v>211</v>
      </c>
    </row>
    <row r="43">
      <c r="A43" s="18">
        <v>2440915.0</v>
      </c>
      <c r="B43" s="4" t="s">
        <v>179</v>
      </c>
      <c r="C43" s="6">
        <v>46121.0</v>
      </c>
      <c r="D43" s="6">
        <v>46122.0</v>
      </c>
      <c r="E43" s="4" t="s">
        <v>214</v>
      </c>
      <c r="F43" s="4" t="s">
        <v>206</v>
      </c>
    </row>
    <row r="44">
      <c r="A44" s="18">
        <v>2843319.0</v>
      </c>
      <c r="B44" s="4" t="s">
        <v>142</v>
      </c>
      <c r="C44" s="6">
        <v>46121.0</v>
      </c>
      <c r="D44" s="6">
        <v>46122.0</v>
      </c>
      <c r="E44" s="4" t="s">
        <v>214</v>
      </c>
      <c r="F44" s="4" t="s">
        <v>206</v>
      </c>
    </row>
    <row r="45">
      <c r="A45" s="18">
        <v>3189967.0</v>
      </c>
      <c r="B45" s="4" t="s">
        <v>175</v>
      </c>
      <c r="C45" s="6">
        <v>46121.0</v>
      </c>
      <c r="D45" s="6">
        <v>46122.0</v>
      </c>
      <c r="E45" s="4" t="s">
        <v>214</v>
      </c>
      <c r="F45" s="4" t="s">
        <v>206</v>
      </c>
    </row>
    <row r="46">
      <c r="A46" s="18">
        <v>2604360.0</v>
      </c>
      <c r="B46" s="4" t="s">
        <v>171</v>
      </c>
      <c r="C46" s="6">
        <v>46121.0</v>
      </c>
      <c r="D46" s="6">
        <v>46122.0</v>
      </c>
      <c r="E46" s="4" t="s">
        <v>214</v>
      </c>
      <c r="F46" s="4" t="s">
        <v>206</v>
      </c>
    </row>
    <row r="47">
      <c r="A47" s="18">
        <v>2415373.0</v>
      </c>
      <c r="B47" s="4" t="s">
        <v>177</v>
      </c>
      <c r="C47" s="6">
        <v>46121.0</v>
      </c>
      <c r="D47" s="6">
        <v>46122.0</v>
      </c>
      <c r="E47" s="4" t="s">
        <v>214</v>
      </c>
      <c r="F47" s="4" t="s">
        <v>206</v>
      </c>
    </row>
    <row r="48">
      <c r="A48" s="18">
        <v>2369624.0</v>
      </c>
      <c r="B48" s="4" t="s">
        <v>209</v>
      </c>
      <c r="C48" s="6">
        <v>46121.0</v>
      </c>
      <c r="D48" s="6">
        <v>46122.0</v>
      </c>
      <c r="E48" s="4" t="s">
        <v>214</v>
      </c>
      <c r="F48" s="4" t="s">
        <v>211</v>
      </c>
    </row>
    <row r="49">
      <c r="A49" s="18">
        <v>2396710.0</v>
      </c>
      <c r="B49" s="4" t="s">
        <v>137</v>
      </c>
      <c r="C49" s="6">
        <v>46121.0</v>
      </c>
      <c r="D49" s="6">
        <v>46122.0</v>
      </c>
      <c r="E49" s="4" t="s">
        <v>214</v>
      </c>
      <c r="F49" s="4" t="s">
        <v>206</v>
      </c>
    </row>
    <row r="50">
      <c r="A50" s="18">
        <v>1271571.0</v>
      </c>
      <c r="B50" s="4" t="s">
        <v>139</v>
      </c>
      <c r="C50" s="6">
        <v>46128.0</v>
      </c>
      <c r="D50" s="6">
        <v>46128.0</v>
      </c>
      <c r="E50" s="4" t="s">
        <v>215</v>
      </c>
      <c r="F50" s="4" t="s">
        <v>206</v>
      </c>
    </row>
    <row r="51">
      <c r="A51" s="18">
        <v>2604360.0</v>
      </c>
      <c r="B51" s="4" t="s">
        <v>171</v>
      </c>
      <c r="C51" s="6">
        <v>46128.0</v>
      </c>
      <c r="D51" s="6">
        <v>46128.0</v>
      </c>
      <c r="E51" s="4" t="s">
        <v>215</v>
      </c>
      <c r="F51" s="4" t="s">
        <v>206</v>
      </c>
    </row>
    <row r="52">
      <c r="A52" s="18">
        <v>71348.0</v>
      </c>
      <c r="B52" s="4" t="s">
        <v>153</v>
      </c>
      <c r="C52" s="6">
        <v>46143.0</v>
      </c>
      <c r="D52" s="6">
        <v>46173.0</v>
      </c>
      <c r="E52" s="4" t="s">
        <v>155</v>
      </c>
      <c r="F52" s="4" t="s">
        <v>206</v>
      </c>
    </row>
    <row r="53">
      <c r="A53" s="18">
        <v>3796947.0</v>
      </c>
      <c r="B53" s="4" t="s">
        <v>181</v>
      </c>
      <c r="C53" s="6">
        <v>46143.0</v>
      </c>
      <c r="D53" s="6">
        <v>46173.0</v>
      </c>
      <c r="E53" s="4" t="s">
        <v>207</v>
      </c>
      <c r="F53" s="4" t="s">
        <v>206</v>
      </c>
    </row>
    <row r="54">
      <c r="A54" s="18">
        <v>2369641.0</v>
      </c>
      <c r="B54" s="4" t="s">
        <v>160</v>
      </c>
      <c r="C54" s="6">
        <v>46146.0</v>
      </c>
      <c r="D54" s="6">
        <v>46146.0</v>
      </c>
      <c r="E54" s="4" t="s">
        <v>216</v>
      </c>
      <c r="F54" s="4" t="s">
        <v>206</v>
      </c>
    </row>
    <row r="55">
      <c r="A55" s="18">
        <v>3134911.0</v>
      </c>
      <c r="B55" s="4" t="s">
        <v>165</v>
      </c>
      <c r="C55" s="6">
        <v>46146.0</v>
      </c>
      <c r="D55" s="6">
        <v>46146.0</v>
      </c>
      <c r="E55" s="4" t="s">
        <v>216</v>
      </c>
      <c r="F55" s="4" t="s">
        <v>206</v>
      </c>
    </row>
    <row r="56">
      <c r="A56" s="18">
        <v>3750335.0</v>
      </c>
      <c r="B56" s="4" t="s">
        <v>167</v>
      </c>
      <c r="C56" s="6">
        <v>46146.0</v>
      </c>
      <c r="D56" s="6">
        <v>46146.0</v>
      </c>
      <c r="E56" s="4" t="s">
        <v>216</v>
      </c>
      <c r="F56" s="4" t="s">
        <v>206</v>
      </c>
    </row>
    <row r="57">
      <c r="A57" s="18">
        <v>2369624.0</v>
      </c>
      <c r="B57" s="4" t="s">
        <v>163</v>
      </c>
      <c r="C57" s="6">
        <v>46146.0</v>
      </c>
      <c r="D57" s="6">
        <v>46146.0</v>
      </c>
      <c r="E57" s="4" t="s">
        <v>216</v>
      </c>
      <c r="F57" s="4" t="s">
        <v>206</v>
      </c>
    </row>
    <row r="58">
      <c r="A58" s="18">
        <v>2713993.0</v>
      </c>
      <c r="B58" s="4" t="s">
        <v>129</v>
      </c>
      <c r="C58" s="6">
        <v>46147.0</v>
      </c>
      <c r="D58" s="6">
        <v>46147.0</v>
      </c>
      <c r="E58" s="4" t="s">
        <v>217</v>
      </c>
      <c r="F58" s="4" t="s">
        <v>206</v>
      </c>
    </row>
    <row r="59">
      <c r="A59" s="18">
        <v>2823133.0</v>
      </c>
      <c r="B59" s="4" t="s">
        <v>173</v>
      </c>
      <c r="C59" s="6">
        <v>46150.0</v>
      </c>
      <c r="D59" s="6">
        <v>46150.0</v>
      </c>
      <c r="E59" s="4" t="s">
        <v>210</v>
      </c>
      <c r="F59" s="4" t="s">
        <v>206</v>
      </c>
    </row>
    <row r="60">
      <c r="A60" s="18">
        <v>1271571.0</v>
      </c>
      <c r="B60" s="4" t="s">
        <v>139</v>
      </c>
      <c r="C60" s="6">
        <v>46150.0</v>
      </c>
      <c r="D60" s="6">
        <v>46150.0</v>
      </c>
      <c r="E60" s="4" t="s">
        <v>210</v>
      </c>
      <c r="F60" s="4" t="s">
        <v>206</v>
      </c>
    </row>
    <row r="61">
      <c r="A61" s="18">
        <v>3217561.0</v>
      </c>
      <c r="B61" s="4" t="s">
        <v>151</v>
      </c>
      <c r="C61" s="6">
        <v>46150.0</v>
      </c>
      <c r="D61" s="6">
        <v>46150.0</v>
      </c>
      <c r="E61" s="4" t="s">
        <v>210</v>
      </c>
      <c r="F61" s="4" t="s">
        <v>206</v>
      </c>
    </row>
    <row r="62">
      <c r="A62" s="18">
        <v>2369641.0</v>
      </c>
      <c r="B62" s="4" t="s">
        <v>160</v>
      </c>
      <c r="C62" s="6">
        <v>46150.0</v>
      </c>
      <c r="D62" s="6">
        <v>46150.0</v>
      </c>
      <c r="E62" s="4" t="s">
        <v>210</v>
      </c>
      <c r="F62" s="4" t="s">
        <v>206</v>
      </c>
    </row>
    <row r="63">
      <c r="A63" s="18">
        <v>967092.0</v>
      </c>
      <c r="B63" s="4" t="s">
        <v>158</v>
      </c>
      <c r="C63" s="6">
        <v>46150.0</v>
      </c>
      <c r="D63" s="6">
        <v>46150.0</v>
      </c>
      <c r="E63" s="4" t="s">
        <v>210</v>
      </c>
      <c r="F63" s="4" t="s">
        <v>206</v>
      </c>
    </row>
    <row r="64">
      <c r="A64" s="18">
        <v>2713993.0</v>
      </c>
      <c r="B64" s="4" t="s">
        <v>129</v>
      </c>
      <c r="C64" s="6">
        <v>46150.0</v>
      </c>
      <c r="D64" s="6">
        <v>46150.0</v>
      </c>
      <c r="E64" s="4" t="s">
        <v>210</v>
      </c>
      <c r="F64" s="4" t="s">
        <v>206</v>
      </c>
    </row>
    <row r="65">
      <c r="A65" s="18">
        <v>3852423.0</v>
      </c>
      <c r="B65" s="4" t="s">
        <v>169</v>
      </c>
      <c r="C65" s="6">
        <v>46150.0</v>
      </c>
      <c r="D65" s="6">
        <v>46150.0</v>
      </c>
      <c r="E65" s="4" t="s">
        <v>210</v>
      </c>
      <c r="F65" s="4" t="s">
        <v>206</v>
      </c>
    </row>
    <row r="66">
      <c r="A66" s="18">
        <v>3841387.0</v>
      </c>
      <c r="B66" s="4" t="s">
        <v>185</v>
      </c>
      <c r="C66" s="6">
        <v>46150.0</v>
      </c>
      <c r="D66" s="6">
        <v>46150.0</v>
      </c>
      <c r="E66" s="4" t="s">
        <v>210</v>
      </c>
      <c r="F66" s="4" t="s">
        <v>206</v>
      </c>
    </row>
    <row r="67">
      <c r="A67" s="18">
        <v>3134911.0</v>
      </c>
      <c r="B67" s="4" t="s">
        <v>165</v>
      </c>
      <c r="C67" s="6">
        <v>46150.0</v>
      </c>
      <c r="D67" s="6">
        <v>46150.0</v>
      </c>
      <c r="E67" s="4" t="s">
        <v>210</v>
      </c>
      <c r="F67" s="4" t="s">
        <v>206</v>
      </c>
    </row>
    <row r="68">
      <c r="A68" s="18">
        <v>29530.0</v>
      </c>
      <c r="B68" s="4" t="s">
        <v>148</v>
      </c>
      <c r="C68" s="6">
        <v>46150.0</v>
      </c>
      <c r="D68" s="6">
        <v>46150.0</v>
      </c>
      <c r="E68" s="4" t="s">
        <v>210</v>
      </c>
      <c r="F68" s="4" t="s">
        <v>206</v>
      </c>
    </row>
    <row r="69">
      <c r="A69" s="18">
        <v>3750335.0</v>
      </c>
      <c r="B69" s="4" t="s">
        <v>167</v>
      </c>
      <c r="C69" s="6">
        <v>46150.0</v>
      </c>
      <c r="D69" s="6">
        <v>46150.0</v>
      </c>
      <c r="E69" s="4" t="s">
        <v>210</v>
      </c>
      <c r="F69" s="4" t="s">
        <v>206</v>
      </c>
    </row>
    <row r="70">
      <c r="A70" s="18">
        <v>3779550.0</v>
      </c>
      <c r="B70" s="4" t="s">
        <v>146</v>
      </c>
      <c r="C70" s="6">
        <v>46150.0</v>
      </c>
      <c r="D70" s="6">
        <v>46150.0</v>
      </c>
      <c r="E70" s="4" t="s">
        <v>210</v>
      </c>
      <c r="F70" s="4" t="s">
        <v>206</v>
      </c>
    </row>
    <row r="71">
      <c r="A71" s="18">
        <v>2440915.0</v>
      </c>
      <c r="B71" s="4" t="s">
        <v>179</v>
      </c>
      <c r="C71" s="6">
        <v>46150.0</v>
      </c>
      <c r="D71" s="6">
        <v>46150.0</v>
      </c>
      <c r="E71" s="4" t="s">
        <v>210</v>
      </c>
      <c r="F71" s="4" t="s">
        <v>206</v>
      </c>
    </row>
    <row r="72">
      <c r="A72" s="18">
        <v>2843319.0</v>
      </c>
      <c r="B72" s="4" t="s">
        <v>142</v>
      </c>
      <c r="C72" s="6">
        <v>46150.0</v>
      </c>
      <c r="D72" s="6">
        <v>46150.0</v>
      </c>
      <c r="E72" s="4" t="s">
        <v>210</v>
      </c>
      <c r="F72" s="4" t="s">
        <v>206</v>
      </c>
    </row>
    <row r="73">
      <c r="A73" s="18">
        <v>3189967.0</v>
      </c>
      <c r="B73" s="4" t="s">
        <v>175</v>
      </c>
      <c r="C73" s="6">
        <v>46150.0</v>
      </c>
      <c r="D73" s="6">
        <v>46150.0</v>
      </c>
      <c r="E73" s="4" t="s">
        <v>210</v>
      </c>
      <c r="F73" s="4" t="s">
        <v>206</v>
      </c>
    </row>
    <row r="74">
      <c r="A74" s="18">
        <v>2604360.0</v>
      </c>
      <c r="B74" s="4" t="s">
        <v>171</v>
      </c>
      <c r="C74" s="6">
        <v>46150.0</v>
      </c>
      <c r="D74" s="6">
        <v>46150.0</v>
      </c>
      <c r="E74" s="4" t="s">
        <v>210</v>
      </c>
      <c r="F74" s="4" t="s">
        <v>206</v>
      </c>
    </row>
    <row r="75">
      <c r="A75" s="18">
        <v>2415373.0</v>
      </c>
      <c r="B75" s="4" t="s">
        <v>177</v>
      </c>
      <c r="C75" s="6">
        <v>46150.0</v>
      </c>
      <c r="D75" s="6">
        <v>46150.0</v>
      </c>
      <c r="E75" s="4" t="s">
        <v>210</v>
      </c>
      <c r="F75" s="4" t="s">
        <v>211</v>
      </c>
    </row>
    <row r="76">
      <c r="A76" s="18">
        <v>2369624.0</v>
      </c>
      <c r="B76" s="4" t="s">
        <v>163</v>
      </c>
      <c r="C76" s="6">
        <v>46150.0</v>
      </c>
      <c r="D76" s="6">
        <v>46150.0</v>
      </c>
      <c r="E76" s="4" t="s">
        <v>210</v>
      </c>
      <c r="F76" s="4" t="s">
        <v>206</v>
      </c>
    </row>
    <row r="77">
      <c r="A77" s="18">
        <v>2396710.0</v>
      </c>
      <c r="B77" s="4" t="s">
        <v>137</v>
      </c>
      <c r="C77" s="6">
        <v>46150.0</v>
      </c>
      <c r="D77" s="6">
        <v>46150.0</v>
      </c>
      <c r="E77" s="4" t="s">
        <v>210</v>
      </c>
      <c r="F77" s="4" t="s">
        <v>206</v>
      </c>
    </row>
    <row r="78">
      <c r="A78" s="18">
        <v>2823133.0</v>
      </c>
      <c r="B78" s="4" t="s">
        <v>173</v>
      </c>
      <c r="C78" s="6">
        <v>46164.0</v>
      </c>
      <c r="D78" s="6">
        <v>46164.0</v>
      </c>
      <c r="E78" s="4" t="s">
        <v>216</v>
      </c>
      <c r="F78" s="4" t="s">
        <v>206</v>
      </c>
    </row>
    <row r="79">
      <c r="A79" s="18">
        <v>3841387.0</v>
      </c>
      <c r="B79" s="4" t="s">
        <v>185</v>
      </c>
      <c r="C79" s="6">
        <v>46164.0</v>
      </c>
      <c r="D79" s="6">
        <v>46164.0</v>
      </c>
      <c r="E79" s="4" t="s">
        <v>216</v>
      </c>
      <c r="F79" s="4" t="s">
        <v>206</v>
      </c>
    </row>
    <row r="80">
      <c r="A80" s="18">
        <v>2440915.0</v>
      </c>
      <c r="B80" s="4" t="s">
        <v>179</v>
      </c>
      <c r="C80" s="6">
        <v>46164.0</v>
      </c>
      <c r="D80" s="6">
        <v>46164.0</v>
      </c>
      <c r="E80" s="4" t="s">
        <v>216</v>
      </c>
      <c r="F80" s="4" t="s">
        <v>206</v>
      </c>
    </row>
    <row r="81">
      <c r="A81" s="18">
        <v>3189967.0</v>
      </c>
      <c r="B81" s="4" t="s">
        <v>175</v>
      </c>
      <c r="C81" s="6">
        <v>46164.0</v>
      </c>
      <c r="D81" s="6">
        <v>46164.0</v>
      </c>
      <c r="E81" s="4" t="s">
        <v>216</v>
      </c>
      <c r="F81" s="4" t="s">
        <v>206</v>
      </c>
    </row>
    <row r="82">
      <c r="A82" s="18">
        <v>2415373.0</v>
      </c>
      <c r="B82" s="4" t="s">
        <v>177</v>
      </c>
      <c r="C82" s="6">
        <v>46164.0</v>
      </c>
      <c r="D82" s="6">
        <v>46164.0</v>
      </c>
      <c r="E82" s="4" t="s">
        <v>216</v>
      </c>
      <c r="F82" s="4" t="s">
        <v>211</v>
      </c>
    </row>
    <row r="83">
      <c r="A83" s="18">
        <v>2823133.0</v>
      </c>
      <c r="B83" s="4" t="s">
        <v>173</v>
      </c>
      <c r="C83" s="6">
        <v>46171.0</v>
      </c>
      <c r="D83" s="6">
        <v>46171.0</v>
      </c>
      <c r="E83" s="4" t="s">
        <v>216</v>
      </c>
      <c r="F83" s="4" t="s">
        <v>206</v>
      </c>
    </row>
    <row r="84">
      <c r="A84" s="18">
        <v>3841387.0</v>
      </c>
      <c r="B84" s="4" t="s">
        <v>185</v>
      </c>
      <c r="C84" s="6">
        <v>46171.0</v>
      </c>
      <c r="D84" s="6">
        <v>46171.0</v>
      </c>
      <c r="E84" s="4" t="s">
        <v>216</v>
      </c>
      <c r="F84" s="4" t="s">
        <v>206</v>
      </c>
    </row>
    <row r="85">
      <c r="A85" s="18">
        <v>2440915.0</v>
      </c>
      <c r="B85" s="4" t="s">
        <v>179</v>
      </c>
      <c r="C85" s="6">
        <v>46171.0</v>
      </c>
      <c r="D85" s="6">
        <v>46171.0</v>
      </c>
      <c r="E85" s="4" t="s">
        <v>216</v>
      </c>
      <c r="F85" s="4" t="s">
        <v>206</v>
      </c>
    </row>
    <row r="86">
      <c r="A86" s="18">
        <v>3189967.0</v>
      </c>
      <c r="B86" s="4" t="s">
        <v>175</v>
      </c>
      <c r="C86" s="6">
        <v>46171.0</v>
      </c>
      <c r="D86" s="6">
        <v>46171.0</v>
      </c>
      <c r="E86" s="4" t="s">
        <v>216</v>
      </c>
      <c r="F86" s="4" t="s">
        <v>206</v>
      </c>
    </row>
    <row r="87">
      <c r="A87" s="18">
        <v>2415373.0</v>
      </c>
      <c r="B87" s="4" t="s">
        <v>177</v>
      </c>
      <c r="C87" s="6">
        <v>46171.0</v>
      </c>
      <c r="D87" s="6">
        <v>46171.0</v>
      </c>
      <c r="E87" s="4" t="s">
        <v>216</v>
      </c>
      <c r="F87" s="4" t="s">
        <v>211</v>
      </c>
    </row>
    <row r="88">
      <c r="A88" s="18">
        <v>1271571.0</v>
      </c>
      <c r="B88" s="4" t="s">
        <v>139</v>
      </c>
      <c r="C88" s="6">
        <v>46174.0</v>
      </c>
      <c r="D88" s="6">
        <v>46178.0</v>
      </c>
      <c r="E88" s="4" t="s">
        <v>210</v>
      </c>
      <c r="F88" s="4" t="s">
        <v>206</v>
      </c>
    </row>
    <row r="89">
      <c r="A89" s="18">
        <v>2713993.0</v>
      </c>
      <c r="B89" s="4" t="s">
        <v>129</v>
      </c>
      <c r="C89" s="6">
        <v>46174.0</v>
      </c>
      <c r="D89" s="6">
        <v>46174.0</v>
      </c>
      <c r="E89" s="4" t="s">
        <v>218</v>
      </c>
      <c r="F89" s="4" t="s">
        <v>206</v>
      </c>
    </row>
    <row r="90">
      <c r="A90" s="18">
        <v>2396710.0</v>
      </c>
      <c r="B90" s="4" t="s">
        <v>137</v>
      </c>
      <c r="C90" s="6">
        <v>46174.0</v>
      </c>
      <c r="D90" s="6">
        <v>46181.0</v>
      </c>
      <c r="E90" s="4" t="s">
        <v>217</v>
      </c>
      <c r="F90" s="4" t="s">
        <v>211</v>
      </c>
    </row>
    <row r="91">
      <c r="A91" s="18">
        <v>2823133.0</v>
      </c>
      <c r="B91" s="4" t="s">
        <v>173</v>
      </c>
      <c r="C91" s="6">
        <v>46185.0</v>
      </c>
      <c r="D91" s="6">
        <v>46185.0</v>
      </c>
      <c r="E91" s="4" t="s">
        <v>210</v>
      </c>
      <c r="F91" s="4" t="s">
        <v>206</v>
      </c>
    </row>
    <row r="92">
      <c r="A92" s="18">
        <v>1271571.0</v>
      </c>
      <c r="B92" s="4" t="s">
        <v>139</v>
      </c>
      <c r="C92" s="6">
        <v>46185.0</v>
      </c>
      <c r="D92" s="6">
        <v>46185.0</v>
      </c>
      <c r="E92" s="4" t="s">
        <v>210</v>
      </c>
      <c r="F92" s="4" t="s">
        <v>206</v>
      </c>
    </row>
    <row r="93">
      <c r="A93" s="18">
        <v>3217561.0</v>
      </c>
      <c r="B93" s="4" t="s">
        <v>151</v>
      </c>
      <c r="C93" s="6">
        <v>46185.0</v>
      </c>
      <c r="D93" s="6">
        <v>46185.0</v>
      </c>
      <c r="E93" s="4" t="s">
        <v>210</v>
      </c>
      <c r="F93" s="4" t="s">
        <v>206</v>
      </c>
    </row>
    <row r="94">
      <c r="A94" s="18">
        <v>2369641.0</v>
      </c>
      <c r="B94" s="4" t="s">
        <v>160</v>
      </c>
      <c r="C94" s="6">
        <v>46185.0</v>
      </c>
      <c r="D94" s="6">
        <v>46185.0</v>
      </c>
      <c r="E94" s="4" t="s">
        <v>210</v>
      </c>
      <c r="F94" s="4" t="s">
        <v>206</v>
      </c>
    </row>
    <row r="95">
      <c r="A95" s="18">
        <v>967092.0</v>
      </c>
      <c r="B95" s="4" t="s">
        <v>158</v>
      </c>
      <c r="C95" s="6">
        <v>46185.0</v>
      </c>
      <c r="D95" s="6">
        <v>46185.0</v>
      </c>
      <c r="E95" s="4" t="s">
        <v>210</v>
      </c>
      <c r="F95" s="4" t="s">
        <v>206</v>
      </c>
    </row>
    <row r="96">
      <c r="A96" s="18">
        <v>2713993.0</v>
      </c>
      <c r="B96" s="4" t="s">
        <v>129</v>
      </c>
      <c r="C96" s="6">
        <v>46185.0</v>
      </c>
      <c r="D96" s="6">
        <v>46185.0</v>
      </c>
      <c r="E96" s="4" t="s">
        <v>210</v>
      </c>
      <c r="F96" s="4" t="s">
        <v>206</v>
      </c>
    </row>
    <row r="97">
      <c r="A97" s="18">
        <v>3852423.0</v>
      </c>
      <c r="B97" s="4" t="s">
        <v>169</v>
      </c>
      <c r="C97" s="6">
        <v>46185.0</v>
      </c>
      <c r="D97" s="6">
        <v>46185.0</v>
      </c>
      <c r="E97" s="4" t="s">
        <v>210</v>
      </c>
      <c r="F97" s="4" t="s">
        <v>206</v>
      </c>
    </row>
    <row r="98">
      <c r="A98" s="18">
        <v>3841387.0</v>
      </c>
      <c r="B98" s="4" t="s">
        <v>185</v>
      </c>
      <c r="C98" s="6">
        <v>46185.0</v>
      </c>
      <c r="D98" s="6">
        <v>46185.0</v>
      </c>
      <c r="E98" s="4" t="s">
        <v>210</v>
      </c>
      <c r="F98" s="4" t="s">
        <v>206</v>
      </c>
    </row>
    <row r="99">
      <c r="A99" s="18">
        <v>3134911.0</v>
      </c>
      <c r="B99" s="4" t="s">
        <v>165</v>
      </c>
      <c r="C99" s="6">
        <v>46185.0</v>
      </c>
      <c r="D99" s="6">
        <v>46185.0</v>
      </c>
      <c r="E99" s="4" t="s">
        <v>210</v>
      </c>
      <c r="F99" s="4" t="s">
        <v>206</v>
      </c>
    </row>
    <row r="100">
      <c r="A100" s="18">
        <v>29530.0</v>
      </c>
      <c r="B100" s="4" t="s">
        <v>148</v>
      </c>
      <c r="C100" s="6">
        <v>46185.0</v>
      </c>
      <c r="D100" s="6">
        <v>46185.0</v>
      </c>
      <c r="E100" s="4" t="s">
        <v>210</v>
      </c>
      <c r="F100" s="4" t="s">
        <v>206</v>
      </c>
    </row>
    <row r="101">
      <c r="A101" s="18">
        <v>3750335.0</v>
      </c>
      <c r="B101" s="4" t="s">
        <v>167</v>
      </c>
      <c r="C101" s="6">
        <v>46185.0</v>
      </c>
      <c r="D101" s="6">
        <v>46185.0</v>
      </c>
      <c r="E101" s="4" t="s">
        <v>210</v>
      </c>
      <c r="F101" s="4" t="s">
        <v>206</v>
      </c>
    </row>
    <row r="102">
      <c r="A102" s="18">
        <v>3779550.0</v>
      </c>
      <c r="B102" s="4" t="s">
        <v>146</v>
      </c>
      <c r="C102" s="6">
        <v>46185.0</v>
      </c>
      <c r="D102" s="6">
        <v>46185.0</v>
      </c>
      <c r="E102" s="4" t="s">
        <v>210</v>
      </c>
      <c r="F102" s="4" t="s">
        <v>211</v>
      </c>
    </row>
    <row r="103">
      <c r="A103" s="18">
        <v>2440915.0</v>
      </c>
      <c r="B103" s="4" t="s">
        <v>179</v>
      </c>
      <c r="C103" s="6">
        <v>46185.0</v>
      </c>
      <c r="D103" s="6">
        <v>46185.0</v>
      </c>
      <c r="E103" s="4" t="s">
        <v>210</v>
      </c>
      <c r="F103" s="4" t="s">
        <v>206</v>
      </c>
    </row>
    <row r="104">
      <c r="A104" s="18">
        <v>2843319.0</v>
      </c>
      <c r="B104" s="4" t="s">
        <v>142</v>
      </c>
      <c r="C104" s="6">
        <v>46185.0</v>
      </c>
      <c r="D104" s="6">
        <v>46185.0</v>
      </c>
      <c r="E104" s="4" t="s">
        <v>210</v>
      </c>
      <c r="F104" s="4" t="s">
        <v>206</v>
      </c>
    </row>
    <row r="105">
      <c r="A105" s="18">
        <v>3189967.0</v>
      </c>
      <c r="B105" s="4" t="s">
        <v>175</v>
      </c>
      <c r="C105" s="6">
        <v>46185.0</v>
      </c>
      <c r="D105" s="6">
        <v>46185.0</v>
      </c>
      <c r="E105" s="4" t="s">
        <v>210</v>
      </c>
      <c r="F105" s="4" t="s">
        <v>206</v>
      </c>
    </row>
    <row r="106">
      <c r="A106" s="18">
        <v>2604360.0</v>
      </c>
      <c r="B106" s="4" t="s">
        <v>171</v>
      </c>
      <c r="C106" s="6">
        <v>46185.0</v>
      </c>
      <c r="D106" s="6">
        <v>46185.0</v>
      </c>
      <c r="E106" s="4" t="s">
        <v>210</v>
      </c>
      <c r="F106" s="4" t="s">
        <v>206</v>
      </c>
    </row>
    <row r="107">
      <c r="A107" s="18">
        <v>2415373.0</v>
      </c>
      <c r="B107" s="4" t="s">
        <v>177</v>
      </c>
      <c r="C107" s="6">
        <v>46185.0</v>
      </c>
      <c r="D107" s="6">
        <v>46185.0</v>
      </c>
      <c r="E107" s="4" t="s">
        <v>210</v>
      </c>
      <c r="F107" s="4" t="s">
        <v>206</v>
      </c>
    </row>
    <row r="108">
      <c r="A108" s="18">
        <v>2369624.0</v>
      </c>
      <c r="B108" s="4" t="s">
        <v>163</v>
      </c>
      <c r="C108" s="6">
        <v>46185.0</v>
      </c>
      <c r="D108" s="6">
        <v>46185.0</v>
      </c>
      <c r="E108" s="4" t="s">
        <v>210</v>
      </c>
      <c r="F108" s="4" t="s">
        <v>206</v>
      </c>
    </row>
    <row r="109">
      <c r="A109" s="18">
        <v>2396710.0</v>
      </c>
      <c r="B109" s="4" t="s">
        <v>137</v>
      </c>
      <c r="C109" s="6">
        <v>46185.0</v>
      </c>
      <c r="D109" s="6">
        <v>46185.0</v>
      </c>
      <c r="E109" s="4" t="s">
        <v>210</v>
      </c>
      <c r="F109" s="4" t="s">
        <v>206</v>
      </c>
    </row>
    <row r="110">
      <c r="A110" s="18">
        <v>3217561.0</v>
      </c>
      <c r="B110" s="4" t="s">
        <v>151</v>
      </c>
      <c r="C110" s="6">
        <v>46203.0</v>
      </c>
      <c r="D110" s="6">
        <v>46204.0</v>
      </c>
      <c r="E110" s="4" t="s">
        <v>219</v>
      </c>
      <c r="F110" s="4" t="s">
        <v>206</v>
      </c>
    </row>
    <row r="111">
      <c r="A111" s="18">
        <v>2713993.0</v>
      </c>
      <c r="B111" s="4" t="s">
        <v>129</v>
      </c>
      <c r="C111" s="6">
        <v>46203.0</v>
      </c>
      <c r="D111" s="6">
        <v>46204.0</v>
      </c>
      <c r="E111" s="4" t="s">
        <v>219</v>
      </c>
      <c r="F111" s="4" t="s">
        <v>206</v>
      </c>
    </row>
    <row r="112">
      <c r="A112" s="18">
        <v>2843319.0</v>
      </c>
      <c r="B112" s="4" t="s">
        <v>142</v>
      </c>
      <c r="C112" s="6">
        <v>46203.0</v>
      </c>
      <c r="D112" s="6">
        <v>46204.0</v>
      </c>
      <c r="E112" s="4" t="s">
        <v>219</v>
      </c>
      <c r="F112" s="4" t="s">
        <v>206</v>
      </c>
    </row>
    <row r="113">
      <c r="A113" s="18">
        <v>3189967.0</v>
      </c>
      <c r="B113" s="4" t="s">
        <v>175</v>
      </c>
      <c r="C113" s="6">
        <v>46203.0</v>
      </c>
      <c r="D113" s="6">
        <v>46204.0</v>
      </c>
      <c r="E113" s="4" t="s">
        <v>219</v>
      </c>
      <c r="F113" s="4" t="s">
        <v>206</v>
      </c>
    </row>
    <row r="114">
      <c r="A114" s="18">
        <v>2604360.0</v>
      </c>
      <c r="B114" s="4" t="s">
        <v>171</v>
      </c>
      <c r="C114" s="6">
        <v>46203.0</v>
      </c>
      <c r="D114" s="6">
        <v>46204.0</v>
      </c>
      <c r="E114" s="4" t="s">
        <v>219</v>
      </c>
      <c r="F114" s="4" t="s">
        <v>206</v>
      </c>
    </row>
    <row r="115">
      <c r="A115" s="18">
        <v>2369624.0</v>
      </c>
      <c r="B115" s="4" t="s">
        <v>163</v>
      </c>
      <c r="C115" s="6">
        <v>46203.0</v>
      </c>
      <c r="D115" s="6">
        <v>46204.0</v>
      </c>
      <c r="E115" s="4" t="s">
        <v>219</v>
      </c>
      <c r="F115" s="4" t="s">
        <v>206</v>
      </c>
    </row>
    <row r="116">
      <c r="A116" s="18">
        <v>3217561.0</v>
      </c>
      <c r="B116" s="4" t="s">
        <v>151</v>
      </c>
      <c r="C116" s="6">
        <v>46204.0</v>
      </c>
      <c r="D116" s="6">
        <v>46204.0</v>
      </c>
      <c r="E116" s="4" t="s">
        <v>219</v>
      </c>
      <c r="F116" s="4" t="s">
        <v>206</v>
      </c>
    </row>
    <row r="117">
      <c r="A117" s="18">
        <v>2713993.0</v>
      </c>
      <c r="B117" s="4" t="s">
        <v>129</v>
      </c>
      <c r="C117" s="6">
        <v>46204.0</v>
      </c>
      <c r="D117" s="6">
        <v>46204.0</v>
      </c>
      <c r="E117" s="4" t="s">
        <v>219</v>
      </c>
      <c r="F117" s="4" t="s">
        <v>206</v>
      </c>
    </row>
    <row r="118">
      <c r="A118" s="18">
        <v>2843319.0</v>
      </c>
      <c r="B118" s="4" t="s">
        <v>142</v>
      </c>
      <c r="C118" s="6">
        <v>46204.0</v>
      </c>
      <c r="D118" s="6">
        <v>46204.0</v>
      </c>
      <c r="E118" s="4" t="s">
        <v>219</v>
      </c>
      <c r="F118" s="4" t="s">
        <v>206</v>
      </c>
    </row>
    <row r="119">
      <c r="A119" s="18">
        <v>71348.0</v>
      </c>
      <c r="B119" s="4" t="s">
        <v>153</v>
      </c>
      <c r="C119" s="6">
        <v>46204.0</v>
      </c>
      <c r="D119" s="6">
        <v>46234.0</v>
      </c>
      <c r="E119" s="4" t="s">
        <v>155</v>
      </c>
      <c r="F119" s="4" t="s">
        <v>206</v>
      </c>
    </row>
    <row r="120">
      <c r="A120" s="18">
        <v>3189967.0</v>
      </c>
      <c r="B120" s="4" t="s">
        <v>175</v>
      </c>
      <c r="C120" s="6">
        <v>46204.0</v>
      </c>
      <c r="D120" s="6">
        <v>46204.0</v>
      </c>
      <c r="E120" s="4" t="s">
        <v>219</v>
      </c>
      <c r="F120" s="4" t="s">
        <v>206</v>
      </c>
    </row>
    <row r="121">
      <c r="A121" s="18">
        <v>2604360.0</v>
      </c>
      <c r="B121" s="4" t="s">
        <v>171</v>
      </c>
      <c r="C121" s="6">
        <v>46204.0</v>
      </c>
      <c r="D121" s="6">
        <v>46204.0</v>
      </c>
      <c r="E121" s="4" t="s">
        <v>219</v>
      </c>
      <c r="F121" s="4" t="s">
        <v>206</v>
      </c>
    </row>
    <row r="122">
      <c r="A122" s="18">
        <v>2369624.0</v>
      </c>
      <c r="B122" s="4" t="s">
        <v>163</v>
      </c>
      <c r="C122" s="6">
        <v>46204.0</v>
      </c>
      <c r="D122" s="6">
        <v>46204.0</v>
      </c>
      <c r="E122" s="4" t="s">
        <v>219</v>
      </c>
      <c r="F122" s="4" t="s">
        <v>206</v>
      </c>
    </row>
    <row r="123">
      <c r="A123" s="18">
        <v>3796947.0</v>
      </c>
      <c r="B123" s="4" t="s">
        <v>181</v>
      </c>
      <c r="C123" s="6">
        <v>46204.0</v>
      </c>
      <c r="D123" s="6">
        <v>46234.0</v>
      </c>
      <c r="E123" s="4" t="s">
        <v>207</v>
      </c>
      <c r="F123" s="4" t="s">
        <v>206</v>
      </c>
    </row>
    <row r="124">
      <c r="A124" s="18">
        <v>3217561.0</v>
      </c>
      <c r="B124" s="4" t="s">
        <v>151</v>
      </c>
      <c r="C124" s="6">
        <v>46206.0</v>
      </c>
      <c r="D124" s="6">
        <v>46206.0</v>
      </c>
      <c r="E124" s="4" t="s">
        <v>220</v>
      </c>
      <c r="F124" s="4" t="s">
        <v>206</v>
      </c>
    </row>
    <row r="125">
      <c r="A125" s="18">
        <v>2823133.0</v>
      </c>
      <c r="B125" s="4" t="s">
        <v>173</v>
      </c>
      <c r="C125" s="6">
        <v>46213.0</v>
      </c>
      <c r="D125" s="6">
        <v>46213.0</v>
      </c>
      <c r="E125" s="4" t="s">
        <v>210</v>
      </c>
      <c r="F125" s="4" t="s">
        <v>211</v>
      </c>
    </row>
    <row r="126">
      <c r="A126" s="18">
        <v>1271571.0</v>
      </c>
      <c r="B126" s="4" t="s">
        <v>139</v>
      </c>
      <c r="C126" s="6">
        <v>46213.0</v>
      </c>
      <c r="D126" s="6">
        <v>46213.0</v>
      </c>
      <c r="E126" s="4" t="s">
        <v>210</v>
      </c>
      <c r="F126" s="4" t="s">
        <v>206</v>
      </c>
    </row>
    <row r="127">
      <c r="A127" s="18">
        <v>3217561.0</v>
      </c>
      <c r="B127" s="4" t="s">
        <v>151</v>
      </c>
      <c r="C127" s="6">
        <v>46213.0</v>
      </c>
      <c r="D127" s="6">
        <v>46213.0</v>
      </c>
      <c r="E127" s="4" t="s">
        <v>210</v>
      </c>
      <c r="F127" s="4" t="s">
        <v>206</v>
      </c>
    </row>
    <row r="128">
      <c r="A128" s="18">
        <v>2369641.0</v>
      </c>
      <c r="B128" s="4" t="s">
        <v>160</v>
      </c>
      <c r="C128" s="6">
        <v>46213.0</v>
      </c>
      <c r="D128" s="6">
        <v>46213.0</v>
      </c>
      <c r="E128" s="4" t="s">
        <v>210</v>
      </c>
      <c r="F128" s="4" t="s">
        <v>206</v>
      </c>
    </row>
    <row r="129">
      <c r="A129" s="18">
        <v>967092.0</v>
      </c>
      <c r="B129" s="4" t="s">
        <v>158</v>
      </c>
      <c r="C129" s="6">
        <v>46213.0</v>
      </c>
      <c r="D129" s="6">
        <v>46213.0</v>
      </c>
      <c r="E129" s="4" t="s">
        <v>210</v>
      </c>
      <c r="F129" s="4" t="s">
        <v>206</v>
      </c>
    </row>
    <row r="130">
      <c r="A130" s="18">
        <v>2713993.0</v>
      </c>
      <c r="B130" s="4" t="s">
        <v>129</v>
      </c>
      <c r="C130" s="6">
        <v>46213.0</v>
      </c>
      <c r="D130" s="6">
        <v>46213.0</v>
      </c>
      <c r="E130" s="4" t="s">
        <v>210</v>
      </c>
      <c r="F130" s="4" t="s">
        <v>206</v>
      </c>
    </row>
    <row r="131">
      <c r="A131" s="18">
        <v>3852423.0</v>
      </c>
      <c r="B131" s="4" t="s">
        <v>169</v>
      </c>
      <c r="C131" s="6">
        <v>46213.0</v>
      </c>
      <c r="D131" s="6">
        <v>46213.0</v>
      </c>
      <c r="E131" s="4" t="s">
        <v>210</v>
      </c>
      <c r="F131" s="4" t="s">
        <v>206</v>
      </c>
    </row>
    <row r="132">
      <c r="A132" s="18">
        <v>3841387.0</v>
      </c>
      <c r="B132" s="4" t="s">
        <v>185</v>
      </c>
      <c r="C132" s="6">
        <v>46213.0</v>
      </c>
      <c r="D132" s="6">
        <v>46213.0</v>
      </c>
      <c r="E132" s="4" t="s">
        <v>210</v>
      </c>
      <c r="F132" s="4" t="s">
        <v>206</v>
      </c>
    </row>
    <row r="133">
      <c r="A133" s="18">
        <v>3134911.0</v>
      </c>
      <c r="B133" s="4" t="s">
        <v>165</v>
      </c>
      <c r="C133" s="6">
        <v>46213.0</v>
      </c>
      <c r="D133" s="6">
        <v>46213.0</v>
      </c>
      <c r="E133" s="4" t="s">
        <v>210</v>
      </c>
      <c r="F133" s="4" t="s">
        <v>206</v>
      </c>
    </row>
    <row r="134">
      <c r="A134" s="18">
        <v>29530.0</v>
      </c>
      <c r="B134" s="4" t="s">
        <v>148</v>
      </c>
      <c r="C134" s="6">
        <v>46213.0</v>
      </c>
      <c r="D134" s="6">
        <v>46213.0</v>
      </c>
      <c r="E134" s="4" t="s">
        <v>210</v>
      </c>
      <c r="F134" s="4" t="s">
        <v>206</v>
      </c>
    </row>
    <row r="135">
      <c r="A135" s="18">
        <v>3750335.0</v>
      </c>
      <c r="B135" s="4" t="s">
        <v>167</v>
      </c>
      <c r="C135" s="6">
        <v>46213.0</v>
      </c>
      <c r="D135" s="6">
        <v>46213.0</v>
      </c>
      <c r="E135" s="4" t="s">
        <v>210</v>
      </c>
      <c r="F135" s="4" t="s">
        <v>206</v>
      </c>
    </row>
    <row r="136">
      <c r="A136" s="18">
        <v>3779550.0</v>
      </c>
      <c r="B136" s="4" t="s">
        <v>146</v>
      </c>
      <c r="C136" s="6">
        <v>46213.0</v>
      </c>
      <c r="D136" s="6">
        <v>46213.0</v>
      </c>
      <c r="E136" s="4" t="s">
        <v>210</v>
      </c>
      <c r="F136" s="4" t="s">
        <v>206</v>
      </c>
    </row>
    <row r="137">
      <c r="A137" s="18">
        <v>2440915.0</v>
      </c>
      <c r="B137" s="4" t="s">
        <v>179</v>
      </c>
      <c r="C137" s="6">
        <v>46213.0</v>
      </c>
      <c r="D137" s="6">
        <v>46213.0</v>
      </c>
      <c r="E137" s="4" t="s">
        <v>210</v>
      </c>
      <c r="F137" s="4" t="s">
        <v>206</v>
      </c>
    </row>
    <row r="138">
      <c r="A138" s="18">
        <v>2843319.0</v>
      </c>
      <c r="B138" s="4" t="s">
        <v>142</v>
      </c>
      <c r="C138" s="6">
        <v>46213.0</v>
      </c>
      <c r="D138" s="6">
        <v>46213.0</v>
      </c>
      <c r="E138" s="4" t="s">
        <v>210</v>
      </c>
      <c r="F138" s="4" t="s">
        <v>206</v>
      </c>
    </row>
    <row r="139">
      <c r="A139" s="18">
        <v>3189967.0</v>
      </c>
      <c r="B139" s="4" t="s">
        <v>175</v>
      </c>
      <c r="C139" s="6">
        <v>46213.0</v>
      </c>
      <c r="D139" s="6">
        <v>46213.0</v>
      </c>
      <c r="E139" s="4" t="s">
        <v>210</v>
      </c>
      <c r="F139" s="4" t="s">
        <v>206</v>
      </c>
    </row>
    <row r="140">
      <c r="A140" s="18">
        <v>2604360.0</v>
      </c>
      <c r="B140" s="4" t="s">
        <v>171</v>
      </c>
      <c r="C140" s="6">
        <v>46213.0</v>
      </c>
      <c r="D140" s="6">
        <v>46213.0</v>
      </c>
      <c r="E140" s="4" t="s">
        <v>210</v>
      </c>
      <c r="F140" s="4" t="s">
        <v>206</v>
      </c>
    </row>
    <row r="141">
      <c r="A141" s="18">
        <v>2415373.0</v>
      </c>
      <c r="B141" s="4" t="s">
        <v>177</v>
      </c>
      <c r="C141" s="6">
        <v>46213.0</v>
      </c>
      <c r="D141" s="6">
        <v>46213.0</v>
      </c>
      <c r="E141" s="4" t="s">
        <v>210</v>
      </c>
      <c r="F141" s="4" t="s">
        <v>206</v>
      </c>
    </row>
    <row r="142">
      <c r="A142" s="18">
        <v>2369624.0</v>
      </c>
      <c r="B142" s="4" t="s">
        <v>163</v>
      </c>
      <c r="C142" s="6">
        <v>46213.0</v>
      </c>
      <c r="D142" s="6">
        <v>46213.0</v>
      </c>
      <c r="E142" s="4" t="s">
        <v>210</v>
      </c>
      <c r="F142" s="4" t="s">
        <v>206</v>
      </c>
    </row>
    <row r="143">
      <c r="A143" s="18">
        <v>2396710.0</v>
      </c>
      <c r="B143" s="4" t="s">
        <v>137</v>
      </c>
      <c r="C143" s="6">
        <v>46213.0</v>
      </c>
      <c r="D143" s="6">
        <v>46213.0</v>
      </c>
      <c r="E143" s="4" t="s">
        <v>210</v>
      </c>
      <c r="F143" s="4" t="s">
        <v>206</v>
      </c>
    </row>
    <row r="144">
      <c r="A144" s="18">
        <v>2713993.0</v>
      </c>
      <c r="B144" s="4" t="s">
        <v>129</v>
      </c>
      <c r="C144" s="6">
        <v>46223.0</v>
      </c>
      <c r="D144" s="6">
        <v>46223.0</v>
      </c>
      <c r="E144" s="4" t="s">
        <v>217</v>
      </c>
      <c r="F144" s="4" t="s">
        <v>206</v>
      </c>
    </row>
    <row r="145">
      <c r="A145" s="18">
        <v>3217561.0</v>
      </c>
      <c r="B145" s="4" t="s">
        <v>151</v>
      </c>
      <c r="C145" s="6">
        <v>46233.0</v>
      </c>
      <c r="D145" s="6">
        <v>46234.0</v>
      </c>
      <c r="E145" s="4" t="s">
        <v>219</v>
      </c>
      <c r="F145" s="4" t="s">
        <v>206</v>
      </c>
    </row>
    <row r="146">
      <c r="A146" s="18">
        <v>2713993.0</v>
      </c>
      <c r="B146" s="4" t="s">
        <v>129</v>
      </c>
      <c r="C146" s="6">
        <v>46233.0</v>
      </c>
      <c r="D146" s="6">
        <v>46234.0</v>
      </c>
      <c r="E146" s="4" t="s">
        <v>219</v>
      </c>
      <c r="F146" s="4" t="s">
        <v>206</v>
      </c>
    </row>
    <row r="147">
      <c r="A147" s="18">
        <v>2843319.0</v>
      </c>
      <c r="B147" s="4" t="s">
        <v>142</v>
      </c>
      <c r="C147" s="6">
        <v>46233.0</v>
      </c>
      <c r="D147" s="6">
        <v>46234.0</v>
      </c>
      <c r="E147" s="4" t="s">
        <v>219</v>
      </c>
      <c r="F147" s="4" t="s">
        <v>211</v>
      </c>
    </row>
    <row r="148">
      <c r="A148" s="18">
        <v>3189967.0</v>
      </c>
      <c r="B148" s="4" t="s">
        <v>175</v>
      </c>
      <c r="C148" s="6">
        <v>46233.0</v>
      </c>
      <c r="D148" s="6">
        <v>46234.0</v>
      </c>
      <c r="E148" s="4" t="s">
        <v>219</v>
      </c>
      <c r="F148" s="4" t="s">
        <v>206</v>
      </c>
    </row>
    <row r="149">
      <c r="A149" s="18">
        <v>2604360.0</v>
      </c>
      <c r="B149" s="4" t="s">
        <v>171</v>
      </c>
      <c r="C149" s="6">
        <v>46233.0</v>
      </c>
      <c r="D149" s="6">
        <v>46234.0</v>
      </c>
      <c r="E149" s="4" t="s">
        <v>219</v>
      </c>
      <c r="F149" s="4" t="s">
        <v>206</v>
      </c>
    </row>
    <row r="150">
      <c r="A150" s="18">
        <v>2369624.0</v>
      </c>
      <c r="B150" s="4" t="s">
        <v>163</v>
      </c>
      <c r="C150" s="6">
        <v>46233.0</v>
      </c>
      <c r="D150" s="6">
        <v>46234.0</v>
      </c>
      <c r="E150" s="4" t="s">
        <v>219</v>
      </c>
      <c r="F150" s="4" t="s">
        <v>206</v>
      </c>
    </row>
    <row r="151">
      <c r="A151" s="18">
        <v>71348.0</v>
      </c>
      <c r="B151" s="4" t="s">
        <v>153</v>
      </c>
      <c r="C151" s="6">
        <v>46235.0</v>
      </c>
      <c r="D151" s="6">
        <v>46265.0</v>
      </c>
      <c r="E151" s="4" t="s">
        <v>155</v>
      </c>
      <c r="F151" s="4" t="s">
        <v>206</v>
      </c>
    </row>
    <row r="152">
      <c r="A152" s="18">
        <v>3796947.0</v>
      </c>
      <c r="B152" s="4" t="s">
        <v>181</v>
      </c>
      <c r="C152" s="6">
        <v>46235.0</v>
      </c>
      <c r="D152" s="6">
        <v>46265.0</v>
      </c>
      <c r="E152" s="4" t="s">
        <v>207</v>
      </c>
      <c r="F152" s="4" t="s">
        <v>206</v>
      </c>
    </row>
    <row r="153">
      <c r="A153" s="18">
        <v>2396710.0</v>
      </c>
      <c r="B153" s="4" t="s">
        <v>137</v>
      </c>
      <c r="C153" s="6">
        <v>46241.0</v>
      </c>
      <c r="D153" s="6">
        <v>46241.0</v>
      </c>
      <c r="E153" s="4" t="s">
        <v>221</v>
      </c>
      <c r="F153" s="4" t="s">
        <v>206</v>
      </c>
    </row>
    <row r="154">
      <c r="A154" s="18">
        <v>2369641.0</v>
      </c>
      <c r="B154" s="4" t="s">
        <v>160</v>
      </c>
      <c r="C154" s="6">
        <v>46247.0</v>
      </c>
      <c r="D154" s="6">
        <v>46247.0</v>
      </c>
      <c r="E154" s="4" t="s">
        <v>222</v>
      </c>
      <c r="F154" s="4" t="s">
        <v>206</v>
      </c>
    </row>
    <row r="155">
      <c r="A155" s="18">
        <v>3134911.0</v>
      </c>
      <c r="B155" s="4" t="s">
        <v>165</v>
      </c>
      <c r="C155" s="6">
        <v>46247.0</v>
      </c>
      <c r="D155" s="6">
        <v>46247.0</v>
      </c>
      <c r="E155" s="4" t="s">
        <v>222</v>
      </c>
      <c r="F155" s="4" t="s">
        <v>206</v>
      </c>
    </row>
    <row r="156">
      <c r="A156" s="18">
        <v>2823133.0</v>
      </c>
      <c r="B156" s="4" t="s">
        <v>173</v>
      </c>
      <c r="C156" s="6">
        <v>46248.0</v>
      </c>
      <c r="D156" s="6">
        <v>46248.0</v>
      </c>
      <c r="E156" s="4" t="s">
        <v>210</v>
      </c>
      <c r="F156" s="4" t="s">
        <v>206</v>
      </c>
    </row>
    <row r="157">
      <c r="A157" s="18">
        <v>1271571.0</v>
      </c>
      <c r="B157" s="4" t="s">
        <v>139</v>
      </c>
      <c r="C157" s="6">
        <v>46248.0</v>
      </c>
      <c r="D157" s="6">
        <v>46248.0</v>
      </c>
      <c r="E157" s="4" t="s">
        <v>210</v>
      </c>
      <c r="F157" s="4" t="s">
        <v>206</v>
      </c>
    </row>
    <row r="158">
      <c r="A158" s="18">
        <v>3217561.0</v>
      </c>
      <c r="B158" s="4" t="s">
        <v>151</v>
      </c>
      <c r="C158" s="6">
        <v>46248.0</v>
      </c>
      <c r="D158" s="6">
        <v>46248.0</v>
      </c>
      <c r="E158" s="4" t="s">
        <v>210</v>
      </c>
      <c r="F158" s="4" t="s">
        <v>206</v>
      </c>
    </row>
    <row r="159">
      <c r="A159" s="18">
        <v>2369641.0</v>
      </c>
      <c r="B159" s="4" t="s">
        <v>160</v>
      </c>
      <c r="C159" s="6">
        <v>46248.0</v>
      </c>
      <c r="D159" s="6">
        <v>46248.0</v>
      </c>
      <c r="E159" s="4" t="s">
        <v>210</v>
      </c>
      <c r="F159" s="4" t="s">
        <v>206</v>
      </c>
    </row>
    <row r="160">
      <c r="A160" s="18">
        <v>967092.0</v>
      </c>
      <c r="B160" s="4" t="s">
        <v>158</v>
      </c>
      <c r="C160" s="6">
        <v>46248.0</v>
      </c>
      <c r="D160" s="6">
        <v>46248.0</v>
      </c>
      <c r="E160" s="4" t="s">
        <v>210</v>
      </c>
      <c r="F160" s="4" t="s">
        <v>211</v>
      </c>
    </row>
    <row r="161">
      <c r="A161" s="18">
        <v>2713993.0</v>
      </c>
      <c r="B161" s="4" t="s">
        <v>129</v>
      </c>
      <c r="C161" s="6">
        <v>46248.0</v>
      </c>
      <c r="D161" s="6">
        <v>46248.0</v>
      </c>
      <c r="E161" s="4" t="s">
        <v>210</v>
      </c>
      <c r="F161" s="4" t="s">
        <v>206</v>
      </c>
    </row>
    <row r="162">
      <c r="A162" s="18">
        <v>3852423.0</v>
      </c>
      <c r="B162" s="4" t="s">
        <v>169</v>
      </c>
      <c r="C162" s="6">
        <v>46248.0</v>
      </c>
      <c r="D162" s="6">
        <v>46248.0</v>
      </c>
      <c r="E162" s="4" t="s">
        <v>210</v>
      </c>
      <c r="F162" s="4" t="s">
        <v>211</v>
      </c>
    </row>
    <row r="163">
      <c r="A163" s="18">
        <v>3841387.0</v>
      </c>
      <c r="B163" s="4" t="s">
        <v>185</v>
      </c>
      <c r="C163" s="6">
        <v>46248.0</v>
      </c>
      <c r="D163" s="6">
        <v>46248.0</v>
      </c>
      <c r="E163" s="4" t="s">
        <v>210</v>
      </c>
      <c r="F163" s="4" t="s">
        <v>206</v>
      </c>
    </row>
    <row r="164">
      <c r="A164" s="18">
        <v>3134911.0</v>
      </c>
      <c r="B164" s="4" t="s">
        <v>165</v>
      </c>
      <c r="C164" s="6">
        <v>46248.0</v>
      </c>
      <c r="D164" s="6">
        <v>46248.0</v>
      </c>
      <c r="E164" s="4" t="s">
        <v>210</v>
      </c>
      <c r="F164" s="4" t="s">
        <v>206</v>
      </c>
    </row>
    <row r="165">
      <c r="A165" s="18">
        <v>29530.0</v>
      </c>
      <c r="B165" s="4" t="s">
        <v>148</v>
      </c>
      <c r="C165" s="6">
        <v>46248.0</v>
      </c>
      <c r="D165" s="6">
        <v>46248.0</v>
      </c>
      <c r="E165" s="4" t="s">
        <v>210</v>
      </c>
      <c r="F165" s="4" t="s">
        <v>206</v>
      </c>
    </row>
    <row r="166">
      <c r="A166" s="18">
        <v>3750335.0</v>
      </c>
      <c r="B166" s="4" t="s">
        <v>167</v>
      </c>
      <c r="C166" s="6">
        <v>46248.0</v>
      </c>
      <c r="D166" s="6">
        <v>46248.0</v>
      </c>
      <c r="E166" s="4" t="s">
        <v>210</v>
      </c>
      <c r="F166" s="4" t="s">
        <v>206</v>
      </c>
    </row>
    <row r="167">
      <c r="A167" s="18">
        <v>3779550.0</v>
      </c>
      <c r="B167" s="4" t="s">
        <v>146</v>
      </c>
      <c r="C167" s="6">
        <v>46248.0</v>
      </c>
      <c r="D167" s="6">
        <v>46248.0</v>
      </c>
      <c r="E167" s="4" t="s">
        <v>210</v>
      </c>
      <c r="F167" s="4" t="s">
        <v>206</v>
      </c>
    </row>
    <row r="168">
      <c r="A168" s="18">
        <v>2440915.0</v>
      </c>
      <c r="B168" s="4" t="s">
        <v>179</v>
      </c>
      <c r="C168" s="6">
        <v>46248.0</v>
      </c>
      <c r="D168" s="6">
        <v>46248.0</v>
      </c>
      <c r="E168" s="4" t="s">
        <v>210</v>
      </c>
      <c r="F168" s="4" t="s">
        <v>211</v>
      </c>
    </row>
    <row r="169">
      <c r="A169" s="18">
        <v>2843319.0</v>
      </c>
      <c r="B169" s="4" t="s">
        <v>142</v>
      </c>
      <c r="C169" s="6">
        <v>46248.0</v>
      </c>
      <c r="D169" s="6">
        <v>46248.0</v>
      </c>
      <c r="E169" s="4" t="s">
        <v>210</v>
      </c>
      <c r="F169" s="4" t="s">
        <v>206</v>
      </c>
    </row>
    <row r="170">
      <c r="A170" s="18">
        <v>3189967.0</v>
      </c>
      <c r="B170" s="4" t="s">
        <v>175</v>
      </c>
      <c r="C170" s="6">
        <v>46248.0</v>
      </c>
      <c r="D170" s="6">
        <v>46248.0</v>
      </c>
      <c r="E170" s="4" t="s">
        <v>210</v>
      </c>
      <c r="F170" s="4" t="s">
        <v>206</v>
      </c>
    </row>
    <row r="171">
      <c r="A171" s="18">
        <v>2604360.0</v>
      </c>
      <c r="B171" s="4" t="s">
        <v>171</v>
      </c>
      <c r="C171" s="6">
        <v>46248.0</v>
      </c>
      <c r="D171" s="6">
        <v>46248.0</v>
      </c>
      <c r="E171" s="4" t="s">
        <v>210</v>
      </c>
      <c r="F171" s="4" t="s">
        <v>206</v>
      </c>
    </row>
    <row r="172">
      <c r="A172" s="18">
        <v>2415373.0</v>
      </c>
      <c r="B172" s="4" t="s">
        <v>177</v>
      </c>
      <c r="C172" s="6">
        <v>46248.0</v>
      </c>
      <c r="D172" s="6">
        <v>46248.0</v>
      </c>
      <c r="E172" s="4" t="s">
        <v>210</v>
      </c>
      <c r="F172" s="4" t="s">
        <v>206</v>
      </c>
    </row>
    <row r="173">
      <c r="A173" s="18">
        <v>2369624.0</v>
      </c>
      <c r="B173" s="4" t="s">
        <v>163</v>
      </c>
      <c r="C173" s="6">
        <v>46248.0</v>
      </c>
      <c r="D173" s="6">
        <v>46248.0</v>
      </c>
      <c r="E173" s="4" t="s">
        <v>210</v>
      </c>
      <c r="F173" s="4" t="s">
        <v>206</v>
      </c>
    </row>
    <row r="174">
      <c r="A174" s="18">
        <v>2396710.0</v>
      </c>
      <c r="B174" s="4" t="s">
        <v>137</v>
      </c>
      <c r="C174" s="6">
        <v>46248.0</v>
      </c>
      <c r="D174" s="6">
        <v>46248.0</v>
      </c>
      <c r="E174" s="4" t="s">
        <v>210</v>
      </c>
      <c r="F174" s="4" t="s">
        <v>206</v>
      </c>
    </row>
    <row r="175">
      <c r="A175" s="18">
        <v>1271571.0</v>
      </c>
      <c r="B175" s="4" t="s">
        <v>139</v>
      </c>
      <c r="C175" s="6">
        <v>46255.0</v>
      </c>
      <c r="D175" s="6">
        <v>46255.0</v>
      </c>
      <c r="E175" s="4" t="s">
        <v>223</v>
      </c>
      <c r="F175" s="4" t="s">
        <v>206</v>
      </c>
    </row>
    <row r="176">
      <c r="A176" s="18">
        <v>3217561.0</v>
      </c>
      <c r="B176" s="4" t="s">
        <v>151</v>
      </c>
      <c r="C176" s="6">
        <v>46255.0</v>
      </c>
      <c r="D176" s="6">
        <v>46255.0</v>
      </c>
      <c r="E176" s="4" t="s">
        <v>224</v>
      </c>
      <c r="F176" s="4" t="s">
        <v>206</v>
      </c>
    </row>
    <row r="177">
      <c r="A177" s="18">
        <v>29530.0</v>
      </c>
      <c r="B177" s="4" t="s">
        <v>148</v>
      </c>
      <c r="C177" s="6">
        <v>46255.0</v>
      </c>
      <c r="D177" s="6">
        <v>46255.0</v>
      </c>
      <c r="E177" s="4" t="s">
        <v>224</v>
      </c>
      <c r="F177" s="4" t="s">
        <v>206</v>
      </c>
    </row>
    <row r="178">
      <c r="A178" s="18">
        <v>3750335.0</v>
      </c>
      <c r="B178" s="4" t="s">
        <v>167</v>
      </c>
      <c r="C178" s="6">
        <v>46255.0</v>
      </c>
      <c r="D178" s="6">
        <v>46255.0</v>
      </c>
      <c r="E178" s="4" t="s">
        <v>222</v>
      </c>
      <c r="F178" s="4" t="s">
        <v>206</v>
      </c>
    </row>
    <row r="179">
      <c r="A179" s="18">
        <v>3779550.0</v>
      </c>
      <c r="B179" s="4" t="s">
        <v>146</v>
      </c>
      <c r="C179" s="6">
        <v>46255.0</v>
      </c>
      <c r="D179" s="6">
        <v>46255.0</v>
      </c>
      <c r="E179" s="4" t="s">
        <v>224</v>
      </c>
      <c r="F179" s="4" t="s">
        <v>206</v>
      </c>
    </row>
    <row r="180">
      <c r="A180" s="18">
        <v>2843319.0</v>
      </c>
      <c r="B180" s="4" t="s">
        <v>142</v>
      </c>
      <c r="C180" s="6">
        <v>46255.0</v>
      </c>
      <c r="D180" s="6">
        <v>46255.0</v>
      </c>
      <c r="E180" s="4" t="s">
        <v>224</v>
      </c>
      <c r="F180" s="4" t="s">
        <v>206</v>
      </c>
    </row>
    <row r="181">
      <c r="A181" s="18">
        <v>2369624.0</v>
      </c>
      <c r="B181" s="4" t="s">
        <v>163</v>
      </c>
      <c r="C181" s="6">
        <v>46255.0</v>
      </c>
      <c r="D181" s="6">
        <v>46255.0</v>
      </c>
      <c r="E181" s="4" t="s">
        <v>222</v>
      </c>
      <c r="F181" s="4" t="s">
        <v>206</v>
      </c>
    </row>
    <row r="182">
      <c r="A182" s="18">
        <v>3217561.0</v>
      </c>
      <c r="B182" s="4" t="s">
        <v>151</v>
      </c>
      <c r="C182" s="6">
        <v>46258.0</v>
      </c>
      <c r="D182" s="6">
        <v>46259.0</v>
      </c>
      <c r="E182" s="4" t="s">
        <v>219</v>
      </c>
      <c r="F182" s="4" t="s">
        <v>206</v>
      </c>
    </row>
    <row r="183">
      <c r="A183" s="18">
        <v>2713993.0</v>
      </c>
      <c r="B183" s="4" t="s">
        <v>129</v>
      </c>
      <c r="C183" s="6">
        <v>46258.0</v>
      </c>
      <c r="D183" s="6">
        <v>46259.0</v>
      </c>
      <c r="E183" s="4" t="s">
        <v>219</v>
      </c>
      <c r="F183" s="4" t="s">
        <v>206</v>
      </c>
    </row>
    <row r="184">
      <c r="A184" s="18">
        <v>2843319.0</v>
      </c>
      <c r="B184" s="4" t="s">
        <v>142</v>
      </c>
      <c r="C184" s="6">
        <v>46258.0</v>
      </c>
      <c r="D184" s="6">
        <v>46259.0</v>
      </c>
      <c r="E184" s="4" t="s">
        <v>219</v>
      </c>
      <c r="F184" s="4" t="s">
        <v>206</v>
      </c>
    </row>
    <row r="185">
      <c r="A185" s="18">
        <v>3189967.0</v>
      </c>
      <c r="B185" s="4" t="s">
        <v>175</v>
      </c>
      <c r="C185" s="6">
        <v>46258.0</v>
      </c>
      <c r="D185" s="6">
        <v>46259.0</v>
      </c>
      <c r="E185" s="4" t="s">
        <v>219</v>
      </c>
      <c r="F185" s="4" t="s">
        <v>211</v>
      </c>
    </row>
    <row r="186">
      <c r="A186" s="18">
        <v>2604360.0</v>
      </c>
      <c r="B186" s="4" t="s">
        <v>171</v>
      </c>
      <c r="C186" s="6">
        <v>46258.0</v>
      </c>
      <c r="D186" s="6">
        <v>46259.0</v>
      </c>
      <c r="E186" s="4" t="s">
        <v>219</v>
      </c>
      <c r="F186" s="4" t="s">
        <v>206</v>
      </c>
    </row>
    <row r="187">
      <c r="A187" s="18">
        <v>2369624.0</v>
      </c>
      <c r="B187" s="4" t="s">
        <v>163</v>
      </c>
      <c r="C187" s="6">
        <v>46258.0</v>
      </c>
      <c r="D187" s="6">
        <v>46259.0</v>
      </c>
      <c r="E187" s="4" t="s">
        <v>219</v>
      </c>
      <c r="F187" s="4" t="s">
        <v>206</v>
      </c>
    </row>
    <row r="188">
      <c r="A188" s="18">
        <v>3217561.0</v>
      </c>
      <c r="B188" s="4" t="s">
        <v>151</v>
      </c>
      <c r="C188" s="6">
        <v>46269.0</v>
      </c>
      <c r="D188" s="6">
        <v>46269.0</v>
      </c>
      <c r="E188" s="4" t="s">
        <v>225</v>
      </c>
      <c r="F188" s="4" t="s">
        <v>206</v>
      </c>
    </row>
    <row r="189">
      <c r="A189" s="18">
        <v>29530.0</v>
      </c>
      <c r="B189" s="4" t="s">
        <v>148</v>
      </c>
      <c r="C189" s="6">
        <v>46269.0</v>
      </c>
      <c r="D189" s="6">
        <v>46269.0</v>
      </c>
      <c r="E189" s="4" t="s">
        <v>225</v>
      </c>
      <c r="F189" s="4" t="s">
        <v>206</v>
      </c>
    </row>
    <row r="190">
      <c r="A190" s="18">
        <v>3779550.0</v>
      </c>
      <c r="B190" s="4" t="s">
        <v>146</v>
      </c>
      <c r="C190" s="6">
        <v>46269.0</v>
      </c>
      <c r="D190" s="6">
        <v>46269.0</v>
      </c>
      <c r="E190" s="4" t="s">
        <v>225</v>
      </c>
      <c r="F190" s="4" t="s">
        <v>206</v>
      </c>
    </row>
    <row r="191">
      <c r="A191" s="18">
        <v>2843319.0</v>
      </c>
      <c r="B191" s="4" t="s">
        <v>142</v>
      </c>
      <c r="C191" s="6">
        <v>46269.0</v>
      </c>
      <c r="D191" s="6">
        <v>46269.0</v>
      </c>
      <c r="E191" s="4" t="s">
        <v>225</v>
      </c>
      <c r="F191" s="4" t="s">
        <v>206</v>
      </c>
    </row>
    <row r="192">
      <c r="A192" s="18">
        <v>1271571.0</v>
      </c>
      <c r="B192" s="4" t="s">
        <v>139</v>
      </c>
      <c r="C192" s="6">
        <v>46271.0</v>
      </c>
      <c r="D192" s="6">
        <v>46271.0</v>
      </c>
      <c r="E192" s="4" t="s">
        <v>226</v>
      </c>
      <c r="F192" s="4" t="s">
        <v>211</v>
      </c>
    </row>
    <row r="193">
      <c r="A193" s="18">
        <v>2369641.0</v>
      </c>
      <c r="B193" s="4" t="s">
        <v>160</v>
      </c>
      <c r="C193" s="6">
        <v>46274.0</v>
      </c>
      <c r="D193" s="6">
        <v>46276.0</v>
      </c>
      <c r="E193" s="4" t="s">
        <v>227</v>
      </c>
      <c r="F193" s="4" t="s">
        <v>206</v>
      </c>
    </row>
    <row r="194">
      <c r="A194" s="18">
        <v>3217561.0</v>
      </c>
      <c r="B194" s="4" t="s">
        <v>151</v>
      </c>
      <c r="C194" s="6">
        <v>46275.0</v>
      </c>
      <c r="D194" s="6">
        <v>46275.0</v>
      </c>
      <c r="E194" s="4" t="s">
        <v>228</v>
      </c>
      <c r="F194" s="4" t="s">
        <v>206</v>
      </c>
    </row>
    <row r="195">
      <c r="A195" s="18">
        <v>29530.0</v>
      </c>
      <c r="B195" s="4" t="s">
        <v>148</v>
      </c>
      <c r="C195" s="6">
        <v>46275.0</v>
      </c>
      <c r="D195" s="6">
        <v>46275.0</v>
      </c>
      <c r="E195" s="4" t="s">
        <v>228</v>
      </c>
      <c r="F195" s="4" t="s">
        <v>206</v>
      </c>
    </row>
    <row r="196">
      <c r="A196" s="18">
        <v>3779550.0</v>
      </c>
      <c r="B196" s="4" t="s">
        <v>146</v>
      </c>
      <c r="C196" s="6">
        <v>46275.0</v>
      </c>
      <c r="D196" s="6">
        <v>46275.0</v>
      </c>
      <c r="E196" s="4" t="s">
        <v>228</v>
      </c>
      <c r="F196" s="4" t="s">
        <v>206</v>
      </c>
    </row>
    <row r="197">
      <c r="A197" s="18">
        <v>2843319.0</v>
      </c>
      <c r="B197" s="4" t="s">
        <v>142</v>
      </c>
      <c r="C197" s="6">
        <v>46275.0</v>
      </c>
      <c r="D197" s="6">
        <v>46275.0</v>
      </c>
      <c r="E197" s="4" t="s">
        <v>228</v>
      </c>
      <c r="F197" s="4" t="s">
        <v>206</v>
      </c>
    </row>
    <row r="198">
      <c r="A198" s="18">
        <v>2823133.0</v>
      </c>
      <c r="B198" s="4" t="s">
        <v>173</v>
      </c>
      <c r="C198" s="6">
        <v>46276.0</v>
      </c>
      <c r="D198" s="6">
        <v>46276.0</v>
      </c>
      <c r="E198" s="4" t="s">
        <v>210</v>
      </c>
      <c r="F198" s="4" t="s">
        <v>206</v>
      </c>
    </row>
    <row r="199">
      <c r="A199" s="18">
        <v>1271571.0</v>
      </c>
      <c r="B199" s="4" t="s">
        <v>139</v>
      </c>
      <c r="C199" s="6">
        <v>46276.0</v>
      </c>
      <c r="D199" s="6">
        <v>46276.0</v>
      </c>
      <c r="E199" s="4" t="s">
        <v>210</v>
      </c>
      <c r="F199" s="4" t="s">
        <v>206</v>
      </c>
    </row>
    <row r="200">
      <c r="A200" s="18">
        <v>3217561.0</v>
      </c>
      <c r="B200" s="4" t="s">
        <v>151</v>
      </c>
      <c r="C200" s="6">
        <v>46276.0</v>
      </c>
      <c r="D200" s="6">
        <v>46276.0</v>
      </c>
      <c r="E200" s="4" t="s">
        <v>210</v>
      </c>
      <c r="F200" s="4" t="s">
        <v>206</v>
      </c>
    </row>
    <row r="201">
      <c r="A201" s="18">
        <v>2369641.0</v>
      </c>
      <c r="B201" s="4" t="s">
        <v>160</v>
      </c>
      <c r="C201" s="6">
        <v>46276.0</v>
      </c>
      <c r="D201" s="6">
        <v>46276.0</v>
      </c>
      <c r="E201" s="4" t="s">
        <v>210</v>
      </c>
      <c r="F201" s="4" t="s">
        <v>206</v>
      </c>
    </row>
    <row r="202">
      <c r="A202" s="18">
        <v>967092.0</v>
      </c>
      <c r="B202" s="4" t="s">
        <v>158</v>
      </c>
      <c r="C202" s="6">
        <v>46276.0</v>
      </c>
      <c r="D202" s="6">
        <v>46276.0</v>
      </c>
      <c r="E202" s="4" t="s">
        <v>210</v>
      </c>
      <c r="F202" s="4" t="s">
        <v>206</v>
      </c>
    </row>
    <row r="203">
      <c r="A203" s="18">
        <v>2713993.0</v>
      </c>
      <c r="B203" s="4" t="s">
        <v>129</v>
      </c>
      <c r="C203" s="6">
        <v>46276.0</v>
      </c>
      <c r="D203" s="6">
        <v>46276.0</v>
      </c>
      <c r="E203" s="4" t="s">
        <v>210</v>
      </c>
      <c r="F203" s="4" t="s">
        <v>206</v>
      </c>
    </row>
    <row r="204">
      <c r="A204" s="18">
        <v>3852423.0</v>
      </c>
      <c r="B204" s="4" t="s">
        <v>169</v>
      </c>
      <c r="C204" s="6">
        <v>46276.0</v>
      </c>
      <c r="D204" s="6">
        <v>46276.0</v>
      </c>
      <c r="E204" s="4" t="s">
        <v>210</v>
      </c>
      <c r="F204" s="4" t="s">
        <v>206</v>
      </c>
    </row>
    <row r="205">
      <c r="A205" s="18">
        <v>3841387.0</v>
      </c>
      <c r="B205" s="4" t="s">
        <v>185</v>
      </c>
      <c r="C205" s="6">
        <v>46276.0</v>
      </c>
      <c r="D205" s="6">
        <v>46276.0</v>
      </c>
      <c r="E205" s="4" t="s">
        <v>210</v>
      </c>
      <c r="F205" s="4" t="s">
        <v>206</v>
      </c>
    </row>
    <row r="206">
      <c r="A206" s="18">
        <v>3134911.0</v>
      </c>
      <c r="B206" s="4" t="s">
        <v>165</v>
      </c>
      <c r="C206" s="6">
        <v>46276.0</v>
      </c>
      <c r="D206" s="6">
        <v>46276.0</v>
      </c>
      <c r="E206" s="4" t="s">
        <v>210</v>
      </c>
      <c r="F206" s="4" t="s">
        <v>206</v>
      </c>
    </row>
    <row r="207">
      <c r="A207" s="18">
        <v>29530.0</v>
      </c>
      <c r="B207" s="4" t="s">
        <v>148</v>
      </c>
      <c r="C207" s="6">
        <v>46276.0</v>
      </c>
      <c r="D207" s="6">
        <v>46276.0</v>
      </c>
      <c r="E207" s="4" t="s">
        <v>210</v>
      </c>
      <c r="F207" s="4" t="s">
        <v>206</v>
      </c>
    </row>
    <row r="208">
      <c r="A208" s="18">
        <v>3750335.0</v>
      </c>
      <c r="B208" s="4" t="s">
        <v>167</v>
      </c>
      <c r="C208" s="6">
        <v>46276.0</v>
      </c>
      <c r="D208" s="6">
        <v>46276.0</v>
      </c>
      <c r="E208" s="4" t="s">
        <v>210</v>
      </c>
      <c r="F208" s="4" t="s">
        <v>211</v>
      </c>
    </row>
    <row r="209">
      <c r="A209" s="18">
        <v>3779550.0</v>
      </c>
      <c r="B209" s="4" t="s">
        <v>146</v>
      </c>
      <c r="C209" s="6">
        <v>46276.0</v>
      </c>
      <c r="D209" s="6">
        <v>46276.0</v>
      </c>
      <c r="E209" s="4" t="s">
        <v>210</v>
      </c>
      <c r="F209" s="4" t="s">
        <v>206</v>
      </c>
    </row>
    <row r="210">
      <c r="A210" s="18">
        <v>2440915.0</v>
      </c>
      <c r="B210" s="4" t="s">
        <v>179</v>
      </c>
      <c r="C210" s="6">
        <v>46276.0</v>
      </c>
      <c r="D210" s="6">
        <v>46276.0</v>
      </c>
      <c r="E210" s="4" t="s">
        <v>210</v>
      </c>
      <c r="F210" s="4" t="s">
        <v>206</v>
      </c>
    </row>
    <row r="211">
      <c r="A211" s="18">
        <v>2843319.0</v>
      </c>
      <c r="B211" s="4" t="s">
        <v>142</v>
      </c>
      <c r="C211" s="6">
        <v>46276.0</v>
      </c>
      <c r="D211" s="6">
        <v>46276.0</v>
      </c>
      <c r="E211" s="4" t="s">
        <v>210</v>
      </c>
      <c r="F211" s="4" t="s">
        <v>206</v>
      </c>
    </row>
    <row r="212">
      <c r="A212" s="18">
        <v>3189967.0</v>
      </c>
      <c r="B212" s="4" t="s">
        <v>175</v>
      </c>
      <c r="C212" s="6">
        <v>46276.0</v>
      </c>
      <c r="D212" s="6">
        <v>46276.0</v>
      </c>
      <c r="E212" s="4" t="s">
        <v>210</v>
      </c>
      <c r="F212" s="4" t="s">
        <v>211</v>
      </c>
    </row>
    <row r="213">
      <c r="A213" s="18">
        <v>2604360.0</v>
      </c>
      <c r="B213" s="4" t="s">
        <v>171</v>
      </c>
      <c r="C213" s="6">
        <v>46276.0</v>
      </c>
      <c r="D213" s="6">
        <v>46276.0</v>
      </c>
      <c r="E213" s="4" t="s">
        <v>210</v>
      </c>
      <c r="F213" s="4" t="s">
        <v>206</v>
      </c>
    </row>
    <row r="214">
      <c r="A214" s="18">
        <v>2415373.0</v>
      </c>
      <c r="B214" s="4" t="s">
        <v>177</v>
      </c>
      <c r="C214" s="6">
        <v>46276.0</v>
      </c>
      <c r="D214" s="6">
        <v>46276.0</v>
      </c>
      <c r="E214" s="4" t="s">
        <v>210</v>
      </c>
      <c r="F214" s="4" t="s">
        <v>206</v>
      </c>
    </row>
    <row r="215">
      <c r="A215" s="18">
        <v>2369624.0</v>
      </c>
      <c r="B215" s="4" t="s">
        <v>163</v>
      </c>
      <c r="C215" s="6">
        <v>46276.0</v>
      </c>
      <c r="D215" s="6">
        <v>46276.0</v>
      </c>
      <c r="E215" s="4" t="s">
        <v>210</v>
      </c>
      <c r="F215" s="4" t="s">
        <v>206</v>
      </c>
    </row>
    <row r="216">
      <c r="A216" s="18">
        <v>2396710.0</v>
      </c>
      <c r="B216" s="4" t="s">
        <v>137</v>
      </c>
      <c r="C216" s="6">
        <v>46276.0</v>
      </c>
      <c r="D216" s="6">
        <v>46276.0</v>
      </c>
      <c r="E216" s="4" t="s">
        <v>210</v>
      </c>
      <c r="F216" s="4" t="s">
        <v>211</v>
      </c>
    </row>
    <row r="217">
      <c r="A217" s="18">
        <v>2823133.0</v>
      </c>
      <c r="B217" s="4" t="s">
        <v>173</v>
      </c>
      <c r="C217" s="6">
        <v>46282.0</v>
      </c>
      <c r="D217" s="6">
        <v>46283.0</v>
      </c>
      <c r="E217" s="4" t="s">
        <v>229</v>
      </c>
      <c r="F217" s="4" t="s">
        <v>206</v>
      </c>
    </row>
    <row r="218">
      <c r="A218" s="18">
        <v>3841387.0</v>
      </c>
      <c r="B218" s="4" t="s">
        <v>185</v>
      </c>
      <c r="C218" s="6">
        <v>46282.0</v>
      </c>
      <c r="D218" s="6">
        <v>46283.0</v>
      </c>
      <c r="E218" s="4" t="s">
        <v>229</v>
      </c>
      <c r="F218" s="4" t="s">
        <v>206</v>
      </c>
    </row>
    <row r="219">
      <c r="A219" s="18">
        <v>2843319.0</v>
      </c>
      <c r="B219" s="4" t="s">
        <v>142</v>
      </c>
      <c r="C219" s="6">
        <v>46282.0</v>
      </c>
      <c r="D219" s="6">
        <v>46283.0</v>
      </c>
      <c r="E219" s="4" t="s">
        <v>229</v>
      </c>
      <c r="F219" s="4" t="s">
        <v>206</v>
      </c>
    </row>
    <row r="220">
      <c r="A220" s="18">
        <v>2415373.0</v>
      </c>
      <c r="B220" s="4" t="s">
        <v>177</v>
      </c>
      <c r="C220" s="6">
        <v>46282.0</v>
      </c>
      <c r="D220" s="6">
        <v>46283.0</v>
      </c>
      <c r="E220" s="4" t="s">
        <v>229</v>
      </c>
      <c r="F220" s="4" t="s">
        <v>206</v>
      </c>
    </row>
    <row r="221">
      <c r="A221" s="18">
        <v>2396710.0</v>
      </c>
      <c r="B221" s="4" t="s">
        <v>137</v>
      </c>
      <c r="C221" s="6">
        <v>46284.0</v>
      </c>
      <c r="D221" s="6">
        <v>46284.0</v>
      </c>
      <c r="E221" s="4" t="s">
        <v>230</v>
      </c>
      <c r="F221" s="4" t="s">
        <v>211</v>
      </c>
    </row>
    <row r="222">
      <c r="A222" s="18">
        <v>2396710.0</v>
      </c>
      <c r="B222" s="4" t="s">
        <v>137</v>
      </c>
      <c r="C222" s="6">
        <v>46287.0</v>
      </c>
      <c r="D222" s="6">
        <v>46287.0</v>
      </c>
      <c r="E222" s="4" t="s">
        <v>231</v>
      </c>
      <c r="F222" s="4" t="s">
        <v>206</v>
      </c>
    </row>
    <row r="223">
      <c r="A223" s="18">
        <v>29530.0</v>
      </c>
      <c r="B223" s="4" t="s">
        <v>148</v>
      </c>
      <c r="C223" s="6">
        <v>46288.0</v>
      </c>
      <c r="D223" s="6">
        <v>46289.0</v>
      </c>
      <c r="E223" s="4" t="s">
        <v>232</v>
      </c>
      <c r="F223" s="4" t="s">
        <v>206</v>
      </c>
    </row>
    <row r="224">
      <c r="A224" s="18">
        <v>3217561.0</v>
      </c>
      <c r="B224" s="4" t="s">
        <v>151</v>
      </c>
      <c r="C224" s="6">
        <v>46293.0</v>
      </c>
      <c r="D224" s="6">
        <v>46298.0</v>
      </c>
      <c r="E224" s="4" t="s">
        <v>233</v>
      </c>
      <c r="F224" s="4" t="s">
        <v>206</v>
      </c>
    </row>
    <row r="225">
      <c r="A225" s="18">
        <v>2713993.0</v>
      </c>
      <c r="B225" s="4" t="s">
        <v>129</v>
      </c>
      <c r="C225" s="6">
        <v>46293.0</v>
      </c>
      <c r="D225" s="6">
        <v>46298.0</v>
      </c>
      <c r="E225" s="4" t="s">
        <v>233</v>
      </c>
      <c r="F225" s="4" t="s">
        <v>206</v>
      </c>
    </row>
    <row r="226">
      <c r="A226" s="18">
        <v>2843319.0</v>
      </c>
      <c r="B226" s="4" t="s">
        <v>142</v>
      </c>
      <c r="C226" s="6">
        <v>46293.0</v>
      </c>
      <c r="D226" s="6">
        <v>46298.0</v>
      </c>
      <c r="E226" s="4" t="s">
        <v>233</v>
      </c>
      <c r="F226" s="4" t="s">
        <v>206</v>
      </c>
    </row>
    <row r="227">
      <c r="A227" s="18">
        <v>3189967.0</v>
      </c>
      <c r="B227" s="4" t="s">
        <v>175</v>
      </c>
      <c r="C227" s="6">
        <v>46293.0</v>
      </c>
      <c r="D227" s="6">
        <v>46298.0</v>
      </c>
      <c r="E227" s="4" t="s">
        <v>233</v>
      </c>
      <c r="F227" s="4" t="s">
        <v>206</v>
      </c>
    </row>
    <row r="228">
      <c r="A228" s="18">
        <v>2604360.0</v>
      </c>
      <c r="B228" s="4" t="s">
        <v>171</v>
      </c>
      <c r="C228" s="6">
        <v>46293.0</v>
      </c>
      <c r="D228" s="6">
        <v>46298.0</v>
      </c>
      <c r="E228" s="4" t="s">
        <v>233</v>
      </c>
      <c r="F228" s="4" t="s">
        <v>206</v>
      </c>
    </row>
    <row r="229">
      <c r="A229" s="18">
        <v>2369624.0</v>
      </c>
      <c r="B229" s="4" t="s">
        <v>163</v>
      </c>
      <c r="C229" s="6">
        <v>46293.0</v>
      </c>
      <c r="D229" s="6">
        <v>46298.0</v>
      </c>
      <c r="E229" s="4" t="s">
        <v>233</v>
      </c>
      <c r="F229" s="4" t="s">
        <v>206</v>
      </c>
    </row>
    <row r="230">
      <c r="A230" s="18">
        <v>1271571.0</v>
      </c>
      <c r="B230" s="4" t="s">
        <v>139</v>
      </c>
      <c r="C230" s="6">
        <v>46295.0</v>
      </c>
      <c r="D230" s="6">
        <v>46295.0</v>
      </c>
      <c r="E230" s="4" t="s">
        <v>234</v>
      </c>
      <c r="F230" s="4" t="s">
        <v>211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9.14"/>
  </cols>
  <sheetData>
    <row r="1">
      <c r="A1" s="4" t="s">
        <v>31</v>
      </c>
      <c r="B1" s="4" t="s">
        <v>32</v>
      </c>
      <c r="C1" s="4" t="s">
        <v>235</v>
      </c>
      <c r="D1" s="4" t="s">
        <v>236</v>
      </c>
    </row>
    <row r="2">
      <c r="A2" s="4">
        <v>29530.0</v>
      </c>
      <c r="B2" s="4" t="s">
        <v>148</v>
      </c>
      <c r="D2" s="6">
        <v>46217.0</v>
      </c>
    </row>
    <row r="3">
      <c r="A3" s="4">
        <v>71348.0</v>
      </c>
      <c r="B3" s="4" t="s">
        <v>153</v>
      </c>
      <c r="C3" s="4" t="s">
        <v>237</v>
      </c>
      <c r="D3" s="6">
        <v>45915.0</v>
      </c>
    </row>
    <row r="4">
      <c r="A4" s="4">
        <v>967092.0</v>
      </c>
      <c r="B4" s="4" t="s">
        <v>158</v>
      </c>
      <c r="C4" s="6">
        <v>46241.0</v>
      </c>
      <c r="D4" s="6">
        <v>46169.0</v>
      </c>
    </row>
    <row r="5">
      <c r="A5" s="4">
        <v>2369624.0</v>
      </c>
      <c r="B5" s="4" t="s">
        <v>163</v>
      </c>
      <c r="D5" s="6">
        <v>46218.0</v>
      </c>
    </row>
    <row r="6">
      <c r="A6" s="4">
        <v>2369641.0</v>
      </c>
      <c r="B6" s="4" t="s">
        <v>160</v>
      </c>
      <c r="D6" s="6">
        <v>46233.0</v>
      </c>
    </row>
    <row r="7">
      <c r="A7" s="4">
        <v>2415373.0</v>
      </c>
      <c r="B7" s="4" t="s">
        <v>177</v>
      </c>
      <c r="D7" s="6">
        <v>46192.0</v>
      </c>
    </row>
    <row r="8">
      <c r="A8" s="4">
        <v>2440915.0</v>
      </c>
      <c r="B8" s="4" t="s">
        <v>179</v>
      </c>
      <c r="D8" s="6">
        <v>46203.0</v>
      </c>
    </row>
    <row r="9">
      <c r="A9" s="4">
        <v>2604360.0</v>
      </c>
      <c r="B9" s="4" t="s">
        <v>171</v>
      </c>
      <c r="D9" s="6">
        <v>46199.0</v>
      </c>
    </row>
    <row r="10">
      <c r="A10" s="4">
        <v>2823133.0</v>
      </c>
      <c r="B10" s="4" t="s">
        <v>173</v>
      </c>
      <c r="C10" s="6">
        <v>46238.0</v>
      </c>
      <c r="D10" s="6">
        <v>46156.0</v>
      </c>
    </row>
    <row r="11">
      <c r="A11" s="4">
        <v>2843319.0</v>
      </c>
      <c r="B11" s="4" t="s">
        <v>142</v>
      </c>
      <c r="D11" s="6">
        <v>46218.0</v>
      </c>
    </row>
    <row r="12">
      <c r="A12" s="4">
        <v>2963161.0</v>
      </c>
    </row>
    <row r="13">
      <c r="A13" s="4">
        <v>3134911.0</v>
      </c>
      <c r="B13" s="4" t="s">
        <v>165</v>
      </c>
      <c r="D13" s="6">
        <v>46212.0</v>
      </c>
    </row>
    <row r="14">
      <c r="A14" s="4">
        <v>3189967.0</v>
      </c>
      <c r="B14" s="4" t="s">
        <v>175</v>
      </c>
      <c r="D14" s="6">
        <v>46199.0</v>
      </c>
    </row>
    <row r="15">
      <c r="A15" s="4">
        <v>3217561.0</v>
      </c>
      <c r="B15" s="4" t="s">
        <v>151</v>
      </c>
      <c r="D15" s="6">
        <v>46191.0</v>
      </c>
    </row>
    <row r="16">
      <c r="A16" s="4">
        <v>3750335.0</v>
      </c>
      <c r="B16" s="4" t="s">
        <v>167</v>
      </c>
      <c r="C16" s="6">
        <v>46230.0</v>
      </c>
      <c r="D16" s="6">
        <v>46230.0</v>
      </c>
    </row>
    <row r="17">
      <c r="A17" s="4">
        <v>3779550.0</v>
      </c>
      <c r="B17" s="4" t="s">
        <v>146</v>
      </c>
      <c r="D17" s="6">
        <v>46209.0</v>
      </c>
    </row>
    <row r="18">
      <c r="A18" s="4">
        <v>3796947.0</v>
      </c>
      <c r="B18" s="4" t="s">
        <v>181</v>
      </c>
      <c r="C18" s="4" t="s">
        <v>237</v>
      </c>
      <c r="D18" s="6">
        <v>45807.0</v>
      </c>
    </row>
    <row r="19">
      <c r="A19" s="4">
        <v>3841387.0</v>
      </c>
      <c r="B19" s="4" t="s">
        <v>185</v>
      </c>
      <c r="D19" s="6">
        <v>46212.0</v>
      </c>
    </row>
    <row r="20">
      <c r="A20" s="4">
        <v>3852423.0</v>
      </c>
      <c r="B20" s="4" t="s">
        <v>169</v>
      </c>
      <c r="D20" s="6">
        <v>46223.0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3" width="30.0"/>
    <col customWidth="1" min="4" max="4" width="34.0"/>
    <col customWidth="1" min="5" max="5" width="15.0"/>
    <col customWidth="1" min="6" max="6" width="18.0"/>
    <col customWidth="1" min="7" max="7" width="22.0"/>
    <col customWidth="1" min="8" max="8" width="40.0"/>
    <col customWidth="1" min="9" max="26" width="8.71"/>
  </cols>
  <sheetData>
    <row r="1" ht="31.5" customHeight="1">
      <c r="A1" s="11" t="s">
        <v>238</v>
      </c>
      <c r="B1" s="11" t="s">
        <v>31</v>
      </c>
      <c r="C1" s="11" t="s">
        <v>32</v>
      </c>
      <c r="D1" s="11" t="s">
        <v>239</v>
      </c>
      <c r="E1" s="11" t="s">
        <v>3</v>
      </c>
      <c r="F1" s="11" t="s">
        <v>240</v>
      </c>
      <c r="G1" s="11" t="s">
        <v>241</v>
      </c>
      <c r="H1" s="11" t="s">
        <v>242</v>
      </c>
    </row>
    <row r="2">
      <c r="A2" s="19">
        <v>46304.246581666666</v>
      </c>
      <c r="B2" s="20">
        <v>6019028.0</v>
      </c>
      <c r="C2" s="4" t="s">
        <v>187</v>
      </c>
      <c r="D2" s="4" t="s">
        <v>189</v>
      </c>
      <c r="E2" s="4" t="s">
        <v>190</v>
      </c>
      <c r="F2" s="4" t="s">
        <v>243</v>
      </c>
      <c r="G2" s="4" t="s">
        <v>244</v>
      </c>
      <c r="H2" s="4" t="s">
        <v>245</v>
      </c>
    </row>
    <row r="3">
      <c r="A3" s="19">
        <v>46304.246634166666</v>
      </c>
      <c r="B3" s="20">
        <v>6019028.0</v>
      </c>
      <c r="C3" s="4" t="s">
        <v>187</v>
      </c>
      <c r="D3" s="4" t="s">
        <v>189</v>
      </c>
      <c r="E3" s="4" t="s">
        <v>190</v>
      </c>
      <c r="F3" s="4" t="s">
        <v>246</v>
      </c>
      <c r="G3" s="4" t="s">
        <v>247</v>
      </c>
      <c r="H3" s="4" t="s">
        <v>245</v>
      </c>
    </row>
    <row r="4">
      <c r="A4" s="19">
        <v>46304.24843924768</v>
      </c>
      <c r="B4" s="20">
        <v>6014982.0</v>
      </c>
      <c r="C4" s="4" t="s">
        <v>192</v>
      </c>
      <c r="D4" s="4" t="s">
        <v>194</v>
      </c>
      <c r="E4" s="4" t="s">
        <v>190</v>
      </c>
      <c r="F4" s="4" t="s">
        <v>248</v>
      </c>
      <c r="G4" s="4" t="s">
        <v>249</v>
      </c>
    </row>
    <row r="5">
      <c r="A5" s="19">
        <v>46304.248547696756</v>
      </c>
      <c r="B5" s="20">
        <v>6019028.0</v>
      </c>
      <c r="C5" s="4" t="s">
        <v>187</v>
      </c>
      <c r="D5" s="4" t="s">
        <v>189</v>
      </c>
      <c r="E5" s="4" t="s">
        <v>190</v>
      </c>
      <c r="F5" s="4" t="s">
        <v>250</v>
      </c>
      <c r="G5" s="4" t="s">
        <v>247</v>
      </c>
      <c r="H5" s="4" t="s">
        <v>245</v>
      </c>
    </row>
    <row r="6">
      <c r="A6" s="19">
        <v>46304.24933747685</v>
      </c>
      <c r="B6" s="20">
        <v>6014982.0</v>
      </c>
      <c r="C6" s="4" t="s">
        <v>192</v>
      </c>
      <c r="D6" s="4" t="s">
        <v>194</v>
      </c>
      <c r="E6" s="4" t="s">
        <v>190</v>
      </c>
      <c r="F6" s="4" t="s">
        <v>243</v>
      </c>
      <c r="G6" s="4" t="s">
        <v>244</v>
      </c>
      <c r="H6" s="4" t="s">
        <v>245</v>
      </c>
    </row>
    <row r="7">
      <c r="A7" s="19">
        <v>46304.25824934027</v>
      </c>
      <c r="B7" s="20">
        <v>6019028.0</v>
      </c>
      <c r="C7" s="4" t="s">
        <v>187</v>
      </c>
      <c r="D7" s="4" t="s">
        <v>189</v>
      </c>
      <c r="E7" s="4" t="s">
        <v>190</v>
      </c>
      <c r="F7" s="4" t="s">
        <v>246</v>
      </c>
      <c r="G7" s="4" t="s">
        <v>247</v>
      </c>
      <c r="H7" s="4" t="s">
        <v>251</v>
      </c>
    </row>
    <row r="8">
      <c r="A8" s="19">
        <v>46304.26936465278</v>
      </c>
      <c r="B8" s="20">
        <v>6019028.0</v>
      </c>
      <c r="C8" s="4" t="s">
        <v>187</v>
      </c>
      <c r="D8" s="4" t="s">
        <v>189</v>
      </c>
      <c r="E8" s="4" t="s">
        <v>190</v>
      </c>
      <c r="F8" s="4" t="s">
        <v>250</v>
      </c>
      <c r="G8" s="4" t="s">
        <v>247</v>
      </c>
      <c r="H8" s="4" t="s">
        <v>251</v>
      </c>
    </row>
    <row r="9">
      <c r="A9" s="19">
        <v>46304.27085534722</v>
      </c>
      <c r="B9" s="20">
        <v>6019028.0</v>
      </c>
      <c r="C9" s="4" t="s">
        <v>187</v>
      </c>
      <c r="D9" s="4" t="s">
        <v>189</v>
      </c>
      <c r="E9" s="4" t="s">
        <v>190</v>
      </c>
      <c r="F9" s="4" t="s">
        <v>252</v>
      </c>
      <c r="G9" s="4" t="s">
        <v>247</v>
      </c>
      <c r="H9" s="4" t="s">
        <v>251</v>
      </c>
    </row>
    <row r="10">
      <c r="A10" s="19">
        <v>46304.27086642361</v>
      </c>
      <c r="B10" s="20">
        <v>6019028.0</v>
      </c>
      <c r="C10" s="4" t="s">
        <v>187</v>
      </c>
      <c r="D10" s="4" t="s">
        <v>189</v>
      </c>
      <c r="E10" s="4" t="s">
        <v>190</v>
      </c>
      <c r="F10" s="4" t="s">
        <v>246</v>
      </c>
      <c r="G10" s="4" t="s">
        <v>247</v>
      </c>
      <c r="H10" s="4" t="s">
        <v>251</v>
      </c>
    </row>
    <row r="11">
      <c r="A11" s="19">
        <v>46304.27126991898</v>
      </c>
      <c r="B11" s="20">
        <v>6014982.0</v>
      </c>
      <c r="C11" s="4" t="s">
        <v>192</v>
      </c>
      <c r="D11" s="4" t="s">
        <v>194</v>
      </c>
      <c r="E11" s="4" t="s">
        <v>190</v>
      </c>
      <c r="F11" s="4" t="s">
        <v>248</v>
      </c>
      <c r="G11" s="4" t="s">
        <v>249</v>
      </c>
    </row>
    <row r="12">
      <c r="A12" s="19">
        <v>46304.27257087963</v>
      </c>
      <c r="B12" s="20">
        <v>6019028.0</v>
      </c>
      <c r="C12" s="4" t="s">
        <v>187</v>
      </c>
      <c r="D12" s="4" t="s">
        <v>189</v>
      </c>
      <c r="E12" s="4" t="s">
        <v>190</v>
      </c>
      <c r="F12" s="4" t="s">
        <v>250</v>
      </c>
      <c r="G12" s="4" t="s">
        <v>247</v>
      </c>
      <c r="H12" s="4" t="s">
        <v>251</v>
      </c>
    </row>
    <row r="13">
      <c r="A13" s="19">
        <v>46304.27423027778</v>
      </c>
      <c r="B13" s="20">
        <v>6019028.0</v>
      </c>
      <c r="C13" s="4" t="s">
        <v>187</v>
      </c>
      <c r="D13" s="4" t="s">
        <v>189</v>
      </c>
      <c r="E13" s="4" t="s">
        <v>190</v>
      </c>
      <c r="F13" s="4" t="s">
        <v>246</v>
      </c>
      <c r="G13" s="4" t="s">
        <v>247</v>
      </c>
      <c r="H13" s="4" t="s">
        <v>251</v>
      </c>
    </row>
    <row r="14">
      <c r="A14" s="19">
        <v>46304.27451844908</v>
      </c>
      <c r="B14" s="20">
        <v>6019028.0</v>
      </c>
      <c r="C14" s="4" t="s">
        <v>187</v>
      </c>
      <c r="D14" s="4" t="s">
        <v>189</v>
      </c>
      <c r="E14" s="4" t="s">
        <v>190</v>
      </c>
      <c r="F14" s="4" t="s">
        <v>250</v>
      </c>
      <c r="G14" s="4" t="s">
        <v>247</v>
      </c>
      <c r="H14" s="4" t="s">
        <v>251</v>
      </c>
    </row>
    <row r="15">
      <c r="A15" s="19">
        <v>46304.275149375</v>
      </c>
      <c r="B15" s="20">
        <v>6019028.0</v>
      </c>
      <c r="C15" s="4" t="s">
        <v>187</v>
      </c>
      <c r="D15" s="4" t="s">
        <v>189</v>
      </c>
      <c r="E15" s="4" t="s">
        <v>190</v>
      </c>
      <c r="F15" s="4" t="s">
        <v>243</v>
      </c>
      <c r="G15" s="4" t="s">
        <v>253</v>
      </c>
      <c r="H15" s="4" t="s">
        <v>251</v>
      </c>
    </row>
    <row r="16">
      <c r="A16" s="19">
        <v>46304.275471493056</v>
      </c>
      <c r="B16" s="20">
        <v>6019028.0</v>
      </c>
      <c r="C16" s="4" t="s">
        <v>187</v>
      </c>
      <c r="D16" s="4" t="s">
        <v>189</v>
      </c>
      <c r="E16" s="4" t="s">
        <v>190</v>
      </c>
      <c r="F16" s="4" t="s">
        <v>246</v>
      </c>
      <c r="G16" s="4" t="s">
        <v>247</v>
      </c>
      <c r="H16" s="4" t="s">
        <v>251</v>
      </c>
    </row>
    <row r="17">
      <c r="A17" s="19">
        <v>46304.295284872685</v>
      </c>
      <c r="B17" s="20">
        <v>6019028.0</v>
      </c>
      <c r="C17" s="4" t="s">
        <v>187</v>
      </c>
      <c r="D17" s="4" t="s">
        <v>189</v>
      </c>
      <c r="E17" s="4" t="s">
        <v>190</v>
      </c>
      <c r="F17" s="4" t="s">
        <v>246</v>
      </c>
      <c r="G17" s="4" t="s">
        <v>247</v>
      </c>
      <c r="H17" s="4" t="s">
        <v>254</v>
      </c>
    </row>
    <row r="18">
      <c r="A18" s="19">
        <v>46304.30500335648</v>
      </c>
      <c r="B18" s="20">
        <v>6014982.0</v>
      </c>
      <c r="C18" s="4" t="s">
        <v>192</v>
      </c>
      <c r="D18" s="4" t="s">
        <v>194</v>
      </c>
      <c r="E18" s="4" t="s">
        <v>190</v>
      </c>
      <c r="F18" s="4" t="s">
        <v>252</v>
      </c>
      <c r="G18" s="4" t="s">
        <v>247</v>
      </c>
      <c r="H18" s="4" t="s">
        <v>245</v>
      </c>
    </row>
    <row r="19">
      <c r="A19" s="19">
        <v>46304.30501059028</v>
      </c>
      <c r="B19" s="20">
        <v>6014982.0</v>
      </c>
      <c r="C19" s="4" t="s">
        <v>192</v>
      </c>
      <c r="D19" s="4" t="s">
        <v>194</v>
      </c>
      <c r="E19" s="4" t="s">
        <v>190</v>
      </c>
      <c r="F19" s="4" t="s">
        <v>246</v>
      </c>
      <c r="G19" s="4" t="s">
        <v>247</v>
      </c>
      <c r="H19" s="4" t="s">
        <v>245</v>
      </c>
    </row>
    <row r="20">
      <c r="A20" s="19">
        <v>46307.39303927083</v>
      </c>
      <c r="B20" s="20">
        <v>6019028.0</v>
      </c>
      <c r="C20" s="4" t="s">
        <v>187</v>
      </c>
      <c r="D20" s="4" t="s">
        <v>189</v>
      </c>
      <c r="E20" s="4" t="s">
        <v>190</v>
      </c>
      <c r="F20" s="4" t="s">
        <v>250</v>
      </c>
      <c r="G20" s="4" t="s">
        <v>247</v>
      </c>
      <c r="H20" s="4" t="s">
        <v>254</v>
      </c>
    </row>
    <row r="21" ht="15.75" customHeight="1">
      <c r="A21" s="19">
        <v>46307.43235137731</v>
      </c>
      <c r="B21" s="20">
        <v>6019028.0</v>
      </c>
      <c r="C21" s="4" t="s">
        <v>187</v>
      </c>
      <c r="D21" s="4" t="s">
        <v>189</v>
      </c>
      <c r="E21" s="4" t="s">
        <v>190</v>
      </c>
      <c r="F21" s="4" t="s">
        <v>246</v>
      </c>
      <c r="G21" s="4" t="s">
        <v>247</v>
      </c>
      <c r="H21" s="4" t="s">
        <v>254</v>
      </c>
    </row>
    <row r="22" ht="15.75" customHeight="1">
      <c r="A22" s="21"/>
      <c r="B22" s="15"/>
      <c r="F22" s="16"/>
      <c r="G22" s="16"/>
    </row>
    <row r="23" ht="15.75" customHeight="1">
      <c r="A23" s="21"/>
      <c r="B23" s="15"/>
      <c r="F23" s="16"/>
      <c r="G23" s="16"/>
    </row>
    <row r="24" ht="15.75" customHeight="1">
      <c r="A24" s="21"/>
      <c r="B24" s="15"/>
      <c r="F24" s="16"/>
      <c r="G24" s="16"/>
    </row>
    <row r="25" ht="15.75" customHeight="1">
      <c r="A25" s="21"/>
      <c r="B25" s="15"/>
      <c r="F25" s="16"/>
      <c r="G25" s="16"/>
    </row>
    <row r="26" ht="15.75" customHeight="1">
      <c r="A26" s="21"/>
      <c r="B26" s="15"/>
      <c r="F26" s="16"/>
      <c r="G26" s="16"/>
    </row>
    <row r="27" ht="15.75" customHeight="1">
      <c r="A27" s="21"/>
      <c r="B27" s="15"/>
      <c r="F27" s="16"/>
      <c r="G27" s="16"/>
    </row>
    <row r="28" ht="15.75" customHeight="1">
      <c r="A28" s="21"/>
      <c r="B28" s="15"/>
      <c r="F28" s="16"/>
      <c r="G28" s="16"/>
    </row>
    <row r="29" ht="15.75" customHeight="1">
      <c r="A29" s="21"/>
      <c r="B29" s="15"/>
      <c r="F29" s="16"/>
      <c r="G29" s="16"/>
    </row>
    <row r="30" ht="15.75" customHeight="1">
      <c r="A30" s="21"/>
      <c r="B30" s="15"/>
      <c r="F30" s="16"/>
      <c r="G30" s="16"/>
    </row>
    <row r="31" ht="15.75" customHeight="1">
      <c r="A31" s="21"/>
      <c r="B31" s="15"/>
      <c r="F31" s="16"/>
      <c r="G31" s="16"/>
    </row>
    <row r="32" ht="15.75" customHeight="1">
      <c r="A32" s="21"/>
      <c r="B32" s="15"/>
      <c r="F32" s="16"/>
      <c r="G32" s="16"/>
    </row>
    <row r="33" ht="15.75" customHeight="1">
      <c r="A33" s="21"/>
      <c r="B33" s="15"/>
      <c r="F33" s="16"/>
      <c r="G33" s="16"/>
    </row>
    <row r="34" ht="15.75" customHeight="1">
      <c r="A34" s="21"/>
      <c r="B34" s="15"/>
      <c r="F34" s="16"/>
      <c r="G34" s="16"/>
    </row>
    <row r="35" ht="15.75" customHeight="1">
      <c r="A35" s="21"/>
      <c r="B35" s="15"/>
      <c r="F35" s="16"/>
      <c r="G35" s="16"/>
    </row>
    <row r="36" ht="15.75" customHeight="1">
      <c r="A36" s="21"/>
      <c r="B36" s="15"/>
      <c r="F36" s="16"/>
      <c r="G36" s="16"/>
    </row>
    <row r="37" ht="15.75" customHeight="1">
      <c r="A37" s="21"/>
      <c r="B37" s="15"/>
      <c r="F37" s="16"/>
      <c r="G37" s="16"/>
    </row>
    <row r="38" ht="15.75" customHeight="1">
      <c r="A38" s="21"/>
      <c r="B38" s="15"/>
      <c r="F38" s="16"/>
      <c r="G38" s="16"/>
    </row>
    <row r="39" ht="15.75" customHeight="1">
      <c r="A39" s="21"/>
      <c r="B39" s="15"/>
      <c r="F39" s="16"/>
      <c r="G39" s="16"/>
    </row>
    <row r="40" ht="15.75" customHeight="1">
      <c r="A40" s="21"/>
      <c r="B40" s="15"/>
      <c r="F40" s="16"/>
      <c r="G40" s="16"/>
    </row>
    <row r="41" ht="15.75" customHeight="1">
      <c r="A41" s="21"/>
      <c r="B41" s="15"/>
      <c r="F41" s="16"/>
      <c r="G41" s="16"/>
    </row>
    <row r="42" ht="15.75" customHeight="1">
      <c r="A42" s="21"/>
      <c r="B42" s="15"/>
      <c r="F42" s="16"/>
      <c r="G42" s="16"/>
    </row>
    <row r="43" ht="15.75" customHeight="1">
      <c r="A43" s="21"/>
      <c r="B43" s="15"/>
      <c r="F43" s="16"/>
      <c r="G43" s="16"/>
    </row>
    <row r="44" ht="15.75" customHeight="1">
      <c r="A44" s="21"/>
      <c r="B44" s="15"/>
      <c r="F44" s="16"/>
      <c r="G44" s="16"/>
    </row>
    <row r="45" ht="15.75" customHeight="1">
      <c r="A45" s="21"/>
      <c r="B45" s="15"/>
      <c r="F45" s="16"/>
      <c r="G45" s="16"/>
    </row>
    <row r="46" ht="15.75" customHeight="1">
      <c r="A46" s="21"/>
      <c r="B46" s="15"/>
      <c r="F46" s="16"/>
      <c r="G46" s="16"/>
    </row>
    <row r="47" ht="15.75" customHeight="1">
      <c r="A47" s="21"/>
      <c r="B47" s="15"/>
      <c r="F47" s="16"/>
      <c r="G47" s="16"/>
    </row>
    <row r="48" ht="15.75" customHeight="1">
      <c r="A48" s="21"/>
      <c r="B48" s="15"/>
      <c r="F48" s="16"/>
      <c r="G48" s="16"/>
    </row>
    <row r="49" ht="15.75" customHeight="1">
      <c r="A49" s="21"/>
      <c r="B49" s="15"/>
      <c r="F49" s="16"/>
      <c r="G49" s="16"/>
    </row>
    <row r="50" ht="15.75" customHeight="1">
      <c r="A50" s="21"/>
      <c r="B50" s="15"/>
      <c r="F50" s="16"/>
      <c r="G50" s="16"/>
    </row>
    <row r="51" ht="15.75" customHeight="1">
      <c r="A51" s="21"/>
      <c r="B51" s="15"/>
      <c r="F51" s="16"/>
      <c r="G51" s="16"/>
    </row>
    <row r="52" ht="15.75" customHeight="1">
      <c r="A52" s="21"/>
      <c r="B52" s="15"/>
      <c r="F52" s="16"/>
      <c r="G52" s="16"/>
    </row>
    <row r="53" ht="15.75" customHeight="1">
      <c r="A53" s="21"/>
      <c r="B53" s="15"/>
      <c r="F53" s="16"/>
      <c r="G53" s="16"/>
    </row>
    <row r="54" ht="15.75" customHeight="1">
      <c r="A54" s="21"/>
      <c r="B54" s="15"/>
      <c r="F54" s="16"/>
      <c r="G54" s="16"/>
    </row>
    <row r="55" ht="15.75" customHeight="1">
      <c r="A55" s="21"/>
      <c r="B55" s="15"/>
      <c r="F55" s="16"/>
      <c r="G55" s="16"/>
    </row>
    <row r="56" ht="15.75" customHeight="1">
      <c r="A56" s="21"/>
      <c r="B56" s="15"/>
      <c r="F56" s="16"/>
      <c r="G56" s="16"/>
    </row>
    <row r="57" ht="15.75" customHeight="1">
      <c r="A57" s="21"/>
      <c r="B57" s="15"/>
      <c r="F57" s="16"/>
      <c r="G57" s="16"/>
    </row>
    <row r="58" ht="15.75" customHeight="1">
      <c r="A58" s="21"/>
      <c r="B58" s="15"/>
      <c r="F58" s="16"/>
      <c r="G58" s="16"/>
    </row>
    <row r="59" ht="15.75" customHeight="1">
      <c r="A59" s="21"/>
      <c r="B59" s="15"/>
      <c r="F59" s="16"/>
      <c r="G59" s="16"/>
    </row>
    <row r="60" ht="15.75" customHeight="1">
      <c r="A60" s="21"/>
      <c r="B60" s="15"/>
      <c r="F60" s="16"/>
      <c r="G60" s="16"/>
    </row>
    <row r="61" ht="15.75" customHeight="1">
      <c r="A61" s="21"/>
      <c r="B61" s="15"/>
      <c r="F61" s="16"/>
      <c r="G61" s="16"/>
    </row>
    <row r="62" ht="15.75" customHeight="1">
      <c r="A62" s="21"/>
      <c r="B62" s="15"/>
      <c r="F62" s="16"/>
      <c r="G62" s="16"/>
    </row>
    <row r="63" ht="15.75" customHeight="1">
      <c r="A63" s="21"/>
      <c r="B63" s="15"/>
      <c r="F63" s="16"/>
      <c r="G63" s="16"/>
    </row>
    <row r="64" ht="15.75" customHeight="1">
      <c r="A64" s="21"/>
      <c r="B64" s="15"/>
      <c r="F64" s="16"/>
      <c r="G64" s="16"/>
    </row>
    <row r="65" ht="15.75" customHeight="1">
      <c r="A65" s="21"/>
      <c r="B65" s="15"/>
      <c r="F65" s="16"/>
      <c r="G65" s="16"/>
    </row>
    <row r="66" ht="15.75" customHeight="1">
      <c r="A66" s="21"/>
      <c r="B66" s="15"/>
      <c r="F66" s="16"/>
      <c r="G66" s="16"/>
    </row>
    <row r="67" ht="15.75" customHeight="1">
      <c r="A67" s="21"/>
      <c r="B67" s="15"/>
      <c r="F67" s="16"/>
      <c r="G67" s="16"/>
    </row>
    <row r="68" ht="15.75" customHeight="1">
      <c r="A68" s="21"/>
      <c r="B68" s="15"/>
      <c r="F68" s="16"/>
      <c r="G68" s="16"/>
    </row>
    <row r="69" ht="15.75" customHeight="1">
      <c r="A69" s="21"/>
      <c r="B69" s="15"/>
      <c r="F69" s="16"/>
      <c r="G69" s="16"/>
    </row>
    <row r="70" ht="15.75" customHeight="1">
      <c r="A70" s="21"/>
      <c r="B70" s="15"/>
      <c r="F70" s="16"/>
      <c r="G70" s="16"/>
    </row>
    <row r="71" ht="15.75" customHeight="1">
      <c r="A71" s="21"/>
      <c r="B71" s="15"/>
      <c r="F71" s="16"/>
      <c r="G71" s="16"/>
    </row>
    <row r="72" ht="15.75" customHeight="1">
      <c r="A72" s="21"/>
      <c r="B72" s="15"/>
      <c r="F72" s="16"/>
      <c r="G72" s="16"/>
    </row>
    <row r="73" ht="15.75" customHeight="1">
      <c r="A73" s="21"/>
      <c r="B73" s="15"/>
      <c r="F73" s="16"/>
      <c r="G73" s="16"/>
    </row>
    <row r="74" ht="15.75" customHeight="1">
      <c r="A74" s="21"/>
      <c r="B74" s="15"/>
      <c r="F74" s="16"/>
      <c r="G74" s="16"/>
    </row>
    <row r="75" ht="15.75" customHeight="1">
      <c r="A75" s="21"/>
      <c r="B75" s="15"/>
      <c r="F75" s="16"/>
      <c r="G75" s="16"/>
    </row>
    <row r="76" ht="15.75" customHeight="1">
      <c r="A76" s="21"/>
      <c r="B76" s="15"/>
      <c r="F76" s="16"/>
      <c r="G76" s="16"/>
    </row>
    <row r="77" ht="15.75" customHeight="1">
      <c r="A77" s="21"/>
      <c r="B77" s="15"/>
      <c r="F77" s="16"/>
      <c r="G77" s="16"/>
    </row>
    <row r="78" ht="15.75" customHeight="1">
      <c r="A78" s="21"/>
      <c r="B78" s="15"/>
      <c r="F78" s="16"/>
      <c r="G78" s="16"/>
    </row>
    <row r="79" ht="15.75" customHeight="1">
      <c r="A79" s="21"/>
      <c r="B79" s="15"/>
      <c r="F79" s="16"/>
      <c r="G79" s="16"/>
    </row>
    <row r="80" ht="15.75" customHeight="1">
      <c r="A80" s="21"/>
      <c r="B80" s="15"/>
      <c r="F80" s="16"/>
      <c r="G80" s="16"/>
    </row>
    <row r="81" ht="15.75" customHeight="1">
      <c r="A81" s="21"/>
      <c r="B81" s="15"/>
      <c r="F81" s="16"/>
      <c r="G81" s="16"/>
    </row>
    <row r="82" ht="15.75" customHeight="1">
      <c r="A82" s="21"/>
      <c r="B82" s="15"/>
      <c r="F82" s="16"/>
      <c r="G82" s="16"/>
    </row>
    <row r="83" ht="15.75" customHeight="1">
      <c r="A83" s="21"/>
      <c r="B83" s="15"/>
      <c r="F83" s="16"/>
      <c r="G83" s="16"/>
    </row>
    <row r="84" ht="15.75" customHeight="1">
      <c r="A84" s="21"/>
      <c r="B84" s="15"/>
      <c r="F84" s="16"/>
      <c r="G84" s="16"/>
    </row>
    <row r="85" ht="15.75" customHeight="1">
      <c r="A85" s="21"/>
      <c r="B85" s="15"/>
      <c r="F85" s="16"/>
      <c r="G85" s="16"/>
    </row>
    <row r="86" ht="15.75" customHeight="1">
      <c r="A86" s="21"/>
      <c r="B86" s="15"/>
      <c r="F86" s="16"/>
      <c r="G86" s="16"/>
    </row>
    <row r="87" ht="15.75" customHeight="1">
      <c r="A87" s="21"/>
      <c r="B87" s="15"/>
      <c r="F87" s="16"/>
      <c r="G87" s="16"/>
    </row>
    <row r="88" ht="15.75" customHeight="1">
      <c r="A88" s="21"/>
      <c r="B88" s="15"/>
      <c r="F88" s="16"/>
      <c r="G88" s="16"/>
    </row>
    <row r="89" ht="15.75" customHeight="1">
      <c r="A89" s="21"/>
      <c r="B89" s="15"/>
      <c r="F89" s="16"/>
      <c r="G89" s="16"/>
    </row>
    <row r="90" ht="15.75" customHeight="1">
      <c r="A90" s="21"/>
      <c r="B90" s="15"/>
      <c r="F90" s="16"/>
      <c r="G90" s="16"/>
    </row>
    <row r="91" ht="15.75" customHeight="1">
      <c r="A91" s="21"/>
      <c r="B91" s="15"/>
      <c r="F91" s="16"/>
      <c r="G91" s="16"/>
    </row>
    <row r="92" ht="15.75" customHeight="1">
      <c r="A92" s="21"/>
      <c r="B92" s="15"/>
      <c r="F92" s="16"/>
      <c r="G92" s="16"/>
    </row>
    <row r="93" ht="15.75" customHeight="1">
      <c r="A93" s="21"/>
      <c r="B93" s="15"/>
      <c r="F93" s="16"/>
      <c r="G93" s="16"/>
    </row>
    <row r="94" ht="15.75" customHeight="1">
      <c r="A94" s="21"/>
      <c r="B94" s="15"/>
      <c r="F94" s="16"/>
      <c r="G94" s="16"/>
    </row>
    <row r="95" ht="15.75" customHeight="1">
      <c r="A95" s="21"/>
      <c r="B95" s="15"/>
      <c r="F95" s="16"/>
      <c r="G95" s="16"/>
    </row>
    <row r="96" ht="15.75" customHeight="1">
      <c r="A96" s="21"/>
      <c r="B96" s="15"/>
      <c r="F96" s="16"/>
      <c r="G96" s="16"/>
    </row>
    <row r="97" ht="15.75" customHeight="1">
      <c r="A97" s="21"/>
      <c r="B97" s="15"/>
      <c r="F97" s="16"/>
      <c r="G97" s="16"/>
    </row>
    <row r="98" ht="15.75" customHeight="1">
      <c r="A98" s="21"/>
      <c r="B98" s="15"/>
      <c r="F98" s="16"/>
      <c r="G98" s="16"/>
    </row>
    <row r="99" ht="15.75" customHeight="1">
      <c r="A99" s="21"/>
      <c r="B99" s="15"/>
      <c r="F99" s="16"/>
      <c r="G99" s="16"/>
    </row>
    <row r="100" ht="15.75" customHeight="1">
      <c r="A100" s="21"/>
      <c r="B100" s="15"/>
      <c r="F100" s="16"/>
      <c r="G100" s="16"/>
    </row>
    <row r="101" ht="15.75" customHeight="1">
      <c r="A101" s="21"/>
      <c r="B101" s="15"/>
      <c r="F101" s="16"/>
      <c r="G101" s="16"/>
    </row>
    <row r="102" ht="15.75" customHeight="1">
      <c r="A102" s="21"/>
      <c r="B102" s="15"/>
      <c r="F102" s="16"/>
      <c r="G102" s="16"/>
    </row>
    <row r="103" ht="15.75" customHeight="1">
      <c r="A103" s="21"/>
      <c r="B103" s="15"/>
      <c r="F103" s="16"/>
      <c r="G103" s="16"/>
    </row>
    <row r="104" ht="15.75" customHeight="1">
      <c r="A104" s="21"/>
      <c r="B104" s="15"/>
      <c r="F104" s="16"/>
      <c r="G104" s="16"/>
    </row>
    <row r="105" ht="15.75" customHeight="1">
      <c r="A105" s="21"/>
      <c r="B105" s="15"/>
      <c r="F105" s="16"/>
      <c r="G105" s="16"/>
    </row>
    <row r="106" ht="15.75" customHeight="1">
      <c r="A106" s="21"/>
      <c r="B106" s="15"/>
      <c r="F106" s="16"/>
      <c r="G106" s="16"/>
    </row>
    <row r="107" ht="15.75" customHeight="1">
      <c r="A107" s="21"/>
      <c r="B107" s="15"/>
      <c r="F107" s="16"/>
      <c r="G107" s="16"/>
    </row>
    <row r="108" ht="15.75" customHeight="1">
      <c r="A108" s="21"/>
      <c r="B108" s="15"/>
      <c r="F108" s="16"/>
      <c r="G108" s="16"/>
    </row>
    <row r="109" ht="15.75" customHeight="1">
      <c r="A109" s="21"/>
      <c r="B109" s="15"/>
      <c r="F109" s="16"/>
      <c r="G109" s="16"/>
    </row>
    <row r="110" ht="15.75" customHeight="1">
      <c r="A110" s="21"/>
      <c r="B110" s="15"/>
      <c r="F110" s="16"/>
      <c r="G110" s="16"/>
    </row>
    <row r="111" ht="15.75" customHeight="1">
      <c r="A111" s="21"/>
      <c r="B111" s="15"/>
      <c r="F111" s="16"/>
      <c r="G111" s="16"/>
    </row>
    <row r="112" ht="15.75" customHeight="1">
      <c r="A112" s="21"/>
      <c r="B112" s="15"/>
      <c r="F112" s="16"/>
      <c r="G112" s="16"/>
    </row>
    <row r="113" ht="15.75" customHeight="1">
      <c r="A113" s="21"/>
      <c r="B113" s="15"/>
      <c r="F113" s="16"/>
      <c r="G113" s="16"/>
    </row>
    <row r="114" ht="15.75" customHeight="1">
      <c r="A114" s="21"/>
      <c r="B114" s="15"/>
      <c r="F114" s="16"/>
      <c r="G114" s="16"/>
    </row>
    <row r="115" ht="15.75" customHeight="1">
      <c r="A115" s="21"/>
      <c r="B115" s="15"/>
      <c r="F115" s="16"/>
      <c r="G115" s="16"/>
    </row>
    <row r="116" ht="15.75" customHeight="1">
      <c r="A116" s="21"/>
      <c r="B116" s="15"/>
      <c r="F116" s="16"/>
      <c r="G116" s="16"/>
    </row>
    <row r="117" ht="15.75" customHeight="1">
      <c r="A117" s="21"/>
      <c r="B117" s="15"/>
      <c r="F117" s="16"/>
      <c r="G117" s="16"/>
    </row>
    <row r="118" ht="15.75" customHeight="1">
      <c r="A118" s="21"/>
      <c r="B118" s="15"/>
      <c r="F118" s="16"/>
      <c r="G118" s="16"/>
    </row>
    <row r="119" ht="15.75" customHeight="1">
      <c r="A119" s="21"/>
      <c r="B119" s="15"/>
      <c r="F119" s="16"/>
      <c r="G119" s="16"/>
    </row>
    <row r="120" ht="15.75" customHeight="1">
      <c r="A120" s="21"/>
      <c r="B120" s="15"/>
      <c r="F120" s="16"/>
      <c r="G120" s="16"/>
    </row>
    <row r="121" ht="15.75" customHeight="1">
      <c r="A121" s="21"/>
      <c r="B121" s="15"/>
      <c r="F121" s="16"/>
      <c r="G121" s="16"/>
    </row>
    <row r="122" ht="15.75" customHeight="1">
      <c r="A122" s="21"/>
      <c r="B122" s="15"/>
      <c r="F122" s="16"/>
      <c r="G122" s="16"/>
    </row>
    <row r="123" ht="15.75" customHeight="1">
      <c r="A123" s="21"/>
      <c r="B123" s="15"/>
      <c r="F123" s="16"/>
      <c r="G123" s="16"/>
    </row>
    <row r="124" ht="15.75" customHeight="1">
      <c r="A124" s="21"/>
      <c r="B124" s="15"/>
      <c r="F124" s="16"/>
      <c r="G124" s="16"/>
    </row>
    <row r="125" ht="15.75" customHeight="1">
      <c r="A125" s="21"/>
      <c r="B125" s="15"/>
      <c r="F125" s="16"/>
      <c r="G125" s="16"/>
    </row>
    <row r="126" ht="15.75" customHeight="1">
      <c r="A126" s="21"/>
      <c r="B126" s="15"/>
      <c r="F126" s="16"/>
      <c r="G126" s="16"/>
    </row>
    <row r="127" ht="15.75" customHeight="1">
      <c r="A127" s="21"/>
      <c r="B127" s="15"/>
      <c r="F127" s="16"/>
      <c r="G127" s="16"/>
    </row>
    <row r="128" ht="15.75" customHeight="1">
      <c r="A128" s="21"/>
      <c r="B128" s="15"/>
      <c r="F128" s="16"/>
      <c r="G128" s="16"/>
    </row>
    <row r="129" ht="15.75" customHeight="1">
      <c r="A129" s="21"/>
      <c r="B129" s="15"/>
      <c r="F129" s="16"/>
      <c r="G129" s="16"/>
    </row>
    <row r="130" ht="15.75" customHeight="1">
      <c r="A130" s="21"/>
      <c r="B130" s="15"/>
      <c r="F130" s="16"/>
      <c r="G130" s="16"/>
    </row>
    <row r="131" ht="15.75" customHeight="1">
      <c r="A131" s="21"/>
      <c r="B131" s="15"/>
      <c r="F131" s="16"/>
      <c r="G131" s="16"/>
    </row>
    <row r="132" ht="15.75" customHeight="1">
      <c r="A132" s="21"/>
      <c r="B132" s="15"/>
      <c r="F132" s="16"/>
      <c r="G132" s="16"/>
    </row>
    <row r="133" ht="15.75" customHeight="1">
      <c r="A133" s="21"/>
      <c r="B133" s="15"/>
      <c r="F133" s="16"/>
      <c r="G133" s="16"/>
    </row>
    <row r="134" ht="15.75" customHeight="1">
      <c r="A134" s="21"/>
      <c r="B134" s="15"/>
      <c r="F134" s="16"/>
      <c r="G134" s="16"/>
    </row>
    <row r="135" ht="15.75" customHeight="1">
      <c r="A135" s="21"/>
      <c r="B135" s="15"/>
      <c r="F135" s="16"/>
      <c r="G135" s="16"/>
    </row>
    <row r="136" ht="15.75" customHeight="1">
      <c r="A136" s="21"/>
      <c r="B136" s="15"/>
      <c r="F136" s="16"/>
      <c r="G136" s="16"/>
    </row>
    <row r="137" ht="15.75" customHeight="1">
      <c r="A137" s="21"/>
      <c r="B137" s="15"/>
      <c r="F137" s="16"/>
      <c r="G137" s="16"/>
    </row>
    <row r="138" ht="15.75" customHeight="1">
      <c r="A138" s="21"/>
      <c r="B138" s="15"/>
      <c r="F138" s="16"/>
      <c r="G138" s="16"/>
    </row>
    <row r="139" ht="15.75" customHeight="1">
      <c r="A139" s="21"/>
      <c r="B139" s="15"/>
      <c r="F139" s="16"/>
      <c r="G139" s="16"/>
    </row>
    <row r="140" ht="15.75" customHeight="1">
      <c r="A140" s="21"/>
      <c r="B140" s="15"/>
      <c r="F140" s="16"/>
      <c r="G140" s="16"/>
    </row>
    <row r="141" ht="15.75" customHeight="1">
      <c r="A141" s="21"/>
      <c r="B141" s="15"/>
      <c r="F141" s="16"/>
      <c r="G141" s="16"/>
    </row>
    <row r="142" ht="15.75" customHeight="1">
      <c r="A142" s="21"/>
      <c r="B142" s="15"/>
      <c r="F142" s="16"/>
      <c r="G142" s="16"/>
    </row>
    <row r="143" ht="15.75" customHeight="1">
      <c r="A143" s="21"/>
      <c r="B143" s="15"/>
      <c r="F143" s="16"/>
      <c r="G143" s="16"/>
    </row>
    <row r="144" ht="15.75" customHeight="1">
      <c r="A144" s="21"/>
      <c r="B144" s="15"/>
      <c r="F144" s="16"/>
      <c r="G144" s="16"/>
    </row>
    <row r="145" ht="15.75" customHeight="1">
      <c r="A145" s="21"/>
      <c r="B145" s="15"/>
      <c r="F145" s="16"/>
      <c r="G145" s="16"/>
    </row>
    <row r="146" ht="15.75" customHeight="1">
      <c r="A146" s="21"/>
      <c r="B146" s="15"/>
      <c r="F146" s="16"/>
      <c r="G146" s="16"/>
    </row>
    <row r="147" ht="15.75" customHeight="1">
      <c r="A147" s="21"/>
      <c r="B147" s="15"/>
      <c r="F147" s="16"/>
      <c r="G147" s="16"/>
    </row>
    <row r="148" ht="15.75" customHeight="1">
      <c r="A148" s="21"/>
      <c r="B148" s="15"/>
      <c r="F148" s="16"/>
      <c r="G148" s="16"/>
    </row>
    <row r="149" ht="15.75" customHeight="1">
      <c r="A149" s="21"/>
      <c r="B149" s="15"/>
      <c r="F149" s="16"/>
      <c r="G149" s="16"/>
    </row>
    <row r="150" ht="15.75" customHeight="1">
      <c r="A150" s="21"/>
      <c r="B150" s="15"/>
      <c r="F150" s="16"/>
      <c r="G150" s="16"/>
    </row>
    <row r="151" ht="15.75" customHeight="1">
      <c r="A151" s="21"/>
      <c r="B151" s="15"/>
      <c r="F151" s="16"/>
      <c r="G151" s="16"/>
    </row>
    <row r="152" ht="15.75" customHeight="1">
      <c r="A152" s="21"/>
      <c r="B152" s="15"/>
      <c r="F152" s="16"/>
      <c r="G152" s="16"/>
    </row>
    <row r="153" ht="15.75" customHeight="1">
      <c r="A153" s="21"/>
      <c r="B153" s="15"/>
      <c r="F153" s="16"/>
      <c r="G153" s="16"/>
    </row>
    <row r="154" ht="15.75" customHeight="1">
      <c r="A154" s="21"/>
      <c r="B154" s="15"/>
      <c r="F154" s="16"/>
      <c r="G154" s="16"/>
    </row>
    <row r="155" ht="15.75" customHeight="1">
      <c r="A155" s="21"/>
      <c r="B155" s="15"/>
      <c r="F155" s="16"/>
      <c r="G155" s="16"/>
    </row>
    <row r="156" ht="15.75" customHeight="1">
      <c r="A156" s="21"/>
      <c r="B156" s="15"/>
      <c r="F156" s="16"/>
      <c r="G156" s="16"/>
    </row>
    <row r="157" ht="15.75" customHeight="1">
      <c r="A157" s="21"/>
      <c r="B157" s="15"/>
      <c r="F157" s="16"/>
      <c r="G157" s="16"/>
    </row>
    <row r="158" ht="15.75" customHeight="1">
      <c r="A158" s="21"/>
      <c r="B158" s="15"/>
      <c r="F158" s="16"/>
      <c r="G158" s="16"/>
    </row>
    <row r="159" ht="15.75" customHeight="1">
      <c r="A159" s="21"/>
      <c r="B159" s="15"/>
      <c r="F159" s="16"/>
      <c r="G159" s="16"/>
    </row>
    <row r="160" ht="15.75" customHeight="1">
      <c r="A160" s="21"/>
      <c r="B160" s="15"/>
      <c r="F160" s="16"/>
      <c r="G160" s="16"/>
    </row>
    <row r="161" ht="15.75" customHeight="1">
      <c r="A161" s="21"/>
      <c r="B161" s="15"/>
      <c r="F161" s="16"/>
      <c r="G161" s="16"/>
    </row>
    <row r="162" ht="15.75" customHeight="1">
      <c r="A162" s="21"/>
      <c r="B162" s="15"/>
      <c r="F162" s="16"/>
      <c r="G162" s="16"/>
    </row>
    <row r="163" ht="15.75" customHeight="1">
      <c r="A163" s="21"/>
      <c r="B163" s="15"/>
      <c r="F163" s="16"/>
      <c r="G163" s="16"/>
    </row>
    <row r="164" ht="15.75" customHeight="1">
      <c r="A164" s="21"/>
      <c r="B164" s="15"/>
      <c r="F164" s="16"/>
      <c r="G164" s="16"/>
    </row>
    <row r="165" ht="15.75" customHeight="1">
      <c r="A165" s="21"/>
      <c r="B165" s="15"/>
      <c r="F165" s="16"/>
      <c r="G165" s="16"/>
    </row>
    <row r="166" ht="15.75" customHeight="1">
      <c r="A166" s="21"/>
      <c r="B166" s="15"/>
      <c r="F166" s="16"/>
      <c r="G166" s="16"/>
    </row>
    <row r="167" ht="15.75" customHeight="1">
      <c r="A167" s="21"/>
      <c r="B167" s="15"/>
      <c r="F167" s="16"/>
      <c r="G167" s="16"/>
    </row>
    <row r="168" ht="15.75" customHeight="1">
      <c r="A168" s="21"/>
      <c r="B168" s="15"/>
      <c r="F168" s="16"/>
      <c r="G168" s="16"/>
    </row>
    <row r="169" ht="15.75" customHeight="1">
      <c r="A169" s="21"/>
      <c r="B169" s="15"/>
      <c r="F169" s="16"/>
      <c r="G169" s="16"/>
    </row>
    <row r="170" ht="15.75" customHeight="1">
      <c r="A170" s="21"/>
      <c r="B170" s="15"/>
      <c r="F170" s="16"/>
      <c r="G170" s="16"/>
    </row>
    <row r="171" ht="15.75" customHeight="1">
      <c r="A171" s="21"/>
      <c r="B171" s="15"/>
      <c r="F171" s="16"/>
      <c r="G171" s="16"/>
    </row>
    <row r="172" ht="15.75" customHeight="1">
      <c r="A172" s="21"/>
      <c r="B172" s="15"/>
      <c r="F172" s="16"/>
      <c r="G172" s="16"/>
    </row>
    <row r="173" ht="15.75" customHeight="1">
      <c r="A173" s="21"/>
      <c r="B173" s="15"/>
      <c r="F173" s="16"/>
      <c r="G173" s="16"/>
    </row>
    <row r="174" ht="15.75" customHeight="1">
      <c r="A174" s="21"/>
      <c r="B174" s="15"/>
      <c r="F174" s="16"/>
      <c r="G174" s="16"/>
    </row>
    <row r="175" ht="15.75" customHeight="1">
      <c r="A175" s="21"/>
      <c r="B175" s="15"/>
      <c r="F175" s="16"/>
      <c r="G175" s="16"/>
    </row>
    <row r="176" ht="15.75" customHeight="1">
      <c r="A176" s="21"/>
      <c r="B176" s="15"/>
      <c r="F176" s="16"/>
      <c r="G176" s="16"/>
    </row>
    <row r="177" ht="15.75" customHeight="1">
      <c r="A177" s="21"/>
      <c r="B177" s="15"/>
      <c r="F177" s="16"/>
      <c r="G177" s="16"/>
    </row>
    <row r="178" ht="15.75" customHeight="1">
      <c r="A178" s="21"/>
      <c r="B178" s="15"/>
      <c r="F178" s="16"/>
      <c r="G178" s="16"/>
    </row>
    <row r="179" ht="15.75" customHeight="1">
      <c r="A179" s="21"/>
      <c r="B179" s="15"/>
      <c r="F179" s="16"/>
      <c r="G179" s="16"/>
    </row>
    <row r="180" ht="15.75" customHeight="1">
      <c r="A180" s="21"/>
      <c r="B180" s="15"/>
      <c r="F180" s="16"/>
      <c r="G180" s="16"/>
    </row>
    <row r="181" ht="15.75" customHeight="1">
      <c r="A181" s="21"/>
      <c r="B181" s="15"/>
      <c r="F181" s="16"/>
      <c r="G181" s="16"/>
    </row>
    <row r="182" ht="15.75" customHeight="1">
      <c r="A182" s="21"/>
      <c r="B182" s="15"/>
      <c r="F182" s="16"/>
      <c r="G182" s="16"/>
    </row>
    <row r="183" ht="15.75" customHeight="1">
      <c r="A183" s="21"/>
      <c r="B183" s="15"/>
      <c r="F183" s="16"/>
      <c r="G183" s="16"/>
    </row>
    <row r="184" ht="15.75" customHeight="1">
      <c r="A184" s="21"/>
      <c r="B184" s="15"/>
      <c r="F184" s="16"/>
      <c r="G184" s="16"/>
    </row>
    <row r="185" ht="15.75" customHeight="1">
      <c r="A185" s="21"/>
      <c r="B185" s="15"/>
      <c r="F185" s="16"/>
      <c r="G185" s="16"/>
    </row>
    <row r="186" ht="15.75" customHeight="1">
      <c r="A186" s="21"/>
      <c r="B186" s="15"/>
      <c r="F186" s="16"/>
      <c r="G186" s="16"/>
    </row>
    <row r="187" ht="15.75" customHeight="1">
      <c r="A187" s="21"/>
      <c r="B187" s="15"/>
      <c r="F187" s="16"/>
      <c r="G187" s="16"/>
    </row>
    <row r="188" ht="15.75" customHeight="1">
      <c r="A188" s="21"/>
      <c r="B188" s="15"/>
      <c r="F188" s="16"/>
      <c r="G188" s="16"/>
    </row>
    <row r="189" ht="15.75" customHeight="1">
      <c r="A189" s="21"/>
      <c r="B189" s="15"/>
      <c r="F189" s="16"/>
      <c r="G189" s="16"/>
    </row>
    <row r="190" ht="15.75" customHeight="1">
      <c r="A190" s="21"/>
      <c r="B190" s="15"/>
      <c r="F190" s="16"/>
      <c r="G190" s="16"/>
    </row>
    <row r="191" ht="15.75" customHeight="1">
      <c r="A191" s="21"/>
      <c r="B191" s="15"/>
      <c r="F191" s="16"/>
      <c r="G191" s="16"/>
    </row>
    <row r="192" ht="15.75" customHeight="1">
      <c r="A192" s="21"/>
      <c r="B192" s="15"/>
      <c r="F192" s="16"/>
      <c r="G192" s="16"/>
    </row>
    <row r="193" ht="15.75" customHeight="1">
      <c r="A193" s="21"/>
      <c r="B193" s="15"/>
      <c r="F193" s="16"/>
      <c r="G193" s="16"/>
    </row>
    <row r="194" ht="15.75" customHeight="1">
      <c r="A194" s="21"/>
      <c r="B194" s="15"/>
      <c r="F194" s="16"/>
      <c r="G194" s="16"/>
    </row>
    <row r="195" ht="15.75" customHeight="1">
      <c r="A195" s="21"/>
      <c r="B195" s="15"/>
      <c r="F195" s="16"/>
      <c r="G195" s="16"/>
    </row>
    <row r="196" ht="15.75" customHeight="1">
      <c r="A196" s="21"/>
      <c r="B196" s="15"/>
      <c r="F196" s="16"/>
      <c r="G196" s="16"/>
    </row>
    <row r="197" ht="15.75" customHeight="1">
      <c r="A197" s="21"/>
      <c r="B197" s="15"/>
      <c r="F197" s="16"/>
      <c r="G197" s="16"/>
    </row>
    <row r="198" ht="15.75" customHeight="1">
      <c r="A198" s="21"/>
      <c r="B198" s="15"/>
      <c r="F198" s="16"/>
      <c r="G198" s="16"/>
    </row>
    <row r="199" ht="15.75" customHeight="1">
      <c r="A199" s="21"/>
      <c r="B199" s="15"/>
      <c r="F199" s="16"/>
      <c r="G199" s="16"/>
    </row>
    <row r="200" ht="15.75" customHeight="1">
      <c r="A200" s="21"/>
      <c r="B200" s="15"/>
      <c r="F200" s="16"/>
      <c r="G200" s="16"/>
    </row>
    <row r="201" ht="15.75" customHeight="1">
      <c r="A201" s="21"/>
      <c r="B201" s="15"/>
      <c r="F201" s="16"/>
      <c r="G201" s="16"/>
    </row>
    <row r="202" ht="15.75" customHeight="1">
      <c r="A202" s="21"/>
      <c r="B202" s="15"/>
      <c r="F202" s="16"/>
      <c r="G202" s="16"/>
    </row>
    <row r="203" ht="15.75" customHeight="1">
      <c r="A203" s="21"/>
      <c r="B203" s="15"/>
      <c r="F203" s="16"/>
      <c r="G203" s="16"/>
    </row>
    <row r="204" ht="15.75" customHeight="1">
      <c r="A204" s="21"/>
      <c r="B204" s="15"/>
      <c r="F204" s="16"/>
      <c r="G204" s="16"/>
    </row>
    <row r="205" ht="15.75" customHeight="1">
      <c r="A205" s="21"/>
      <c r="B205" s="15"/>
      <c r="F205" s="16"/>
      <c r="G205" s="16"/>
    </row>
    <row r="206" ht="15.75" customHeight="1">
      <c r="A206" s="21"/>
      <c r="B206" s="15"/>
      <c r="F206" s="16"/>
      <c r="G206" s="16"/>
    </row>
    <row r="207" ht="15.75" customHeight="1">
      <c r="A207" s="21"/>
      <c r="B207" s="15"/>
      <c r="F207" s="16"/>
      <c r="G207" s="16"/>
    </row>
    <row r="208" ht="15.75" customHeight="1">
      <c r="A208" s="21"/>
      <c r="B208" s="15"/>
      <c r="F208" s="16"/>
      <c r="G208" s="16"/>
    </row>
    <row r="209" ht="15.75" customHeight="1">
      <c r="A209" s="21"/>
      <c r="B209" s="15"/>
      <c r="F209" s="16"/>
      <c r="G209" s="16"/>
    </row>
    <row r="210" ht="15.75" customHeight="1">
      <c r="A210" s="21"/>
      <c r="B210" s="15"/>
      <c r="F210" s="16"/>
      <c r="G210" s="16"/>
    </row>
    <row r="211" ht="15.75" customHeight="1">
      <c r="A211" s="21"/>
      <c r="B211" s="15"/>
      <c r="F211" s="16"/>
      <c r="G211" s="16"/>
    </row>
    <row r="212" ht="15.75" customHeight="1">
      <c r="A212" s="21"/>
      <c r="B212" s="15"/>
      <c r="F212" s="16"/>
      <c r="G212" s="16"/>
    </row>
    <row r="213" ht="15.75" customHeight="1">
      <c r="A213" s="21"/>
      <c r="B213" s="15"/>
      <c r="F213" s="16"/>
      <c r="G213" s="16"/>
    </row>
    <row r="214" ht="15.75" customHeight="1">
      <c r="A214" s="21"/>
      <c r="B214" s="15"/>
      <c r="F214" s="16"/>
      <c r="G214" s="16"/>
    </row>
    <row r="215" ht="15.75" customHeight="1">
      <c r="A215" s="21"/>
      <c r="B215" s="15"/>
      <c r="F215" s="16"/>
      <c r="G215" s="16"/>
    </row>
    <row r="216" ht="15.75" customHeight="1">
      <c r="A216" s="21"/>
      <c r="B216" s="15"/>
      <c r="F216" s="16"/>
      <c r="G216" s="16"/>
    </row>
    <row r="217" ht="15.75" customHeight="1">
      <c r="A217" s="21"/>
      <c r="B217" s="15"/>
      <c r="F217" s="16"/>
      <c r="G217" s="16"/>
    </row>
    <row r="218" ht="15.75" customHeight="1">
      <c r="A218" s="21"/>
      <c r="B218" s="15"/>
      <c r="F218" s="16"/>
      <c r="G218" s="16"/>
    </row>
    <row r="219" ht="15.75" customHeight="1">
      <c r="A219" s="21"/>
      <c r="B219" s="15"/>
      <c r="F219" s="16"/>
      <c r="G219" s="16"/>
    </row>
    <row r="220" ht="15.75" customHeight="1">
      <c r="A220" s="21"/>
      <c r="B220" s="15"/>
      <c r="F220" s="16"/>
      <c r="G220" s="16"/>
    </row>
    <row r="221" ht="15.75" customHeight="1">
      <c r="A221" s="21"/>
      <c r="B221" s="15"/>
      <c r="F221" s="16"/>
      <c r="G221" s="16"/>
    </row>
    <row r="222" ht="15.75" customHeight="1">
      <c r="A222" s="21"/>
      <c r="B222" s="15"/>
      <c r="F222" s="16"/>
      <c r="G222" s="16"/>
    </row>
    <row r="223" ht="15.75" customHeight="1">
      <c r="A223" s="21"/>
      <c r="B223" s="15"/>
      <c r="F223" s="16"/>
      <c r="G223" s="16"/>
    </row>
    <row r="224" ht="15.75" customHeight="1">
      <c r="A224" s="21"/>
      <c r="B224" s="15"/>
      <c r="F224" s="16"/>
      <c r="G224" s="16"/>
    </row>
    <row r="225" ht="15.75" customHeight="1">
      <c r="A225" s="21"/>
      <c r="B225" s="15"/>
      <c r="F225" s="16"/>
      <c r="G225" s="16"/>
    </row>
    <row r="226" ht="15.75" customHeight="1">
      <c r="A226" s="21"/>
      <c r="B226" s="15"/>
      <c r="F226" s="16"/>
      <c r="G226" s="16"/>
    </row>
    <row r="227" ht="15.75" customHeight="1">
      <c r="A227" s="21"/>
      <c r="B227" s="15"/>
      <c r="F227" s="16"/>
      <c r="G227" s="16"/>
    </row>
    <row r="228" ht="15.75" customHeight="1">
      <c r="A228" s="21"/>
      <c r="B228" s="15"/>
      <c r="F228" s="16"/>
      <c r="G228" s="16"/>
    </row>
    <row r="229" ht="15.75" customHeight="1">
      <c r="A229" s="21"/>
      <c r="B229" s="15"/>
      <c r="F229" s="16"/>
      <c r="G229" s="16"/>
    </row>
    <row r="230" ht="15.75" customHeight="1">
      <c r="A230" s="21"/>
      <c r="B230" s="15"/>
      <c r="F230" s="16"/>
      <c r="G230" s="16"/>
    </row>
    <row r="231" ht="15.75" customHeight="1">
      <c r="A231" s="21"/>
      <c r="B231" s="15"/>
      <c r="F231" s="16"/>
      <c r="G231" s="16"/>
    </row>
    <row r="232" ht="15.75" customHeight="1">
      <c r="A232" s="21"/>
      <c r="B232" s="15"/>
      <c r="F232" s="16"/>
      <c r="G232" s="16"/>
    </row>
    <row r="233" ht="15.75" customHeight="1">
      <c r="A233" s="21"/>
      <c r="B233" s="15"/>
      <c r="F233" s="16"/>
      <c r="G233" s="16"/>
    </row>
    <row r="234" ht="15.75" customHeight="1">
      <c r="A234" s="21"/>
      <c r="B234" s="15"/>
      <c r="F234" s="16"/>
      <c r="G234" s="16"/>
    </row>
    <row r="235" ht="15.75" customHeight="1">
      <c r="A235" s="21"/>
      <c r="B235" s="15"/>
      <c r="F235" s="16"/>
      <c r="G235" s="16"/>
    </row>
    <row r="236" ht="15.75" customHeight="1">
      <c r="A236" s="21"/>
      <c r="B236" s="15"/>
      <c r="F236" s="16"/>
      <c r="G236" s="16"/>
    </row>
    <row r="237" ht="15.75" customHeight="1">
      <c r="A237" s="21"/>
      <c r="B237" s="15"/>
      <c r="F237" s="16"/>
      <c r="G237" s="16"/>
    </row>
    <row r="238" ht="15.75" customHeight="1">
      <c r="A238" s="21"/>
      <c r="B238" s="15"/>
      <c r="F238" s="16"/>
      <c r="G238" s="16"/>
    </row>
    <row r="239" ht="15.75" customHeight="1">
      <c r="A239" s="21"/>
      <c r="B239" s="15"/>
      <c r="F239" s="16"/>
      <c r="G239" s="16"/>
    </row>
    <row r="240" ht="15.75" customHeight="1">
      <c r="A240" s="21"/>
      <c r="B240" s="15"/>
      <c r="F240" s="16"/>
      <c r="G240" s="16"/>
    </row>
    <row r="241" ht="15.75" customHeight="1">
      <c r="A241" s="21"/>
      <c r="B241" s="15"/>
      <c r="F241" s="16"/>
      <c r="G241" s="16"/>
    </row>
    <row r="242" ht="15.75" customHeight="1">
      <c r="A242" s="21"/>
      <c r="B242" s="15"/>
      <c r="F242" s="16"/>
      <c r="G242" s="16"/>
    </row>
    <row r="243" ht="15.75" customHeight="1">
      <c r="A243" s="21"/>
      <c r="B243" s="15"/>
      <c r="F243" s="16"/>
      <c r="G243" s="16"/>
    </row>
    <row r="244" ht="15.75" customHeight="1">
      <c r="A244" s="21"/>
      <c r="B244" s="15"/>
      <c r="F244" s="16"/>
      <c r="G244" s="16"/>
    </row>
    <row r="245" ht="15.75" customHeight="1">
      <c r="A245" s="21"/>
      <c r="B245" s="15"/>
      <c r="F245" s="16"/>
      <c r="G245" s="16"/>
    </row>
    <row r="246" ht="15.75" customHeight="1">
      <c r="A246" s="21"/>
      <c r="B246" s="15"/>
      <c r="F246" s="16"/>
      <c r="G246" s="16"/>
    </row>
    <row r="247" ht="15.75" customHeight="1">
      <c r="A247" s="21"/>
      <c r="B247" s="15"/>
      <c r="F247" s="16"/>
      <c r="G247" s="16"/>
    </row>
    <row r="248" ht="15.75" customHeight="1">
      <c r="A248" s="21"/>
      <c r="B248" s="15"/>
      <c r="F248" s="16"/>
      <c r="G248" s="16"/>
    </row>
    <row r="249" ht="15.75" customHeight="1">
      <c r="A249" s="21"/>
      <c r="B249" s="15"/>
      <c r="F249" s="16"/>
      <c r="G249" s="16"/>
    </row>
    <row r="250" ht="15.75" customHeight="1">
      <c r="A250" s="21"/>
      <c r="B250" s="15"/>
      <c r="F250" s="16"/>
      <c r="G250" s="16"/>
    </row>
    <row r="251" ht="15.75" customHeight="1">
      <c r="A251" s="21"/>
      <c r="B251" s="15"/>
      <c r="F251" s="16"/>
      <c r="G251" s="16"/>
    </row>
    <row r="252" ht="15.75" customHeight="1">
      <c r="A252" s="21"/>
      <c r="B252" s="15"/>
      <c r="F252" s="16"/>
      <c r="G252" s="16"/>
    </row>
    <row r="253" ht="15.75" customHeight="1">
      <c r="A253" s="21"/>
      <c r="B253" s="15"/>
      <c r="F253" s="16"/>
      <c r="G253" s="16"/>
    </row>
    <row r="254" ht="15.75" customHeight="1">
      <c r="A254" s="21"/>
      <c r="B254" s="15"/>
      <c r="F254" s="16"/>
      <c r="G254" s="16"/>
    </row>
    <row r="255" ht="15.75" customHeight="1">
      <c r="A255" s="21"/>
      <c r="B255" s="15"/>
      <c r="F255" s="16"/>
      <c r="G255" s="16"/>
    </row>
    <row r="256" ht="15.75" customHeight="1">
      <c r="A256" s="21"/>
      <c r="B256" s="15"/>
      <c r="F256" s="16"/>
      <c r="G256" s="16"/>
    </row>
    <row r="257" ht="15.75" customHeight="1">
      <c r="A257" s="21"/>
      <c r="B257" s="15"/>
      <c r="F257" s="16"/>
      <c r="G257" s="16"/>
    </row>
    <row r="258" ht="15.75" customHeight="1">
      <c r="A258" s="21"/>
      <c r="B258" s="15"/>
      <c r="F258" s="16"/>
      <c r="G258" s="16"/>
    </row>
    <row r="259" ht="15.75" customHeight="1">
      <c r="A259" s="21"/>
      <c r="B259" s="15"/>
      <c r="F259" s="16"/>
      <c r="G259" s="16"/>
    </row>
    <row r="260" ht="15.75" customHeight="1">
      <c r="A260" s="21"/>
      <c r="B260" s="15"/>
      <c r="F260" s="16"/>
      <c r="G260" s="16"/>
    </row>
    <row r="261" ht="15.75" customHeight="1">
      <c r="A261" s="21"/>
      <c r="B261" s="15"/>
      <c r="F261" s="16"/>
      <c r="G261" s="16"/>
    </row>
    <row r="262" ht="15.75" customHeight="1">
      <c r="A262" s="21"/>
      <c r="B262" s="15"/>
      <c r="F262" s="16"/>
      <c r="G262" s="16"/>
    </row>
    <row r="263" ht="15.75" customHeight="1">
      <c r="A263" s="21"/>
      <c r="B263" s="15"/>
      <c r="F263" s="16"/>
      <c r="G263" s="16"/>
    </row>
    <row r="264" ht="15.75" customHeight="1">
      <c r="A264" s="21"/>
      <c r="B264" s="15"/>
      <c r="F264" s="16"/>
      <c r="G264" s="16"/>
    </row>
    <row r="265" ht="15.75" customHeight="1">
      <c r="A265" s="21"/>
      <c r="B265" s="15"/>
      <c r="F265" s="16"/>
      <c r="G265" s="16"/>
    </row>
    <row r="266" ht="15.75" customHeight="1">
      <c r="A266" s="21"/>
      <c r="B266" s="15"/>
      <c r="F266" s="16"/>
      <c r="G266" s="16"/>
    </row>
    <row r="267" ht="15.75" customHeight="1">
      <c r="A267" s="21"/>
      <c r="B267" s="15"/>
      <c r="F267" s="16"/>
      <c r="G267" s="16"/>
    </row>
    <row r="268" ht="15.75" customHeight="1">
      <c r="A268" s="21"/>
      <c r="B268" s="15"/>
      <c r="F268" s="16"/>
      <c r="G268" s="16"/>
    </row>
    <row r="269" ht="15.75" customHeight="1">
      <c r="A269" s="21"/>
      <c r="B269" s="15"/>
      <c r="F269" s="16"/>
      <c r="G269" s="16"/>
    </row>
    <row r="270" ht="15.75" customHeight="1">
      <c r="A270" s="21"/>
      <c r="B270" s="15"/>
      <c r="F270" s="16"/>
      <c r="G270" s="16"/>
    </row>
    <row r="271" ht="15.75" customHeight="1">
      <c r="A271" s="21"/>
      <c r="B271" s="15"/>
      <c r="F271" s="16"/>
      <c r="G271" s="16"/>
    </row>
    <row r="272" ht="15.75" customHeight="1">
      <c r="A272" s="21"/>
      <c r="B272" s="15"/>
      <c r="F272" s="16"/>
      <c r="G272" s="16"/>
    </row>
    <row r="273" ht="15.75" customHeight="1">
      <c r="A273" s="21"/>
      <c r="B273" s="15"/>
      <c r="F273" s="16"/>
      <c r="G273" s="16"/>
    </row>
    <row r="274" ht="15.75" customHeight="1">
      <c r="A274" s="21"/>
      <c r="B274" s="15"/>
      <c r="F274" s="16"/>
      <c r="G274" s="16"/>
    </row>
    <row r="275" ht="15.75" customHeight="1">
      <c r="A275" s="21"/>
      <c r="B275" s="15"/>
      <c r="F275" s="16"/>
      <c r="G275" s="16"/>
    </row>
    <row r="276" ht="15.75" customHeight="1">
      <c r="A276" s="21"/>
      <c r="B276" s="15"/>
      <c r="F276" s="16"/>
      <c r="G276" s="16"/>
    </row>
    <row r="277" ht="15.75" customHeight="1">
      <c r="A277" s="21"/>
      <c r="B277" s="15"/>
      <c r="F277" s="16"/>
      <c r="G277" s="16"/>
    </row>
    <row r="278" ht="15.75" customHeight="1">
      <c r="A278" s="21"/>
      <c r="B278" s="15"/>
      <c r="F278" s="16"/>
      <c r="G278" s="16"/>
    </row>
    <row r="279" ht="15.75" customHeight="1">
      <c r="A279" s="21"/>
      <c r="B279" s="15"/>
      <c r="F279" s="16"/>
      <c r="G279" s="16"/>
    </row>
    <row r="280" ht="15.75" customHeight="1">
      <c r="A280" s="21"/>
      <c r="B280" s="15"/>
      <c r="F280" s="16"/>
      <c r="G280" s="16"/>
    </row>
    <row r="281" ht="15.75" customHeight="1">
      <c r="A281" s="21"/>
      <c r="B281" s="15"/>
      <c r="F281" s="16"/>
      <c r="G281" s="16"/>
    </row>
    <row r="282" ht="15.75" customHeight="1">
      <c r="A282" s="21"/>
      <c r="B282" s="15"/>
      <c r="F282" s="16"/>
      <c r="G282" s="16"/>
    </row>
    <row r="283" ht="15.75" customHeight="1">
      <c r="A283" s="21"/>
      <c r="B283" s="15"/>
      <c r="F283" s="16"/>
      <c r="G283" s="16"/>
    </row>
    <row r="284" ht="15.75" customHeight="1">
      <c r="A284" s="21"/>
      <c r="B284" s="15"/>
      <c r="F284" s="16"/>
      <c r="G284" s="16"/>
    </row>
    <row r="285" ht="15.75" customHeight="1">
      <c r="A285" s="21"/>
      <c r="B285" s="15"/>
      <c r="F285" s="16"/>
      <c r="G285" s="16"/>
    </row>
    <row r="286" ht="15.75" customHeight="1">
      <c r="A286" s="21"/>
      <c r="B286" s="15"/>
      <c r="F286" s="16"/>
      <c r="G286" s="16"/>
    </row>
    <row r="287" ht="15.75" customHeight="1">
      <c r="A287" s="21"/>
      <c r="B287" s="15"/>
      <c r="F287" s="16"/>
      <c r="G287" s="16"/>
    </row>
    <row r="288" ht="15.75" customHeight="1">
      <c r="A288" s="21"/>
      <c r="B288" s="15"/>
      <c r="F288" s="16"/>
      <c r="G288" s="16"/>
    </row>
    <row r="289" ht="15.75" customHeight="1">
      <c r="A289" s="21"/>
      <c r="B289" s="15"/>
      <c r="F289" s="16"/>
      <c r="G289" s="16"/>
    </row>
    <row r="290" ht="15.75" customHeight="1">
      <c r="A290" s="21"/>
      <c r="B290" s="15"/>
      <c r="F290" s="16"/>
      <c r="G290" s="16"/>
    </row>
    <row r="291" ht="15.75" customHeight="1">
      <c r="A291" s="21"/>
      <c r="B291" s="15"/>
      <c r="F291" s="16"/>
      <c r="G291" s="16"/>
    </row>
    <row r="292" ht="15.75" customHeight="1">
      <c r="A292" s="21"/>
      <c r="B292" s="15"/>
      <c r="F292" s="16"/>
      <c r="G292" s="16"/>
    </row>
    <row r="293" ht="15.75" customHeight="1">
      <c r="A293" s="21"/>
      <c r="B293" s="15"/>
      <c r="F293" s="16"/>
      <c r="G293" s="16"/>
    </row>
    <row r="294" ht="15.75" customHeight="1">
      <c r="A294" s="21"/>
      <c r="B294" s="15"/>
      <c r="F294" s="16"/>
      <c r="G294" s="16"/>
    </row>
    <row r="295" ht="15.75" customHeight="1">
      <c r="A295" s="21"/>
      <c r="B295" s="15"/>
      <c r="F295" s="16"/>
      <c r="G295" s="16"/>
    </row>
    <row r="296" ht="15.75" customHeight="1">
      <c r="A296" s="21"/>
      <c r="B296" s="15"/>
      <c r="F296" s="16"/>
      <c r="G296" s="16"/>
    </row>
    <row r="297" ht="15.75" customHeight="1">
      <c r="A297" s="21"/>
      <c r="B297" s="15"/>
      <c r="F297" s="16"/>
      <c r="G297" s="16"/>
    </row>
    <row r="298" ht="15.75" customHeight="1">
      <c r="A298" s="21"/>
      <c r="B298" s="15"/>
      <c r="F298" s="16"/>
      <c r="G298" s="16"/>
    </row>
    <row r="299" ht="15.75" customHeight="1">
      <c r="A299" s="21"/>
      <c r="B299" s="15"/>
      <c r="F299" s="16"/>
      <c r="G299" s="16"/>
    </row>
    <row r="300" ht="15.75" customHeight="1">
      <c r="A300" s="21"/>
      <c r="B300" s="15"/>
      <c r="F300" s="16"/>
      <c r="G300" s="16"/>
    </row>
    <row r="301" ht="15.75" customHeight="1">
      <c r="A301" s="21"/>
      <c r="B301" s="15"/>
      <c r="F301" s="16"/>
      <c r="G301" s="16"/>
    </row>
    <row r="302" ht="15.75" customHeight="1">
      <c r="A302" s="21"/>
      <c r="B302" s="15"/>
      <c r="F302" s="16"/>
      <c r="G302" s="16"/>
    </row>
    <row r="303" ht="15.75" customHeight="1">
      <c r="A303" s="21"/>
      <c r="B303" s="15"/>
      <c r="F303" s="16"/>
      <c r="G303" s="16"/>
    </row>
    <row r="304" ht="15.75" customHeight="1">
      <c r="A304" s="21"/>
      <c r="B304" s="15"/>
      <c r="F304" s="16"/>
      <c r="G304" s="16"/>
    </row>
    <row r="305" ht="15.75" customHeight="1">
      <c r="A305" s="21"/>
      <c r="B305" s="15"/>
      <c r="F305" s="16"/>
      <c r="G305" s="16"/>
    </row>
    <row r="306" ht="15.75" customHeight="1">
      <c r="A306" s="21"/>
      <c r="B306" s="15"/>
      <c r="F306" s="16"/>
      <c r="G306" s="16"/>
    </row>
    <row r="307" ht="15.75" customHeight="1">
      <c r="A307" s="21"/>
      <c r="B307" s="15"/>
      <c r="F307" s="16"/>
      <c r="G307" s="16"/>
    </row>
    <row r="308" ht="15.75" customHeight="1">
      <c r="A308" s="21"/>
      <c r="B308" s="15"/>
      <c r="F308" s="16"/>
      <c r="G308" s="16"/>
    </row>
    <row r="309" ht="15.75" customHeight="1">
      <c r="A309" s="21"/>
      <c r="B309" s="15"/>
      <c r="F309" s="16"/>
      <c r="G309" s="16"/>
    </row>
    <row r="310" ht="15.75" customHeight="1">
      <c r="A310" s="21"/>
      <c r="B310" s="15"/>
      <c r="F310" s="16"/>
      <c r="G310" s="16"/>
    </row>
    <row r="311" ht="15.75" customHeight="1">
      <c r="A311" s="21"/>
      <c r="B311" s="15"/>
      <c r="F311" s="16"/>
      <c r="G311" s="16"/>
    </row>
    <row r="312" ht="15.75" customHeight="1">
      <c r="A312" s="21"/>
      <c r="B312" s="15"/>
      <c r="F312" s="16"/>
      <c r="G312" s="16"/>
    </row>
    <row r="313" ht="15.75" customHeight="1">
      <c r="A313" s="21"/>
      <c r="B313" s="15"/>
      <c r="F313" s="16"/>
      <c r="G313" s="16"/>
    </row>
    <row r="314" ht="15.75" customHeight="1">
      <c r="A314" s="21"/>
      <c r="B314" s="15"/>
      <c r="F314" s="16"/>
      <c r="G314" s="16"/>
    </row>
    <row r="315" ht="15.75" customHeight="1">
      <c r="A315" s="21"/>
      <c r="B315" s="15"/>
      <c r="F315" s="16"/>
      <c r="G315" s="16"/>
    </row>
    <row r="316" ht="15.75" customHeight="1">
      <c r="A316" s="21"/>
      <c r="B316" s="15"/>
      <c r="F316" s="16"/>
      <c r="G316" s="16"/>
    </row>
    <row r="317" ht="15.75" customHeight="1">
      <c r="A317" s="21"/>
      <c r="B317" s="15"/>
      <c r="F317" s="16"/>
      <c r="G317" s="16"/>
    </row>
    <row r="318" ht="15.75" customHeight="1">
      <c r="A318" s="21"/>
      <c r="B318" s="15"/>
      <c r="F318" s="16"/>
      <c r="G318" s="16"/>
    </row>
    <row r="319" ht="15.75" customHeight="1">
      <c r="A319" s="21"/>
      <c r="B319" s="15"/>
      <c r="F319" s="16"/>
      <c r="G319" s="16"/>
    </row>
    <row r="320" ht="15.75" customHeight="1">
      <c r="A320" s="21"/>
      <c r="B320" s="15"/>
      <c r="F320" s="16"/>
      <c r="G320" s="16"/>
    </row>
    <row r="321" ht="15.75" customHeight="1">
      <c r="A321" s="21"/>
      <c r="B321" s="15"/>
      <c r="F321" s="16"/>
      <c r="G321" s="16"/>
    </row>
    <row r="322" ht="15.75" customHeight="1">
      <c r="A322" s="21"/>
      <c r="B322" s="15"/>
      <c r="F322" s="16"/>
      <c r="G322" s="16"/>
    </row>
    <row r="323" ht="15.75" customHeight="1">
      <c r="A323" s="21"/>
      <c r="B323" s="15"/>
      <c r="F323" s="16"/>
      <c r="G323" s="16"/>
    </row>
    <row r="324" ht="15.75" customHeight="1">
      <c r="A324" s="21"/>
      <c r="B324" s="15"/>
      <c r="F324" s="16"/>
      <c r="G324" s="16"/>
    </row>
    <row r="325" ht="15.75" customHeight="1">
      <c r="A325" s="21"/>
      <c r="B325" s="15"/>
      <c r="F325" s="16"/>
      <c r="G325" s="16"/>
    </row>
    <row r="326" ht="15.75" customHeight="1">
      <c r="A326" s="21"/>
      <c r="B326" s="15"/>
      <c r="F326" s="16"/>
      <c r="G326" s="16"/>
    </row>
    <row r="327" ht="15.75" customHeight="1">
      <c r="A327" s="21"/>
      <c r="B327" s="15"/>
      <c r="F327" s="16"/>
      <c r="G327" s="16"/>
    </row>
    <row r="328" ht="15.75" customHeight="1">
      <c r="A328" s="21"/>
      <c r="B328" s="15"/>
      <c r="F328" s="16"/>
      <c r="G328" s="16"/>
    </row>
    <row r="329" ht="15.75" customHeight="1">
      <c r="A329" s="21"/>
      <c r="B329" s="15"/>
      <c r="F329" s="16"/>
      <c r="G329" s="16"/>
    </row>
    <row r="330" ht="15.75" customHeight="1">
      <c r="A330" s="21"/>
      <c r="B330" s="15"/>
      <c r="F330" s="16"/>
      <c r="G330" s="16"/>
    </row>
    <row r="331" ht="15.75" customHeight="1">
      <c r="A331" s="21"/>
      <c r="B331" s="15"/>
      <c r="F331" s="16"/>
      <c r="G331" s="16"/>
    </row>
    <row r="332" ht="15.75" customHeight="1">
      <c r="A332" s="21"/>
      <c r="B332" s="15"/>
      <c r="F332" s="16"/>
      <c r="G332" s="16"/>
    </row>
    <row r="333" ht="15.75" customHeight="1">
      <c r="A333" s="21"/>
      <c r="B333" s="15"/>
      <c r="F333" s="16"/>
      <c r="G333" s="16"/>
    </row>
    <row r="334" ht="15.75" customHeight="1">
      <c r="A334" s="21"/>
      <c r="B334" s="15"/>
      <c r="F334" s="16"/>
      <c r="G334" s="16"/>
    </row>
    <row r="335" ht="15.75" customHeight="1">
      <c r="A335" s="21"/>
      <c r="B335" s="15"/>
      <c r="F335" s="16"/>
      <c r="G335" s="16"/>
    </row>
    <row r="336" ht="15.75" customHeight="1">
      <c r="A336" s="21"/>
      <c r="B336" s="15"/>
      <c r="F336" s="16"/>
      <c r="G336" s="16"/>
    </row>
    <row r="337" ht="15.75" customHeight="1">
      <c r="A337" s="21"/>
      <c r="B337" s="15"/>
      <c r="F337" s="16"/>
      <c r="G337" s="16"/>
    </row>
    <row r="338" ht="15.75" customHeight="1">
      <c r="A338" s="21"/>
      <c r="B338" s="15"/>
      <c r="F338" s="16"/>
      <c r="G338" s="16"/>
    </row>
    <row r="339" ht="15.75" customHeight="1">
      <c r="A339" s="21"/>
      <c r="B339" s="15"/>
      <c r="F339" s="16"/>
      <c r="G339" s="16"/>
    </row>
    <row r="340" ht="15.75" customHeight="1">
      <c r="A340" s="21"/>
      <c r="B340" s="15"/>
      <c r="F340" s="16"/>
      <c r="G340" s="16"/>
    </row>
    <row r="341" ht="15.75" customHeight="1">
      <c r="A341" s="21"/>
      <c r="B341" s="15"/>
      <c r="F341" s="16"/>
      <c r="G341" s="16"/>
    </row>
    <row r="342" ht="15.75" customHeight="1">
      <c r="A342" s="21"/>
      <c r="B342" s="15"/>
      <c r="F342" s="16"/>
      <c r="G342" s="16"/>
    </row>
    <row r="343" ht="15.75" customHeight="1">
      <c r="A343" s="21"/>
      <c r="B343" s="15"/>
      <c r="F343" s="16"/>
      <c r="G343" s="16"/>
    </row>
    <row r="344" ht="15.75" customHeight="1">
      <c r="A344" s="21"/>
      <c r="B344" s="15"/>
      <c r="F344" s="16"/>
      <c r="G344" s="16"/>
    </row>
    <row r="345" ht="15.75" customHeight="1">
      <c r="A345" s="21"/>
      <c r="B345" s="15"/>
      <c r="F345" s="16"/>
      <c r="G345" s="16"/>
    </row>
    <row r="346" ht="15.75" customHeight="1">
      <c r="A346" s="21"/>
      <c r="B346" s="15"/>
      <c r="F346" s="16"/>
      <c r="G346" s="16"/>
    </row>
    <row r="347" ht="15.75" customHeight="1">
      <c r="A347" s="21"/>
      <c r="B347" s="15"/>
      <c r="F347" s="16"/>
      <c r="G347" s="16"/>
    </row>
    <row r="348" ht="15.75" customHeight="1">
      <c r="A348" s="21"/>
      <c r="B348" s="15"/>
      <c r="F348" s="16"/>
      <c r="G348" s="16"/>
    </row>
    <row r="349" ht="15.75" customHeight="1">
      <c r="A349" s="21"/>
      <c r="B349" s="15"/>
      <c r="F349" s="16"/>
      <c r="G349" s="16"/>
    </row>
    <row r="350" ht="15.75" customHeight="1">
      <c r="A350" s="21"/>
      <c r="B350" s="15"/>
      <c r="F350" s="16"/>
      <c r="G350" s="16"/>
    </row>
    <row r="351" ht="15.75" customHeight="1">
      <c r="A351" s="21"/>
      <c r="B351" s="15"/>
      <c r="F351" s="16"/>
      <c r="G351" s="16"/>
    </row>
    <row r="352" ht="15.75" customHeight="1">
      <c r="A352" s="21"/>
      <c r="B352" s="15"/>
      <c r="F352" s="16"/>
      <c r="G352" s="16"/>
    </row>
    <row r="353" ht="15.75" customHeight="1">
      <c r="A353" s="21"/>
      <c r="B353" s="15"/>
      <c r="F353" s="16"/>
      <c r="G353" s="16"/>
    </row>
    <row r="354" ht="15.75" customHeight="1">
      <c r="A354" s="21"/>
      <c r="B354" s="15"/>
      <c r="F354" s="16"/>
      <c r="G354" s="16"/>
    </row>
    <row r="355" ht="15.75" customHeight="1">
      <c r="A355" s="21"/>
      <c r="B355" s="15"/>
      <c r="F355" s="16"/>
      <c r="G355" s="16"/>
    </row>
    <row r="356" ht="15.75" customHeight="1">
      <c r="A356" s="21"/>
      <c r="B356" s="15"/>
      <c r="F356" s="16"/>
      <c r="G356" s="16"/>
    </row>
    <row r="357" ht="15.75" customHeight="1">
      <c r="A357" s="21"/>
      <c r="B357" s="15"/>
      <c r="F357" s="16"/>
      <c r="G357" s="16"/>
    </row>
    <row r="358" ht="15.75" customHeight="1">
      <c r="A358" s="21"/>
      <c r="B358" s="15"/>
      <c r="F358" s="16"/>
      <c r="G358" s="16"/>
    </row>
    <row r="359" ht="15.75" customHeight="1">
      <c r="A359" s="21"/>
      <c r="B359" s="15"/>
      <c r="F359" s="16"/>
      <c r="G359" s="16"/>
    </row>
    <row r="360" ht="15.75" customHeight="1">
      <c r="A360" s="21"/>
      <c r="B360" s="15"/>
      <c r="F360" s="16"/>
      <c r="G360" s="16"/>
    </row>
    <row r="361" ht="15.75" customHeight="1">
      <c r="A361" s="21"/>
      <c r="B361" s="15"/>
      <c r="F361" s="16"/>
      <c r="G361" s="16"/>
    </row>
    <row r="362" ht="15.75" customHeight="1">
      <c r="A362" s="21"/>
      <c r="B362" s="15"/>
      <c r="F362" s="16"/>
      <c r="G362" s="16"/>
    </row>
    <row r="363" ht="15.75" customHeight="1">
      <c r="A363" s="21"/>
      <c r="B363" s="15"/>
      <c r="F363" s="16"/>
      <c r="G363" s="16"/>
    </row>
    <row r="364" ht="15.75" customHeight="1">
      <c r="A364" s="21"/>
      <c r="B364" s="15"/>
      <c r="F364" s="16"/>
      <c r="G364" s="16"/>
    </row>
    <row r="365" ht="15.75" customHeight="1">
      <c r="A365" s="21"/>
      <c r="B365" s="15"/>
      <c r="F365" s="16"/>
      <c r="G365" s="16"/>
    </row>
    <row r="366" ht="15.75" customHeight="1">
      <c r="A366" s="21"/>
      <c r="B366" s="15"/>
      <c r="F366" s="16"/>
      <c r="G366" s="16"/>
    </row>
    <row r="367" ht="15.75" customHeight="1">
      <c r="A367" s="21"/>
      <c r="B367" s="15"/>
      <c r="F367" s="16"/>
      <c r="G367" s="16"/>
    </row>
    <row r="368" ht="15.75" customHeight="1">
      <c r="A368" s="21"/>
      <c r="B368" s="15"/>
      <c r="F368" s="16"/>
      <c r="G368" s="16"/>
    </row>
    <row r="369" ht="15.75" customHeight="1">
      <c r="A369" s="21"/>
      <c r="B369" s="15"/>
      <c r="F369" s="16"/>
      <c r="G369" s="16"/>
    </row>
    <row r="370" ht="15.75" customHeight="1">
      <c r="A370" s="21"/>
      <c r="B370" s="15"/>
      <c r="F370" s="16"/>
      <c r="G370" s="16"/>
    </row>
    <row r="371" ht="15.75" customHeight="1">
      <c r="A371" s="21"/>
      <c r="B371" s="15"/>
      <c r="F371" s="16"/>
      <c r="G371" s="16"/>
    </row>
    <row r="372" ht="15.75" customHeight="1">
      <c r="A372" s="21"/>
      <c r="B372" s="15"/>
      <c r="F372" s="16"/>
      <c r="G372" s="16"/>
    </row>
    <row r="373" ht="15.75" customHeight="1">
      <c r="A373" s="21"/>
      <c r="B373" s="15"/>
      <c r="F373" s="16"/>
      <c r="G373" s="16"/>
    </row>
    <row r="374" ht="15.75" customHeight="1">
      <c r="A374" s="21"/>
      <c r="B374" s="15"/>
      <c r="F374" s="16"/>
      <c r="G374" s="16"/>
    </row>
    <row r="375" ht="15.75" customHeight="1">
      <c r="A375" s="21"/>
      <c r="B375" s="15"/>
      <c r="F375" s="16"/>
      <c r="G375" s="16"/>
    </row>
    <row r="376" ht="15.75" customHeight="1">
      <c r="A376" s="21"/>
      <c r="B376" s="15"/>
      <c r="F376" s="16"/>
      <c r="G376" s="16"/>
    </row>
    <row r="377" ht="15.75" customHeight="1">
      <c r="A377" s="21"/>
      <c r="B377" s="15"/>
      <c r="F377" s="16"/>
      <c r="G377" s="16"/>
    </row>
    <row r="378" ht="15.75" customHeight="1">
      <c r="A378" s="21"/>
      <c r="B378" s="15"/>
      <c r="F378" s="16"/>
      <c r="G378" s="16"/>
    </row>
    <row r="379" ht="15.75" customHeight="1">
      <c r="A379" s="21"/>
      <c r="B379" s="15"/>
      <c r="F379" s="16"/>
      <c r="G379" s="16"/>
    </row>
    <row r="380" ht="15.75" customHeight="1">
      <c r="A380" s="21"/>
      <c r="B380" s="15"/>
      <c r="F380" s="16"/>
      <c r="G380" s="16"/>
    </row>
    <row r="381" ht="15.75" customHeight="1">
      <c r="A381" s="21"/>
      <c r="B381" s="15"/>
      <c r="F381" s="16"/>
      <c r="G381" s="16"/>
    </row>
    <row r="382" ht="15.75" customHeight="1">
      <c r="A382" s="21"/>
      <c r="B382" s="15"/>
      <c r="F382" s="16"/>
      <c r="G382" s="16"/>
    </row>
    <row r="383" ht="15.75" customHeight="1">
      <c r="A383" s="21"/>
      <c r="B383" s="15"/>
      <c r="F383" s="16"/>
      <c r="G383" s="16"/>
    </row>
    <row r="384" ht="15.75" customHeight="1">
      <c r="A384" s="21"/>
      <c r="B384" s="15"/>
      <c r="F384" s="16"/>
      <c r="G384" s="16"/>
    </row>
    <row r="385" ht="15.75" customHeight="1">
      <c r="A385" s="21"/>
      <c r="B385" s="15"/>
      <c r="F385" s="16"/>
      <c r="G385" s="16"/>
    </row>
    <row r="386" ht="15.75" customHeight="1">
      <c r="A386" s="21"/>
      <c r="B386" s="15"/>
      <c r="F386" s="16"/>
      <c r="G386" s="16"/>
    </row>
    <row r="387" ht="15.75" customHeight="1">
      <c r="A387" s="21"/>
      <c r="B387" s="15"/>
      <c r="F387" s="16"/>
      <c r="G387" s="16"/>
    </row>
    <row r="388" ht="15.75" customHeight="1">
      <c r="A388" s="21"/>
      <c r="B388" s="15"/>
      <c r="F388" s="16"/>
      <c r="G388" s="16"/>
    </row>
    <row r="389" ht="15.75" customHeight="1">
      <c r="A389" s="21"/>
      <c r="B389" s="15"/>
      <c r="F389" s="16"/>
      <c r="G389" s="16"/>
    </row>
    <row r="390" ht="15.75" customHeight="1">
      <c r="A390" s="21"/>
      <c r="B390" s="15"/>
      <c r="F390" s="16"/>
      <c r="G390" s="16"/>
    </row>
    <row r="391" ht="15.75" customHeight="1">
      <c r="A391" s="21"/>
      <c r="B391" s="15"/>
      <c r="F391" s="16"/>
      <c r="G391" s="16"/>
    </row>
    <row r="392" ht="15.75" customHeight="1">
      <c r="A392" s="21"/>
      <c r="B392" s="15"/>
      <c r="F392" s="16"/>
      <c r="G392" s="16"/>
    </row>
    <row r="393" ht="15.75" customHeight="1">
      <c r="A393" s="21"/>
      <c r="B393" s="15"/>
      <c r="F393" s="16"/>
      <c r="G393" s="16"/>
    </row>
    <row r="394" ht="15.75" customHeight="1">
      <c r="A394" s="21"/>
      <c r="B394" s="15"/>
      <c r="F394" s="16"/>
      <c r="G394" s="16"/>
    </row>
    <row r="395" ht="15.75" customHeight="1">
      <c r="A395" s="21"/>
      <c r="B395" s="15"/>
      <c r="F395" s="16"/>
      <c r="G395" s="16"/>
    </row>
    <row r="396" ht="15.75" customHeight="1">
      <c r="A396" s="21"/>
      <c r="B396" s="15"/>
      <c r="F396" s="16"/>
      <c r="G396" s="16"/>
    </row>
    <row r="397" ht="15.75" customHeight="1">
      <c r="A397" s="21"/>
      <c r="B397" s="15"/>
      <c r="F397" s="16"/>
      <c r="G397" s="16"/>
    </row>
    <row r="398" ht="15.75" customHeight="1">
      <c r="A398" s="21"/>
      <c r="B398" s="15"/>
      <c r="F398" s="16"/>
      <c r="G398" s="16"/>
    </row>
    <row r="399" ht="15.75" customHeight="1">
      <c r="A399" s="21"/>
      <c r="B399" s="15"/>
      <c r="F399" s="16"/>
      <c r="G399" s="16"/>
    </row>
    <row r="400" ht="15.75" customHeight="1">
      <c r="A400" s="21"/>
      <c r="B400" s="15"/>
      <c r="F400" s="16"/>
      <c r="G400" s="16"/>
    </row>
    <row r="401" ht="15.75" customHeight="1">
      <c r="A401" s="21"/>
      <c r="B401" s="15"/>
      <c r="F401" s="16"/>
      <c r="G401" s="16"/>
    </row>
    <row r="402" ht="15.75" customHeight="1">
      <c r="A402" s="21"/>
      <c r="B402" s="15"/>
      <c r="F402" s="16"/>
      <c r="G402" s="16"/>
    </row>
    <row r="403" ht="15.75" customHeight="1">
      <c r="A403" s="21"/>
      <c r="B403" s="15"/>
      <c r="F403" s="16"/>
      <c r="G403" s="16"/>
    </row>
    <row r="404" ht="15.75" customHeight="1">
      <c r="A404" s="21"/>
      <c r="B404" s="15"/>
      <c r="F404" s="16"/>
      <c r="G404" s="16"/>
    </row>
    <row r="405" ht="15.75" customHeight="1">
      <c r="A405" s="21"/>
      <c r="B405" s="15"/>
      <c r="F405" s="16"/>
      <c r="G405" s="16"/>
    </row>
    <row r="406" ht="15.75" customHeight="1">
      <c r="A406" s="21"/>
      <c r="B406" s="15"/>
      <c r="F406" s="16"/>
      <c r="G406" s="16"/>
    </row>
    <row r="407" ht="15.75" customHeight="1">
      <c r="A407" s="21"/>
      <c r="B407" s="15"/>
      <c r="F407" s="16"/>
      <c r="G407" s="16"/>
    </row>
    <row r="408" ht="15.75" customHeight="1">
      <c r="A408" s="21"/>
      <c r="B408" s="15"/>
      <c r="F408" s="16"/>
      <c r="G408" s="16"/>
    </row>
    <row r="409" ht="15.75" customHeight="1">
      <c r="A409" s="21"/>
      <c r="B409" s="15"/>
      <c r="F409" s="16"/>
      <c r="G409" s="16"/>
    </row>
    <row r="410" ht="15.75" customHeight="1">
      <c r="A410" s="21"/>
      <c r="B410" s="15"/>
      <c r="F410" s="16"/>
      <c r="G410" s="16"/>
    </row>
    <row r="411" ht="15.75" customHeight="1">
      <c r="A411" s="21"/>
      <c r="B411" s="15"/>
      <c r="F411" s="16"/>
      <c r="G411" s="16"/>
    </row>
    <row r="412" ht="15.75" customHeight="1">
      <c r="A412" s="21"/>
      <c r="B412" s="15"/>
      <c r="F412" s="16"/>
      <c r="G412" s="16"/>
    </row>
    <row r="413" ht="15.75" customHeight="1">
      <c r="A413" s="21"/>
      <c r="B413" s="15"/>
      <c r="F413" s="16"/>
      <c r="G413" s="16"/>
    </row>
    <row r="414" ht="15.75" customHeight="1">
      <c r="A414" s="21"/>
      <c r="B414" s="15"/>
      <c r="F414" s="16"/>
      <c r="G414" s="16"/>
    </row>
    <row r="415" ht="15.75" customHeight="1">
      <c r="A415" s="21"/>
      <c r="B415" s="15"/>
      <c r="F415" s="16"/>
      <c r="G415" s="16"/>
    </row>
    <row r="416" ht="15.75" customHeight="1">
      <c r="A416" s="21"/>
      <c r="B416" s="15"/>
      <c r="F416" s="16"/>
      <c r="G416" s="16"/>
    </row>
    <row r="417" ht="15.75" customHeight="1">
      <c r="A417" s="21"/>
      <c r="B417" s="15"/>
      <c r="F417" s="16"/>
      <c r="G417" s="16"/>
    </row>
    <row r="418" ht="15.75" customHeight="1">
      <c r="A418" s="21"/>
      <c r="B418" s="15"/>
      <c r="F418" s="16"/>
      <c r="G418" s="16"/>
    </row>
    <row r="419" ht="15.75" customHeight="1">
      <c r="A419" s="21"/>
      <c r="B419" s="15"/>
      <c r="F419" s="16"/>
      <c r="G419" s="16"/>
    </row>
    <row r="420" ht="15.75" customHeight="1">
      <c r="A420" s="21"/>
      <c r="B420" s="15"/>
      <c r="F420" s="16"/>
      <c r="G420" s="16"/>
    </row>
    <row r="421" ht="15.75" customHeight="1">
      <c r="A421" s="21"/>
      <c r="B421" s="15"/>
      <c r="F421" s="16"/>
      <c r="G421" s="16"/>
    </row>
    <row r="422" ht="15.75" customHeight="1">
      <c r="A422" s="21"/>
      <c r="B422" s="15"/>
      <c r="F422" s="16"/>
      <c r="G422" s="16"/>
    </row>
    <row r="423" ht="15.75" customHeight="1">
      <c r="A423" s="21"/>
      <c r="B423" s="15"/>
      <c r="F423" s="16"/>
      <c r="G423" s="16"/>
    </row>
    <row r="424" ht="15.75" customHeight="1">
      <c r="A424" s="21"/>
      <c r="B424" s="15"/>
      <c r="F424" s="16"/>
      <c r="G424" s="16"/>
    </row>
    <row r="425" ht="15.75" customHeight="1">
      <c r="A425" s="21"/>
      <c r="B425" s="15"/>
      <c r="F425" s="16"/>
      <c r="G425" s="16"/>
    </row>
    <row r="426" ht="15.75" customHeight="1">
      <c r="A426" s="21"/>
      <c r="B426" s="15"/>
      <c r="F426" s="16"/>
      <c r="G426" s="16"/>
    </row>
    <row r="427" ht="15.75" customHeight="1">
      <c r="A427" s="21"/>
      <c r="B427" s="15"/>
      <c r="F427" s="16"/>
      <c r="G427" s="16"/>
    </row>
    <row r="428" ht="15.75" customHeight="1">
      <c r="A428" s="21"/>
      <c r="B428" s="15"/>
      <c r="F428" s="16"/>
      <c r="G428" s="16"/>
    </row>
    <row r="429" ht="15.75" customHeight="1">
      <c r="A429" s="21"/>
      <c r="B429" s="15"/>
      <c r="F429" s="16"/>
      <c r="G429" s="16"/>
    </row>
    <row r="430" ht="15.75" customHeight="1">
      <c r="A430" s="21"/>
      <c r="B430" s="15"/>
      <c r="F430" s="16"/>
      <c r="G430" s="16"/>
    </row>
    <row r="431" ht="15.75" customHeight="1">
      <c r="A431" s="21"/>
      <c r="B431" s="15"/>
      <c r="F431" s="16"/>
      <c r="G431" s="16"/>
    </row>
    <row r="432" ht="15.75" customHeight="1">
      <c r="A432" s="21"/>
      <c r="B432" s="15"/>
      <c r="F432" s="16"/>
      <c r="G432" s="16"/>
    </row>
    <row r="433" ht="15.75" customHeight="1">
      <c r="A433" s="21"/>
      <c r="B433" s="15"/>
      <c r="F433" s="16"/>
      <c r="G433" s="16"/>
    </row>
    <row r="434" ht="15.75" customHeight="1">
      <c r="A434" s="21"/>
      <c r="B434" s="15"/>
      <c r="F434" s="16"/>
      <c r="G434" s="16"/>
    </row>
    <row r="435" ht="15.75" customHeight="1">
      <c r="A435" s="21"/>
      <c r="B435" s="15"/>
      <c r="F435" s="16"/>
      <c r="G435" s="16"/>
    </row>
    <row r="436" ht="15.75" customHeight="1">
      <c r="A436" s="21"/>
      <c r="B436" s="15"/>
      <c r="F436" s="16"/>
      <c r="G436" s="16"/>
    </row>
    <row r="437" ht="15.75" customHeight="1">
      <c r="A437" s="21"/>
      <c r="B437" s="15"/>
      <c r="F437" s="16"/>
      <c r="G437" s="16"/>
    </row>
    <row r="438" ht="15.75" customHeight="1">
      <c r="A438" s="21"/>
      <c r="B438" s="15"/>
      <c r="F438" s="16"/>
      <c r="G438" s="16"/>
    </row>
    <row r="439" ht="15.75" customHeight="1">
      <c r="A439" s="21"/>
      <c r="B439" s="15"/>
      <c r="F439" s="16"/>
      <c r="G439" s="16"/>
    </row>
    <row r="440" ht="15.75" customHeight="1">
      <c r="A440" s="21"/>
      <c r="B440" s="15"/>
      <c r="F440" s="16"/>
      <c r="G440" s="16"/>
    </row>
    <row r="441" ht="15.75" customHeight="1">
      <c r="A441" s="21"/>
      <c r="B441" s="15"/>
      <c r="F441" s="16"/>
      <c r="G441" s="16"/>
    </row>
    <row r="442" ht="15.75" customHeight="1">
      <c r="A442" s="21"/>
      <c r="B442" s="15"/>
      <c r="F442" s="16"/>
      <c r="G442" s="16"/>
    </row>
    <row r="443" ht="15.75" customHeight="1">
      <c r="A443" s="21"/>
      <c r="B443" s="15"/>
      <c r="F443" s="16"/>
      <c r="G443" s="16"/>
    </row>
    <row r="444" ht="15.75" customHeight="1">
      <c r="A444" s="21"/>
      <c r="B444" s="15"/>
      <c r="F444" s="16"/>
      <c r="G444" s="16"/>
    </row>
    <row r="445" ht="15.75" customHeight="1">
      <c r="A445" s="21"/>
      <c r="B445" s="15"/>
      <c r="F445" s="16"/>
      <c r="G445" s="16"/>
    </row>
    <row r="446" ht="15.75" customHeight="1">
      <c r="A446" s="21"/>
      <c r="B446" s="15"/>
      <c r="F446" s="16"/>
      <c r="G446" s="16"/>
    </row>
    <row r="447" ht="15.75" customHeight="1">
      <c r="A447" s="21"/>
      <c r="B447" s="15"/>
      <c r="F447" s="16"/>
      <c r="G447" s="16"/>
    </row>
    <row r="448" ht="15.75" customHeight="1">
      <c r="A448" s="21"/>
      <c r="B448" s="15"/>
      <c r="F448" s="16"/>
      <c r="G448" s="16"/>
    </row>
    <row r="449" ht="15.75" customHeight="1">
      <c r="A449" s="21"/>
      <c r="B449" s="15"/>
      <c r="F449" s="16"/>
      <c r="G449" s="16"/>
    </row>
    <row r="450" ht="15.75" customHeight="1">
      <c r="A450" s="21"/>
      <c r="B450" s="15"/>
      <c r="F450" s="16"/>
      <c r="G450" s="16"/>
    </row>
    <row r="451" ht="15.75" customHeight="1">
      <c r="A451" s="21"/>
      <c r="B451" s="15"/>
      <c r="F451" s="16"/>
      <c r="G451" s="16"/>
    </row>
    <row r="452" ht="15.75" customHeight="1">
      <c r="A452" s="21"/>
      <c r="B452" s="15"/>
      <c r="F452" s="16"/>
      <c r="G452" s="16"/>
    </row>
    <row r="453" ht="15.75" customHeight="1">
      <c r="A453" s="21"/>
      <c r="B453" s="15"/>
      <c r="F453" s="16"/>
      <c r="G453" s="16"/>
    </row>
    <row r="454" ht="15.75" customHeight="1">
      <c r="A454" s="21"/>
      <c r="B454" s="15"/>
      <c r="F454" s="16"/>
      <c r="G454" s="16"/>
    </row>
    <row r="455" ht="15.75" customHeight="1">
      <c r="A455" s="21"/>
      <c r="B455" s="15"/>
      <c r="F455" s="16"/>
      <c r="G455" s="16"/>
    </row>
    <row r="456" ht="15.75" customHeight="1">
      <c r="A456" s="21"/>
      <c r="B456" s="15"/>
      <c r="F456" s="16"/>
      <c r="G456" s="16"/>
    </row>
    <row r="457" ht="15.75" customHeight="1">
      <c r="A457" s="21"/>
      <c r="B457" s="15"/>
      <c r="F457" s="16"/>
      <c r="G457" s="16"/>
    </row>
    <row r="458" ht="15.75" customHeight="1">
      <c r="A458" s="21"/>
      <c r="B458" s="15"/>
      <c r="F458" s="16"/>
      <c r="G458" s="16"/>
    </row>
    <row r="459" ht="15.75" customHeight="1">
      <c r="A459" s="21"/>
      <c r="B459" s="15"/>
      <c r="F459" s="16"/>
      <c r="G459" s="16"/>
    </row>
    <row r="460" ht="15.75" customHeight="1">
      <c r="A460" s="21"/>
      <c r="B460" s="15"/>
      <c r="F460" s="16"/>
      <c r="G460" s="16"/>
    </row>
    <row r="461" ht="15.75" customHeight="1">
      <c r="A461" s="21"/>
      <c r="B461" s="15"/>
      <c r="F461" s="16"/>
      <c r="G461" s="16"/>
    </row>
    <row r="462" ht="15.75" customHeight="1">
      <c r="A462" s="21"/>
      <c r="B462" s="15"/>
      <c r="F462" s="16"/>
      <c r="G462" s="16"/>
    </row>
    <row r="463" ht="15.75" customHeight="1">
      <c r="A463" s="21"/>
      <c r="B463" s="15"/>
      <c r="F463" s="16"/>
      <c r="G463" s="16"/>
    </row>
    <row r="464" ht="15.75" customHeight="1">
      <c r="A464" s="21"/>
      <c r="B464" s="15"/>
      <c r="F464" s="16"/>
      <c r="G464" s="16"/>
    </row>
    <row r="465" ht="15.75" customHeight="1">
      <c r="A465" s="21"/>
      <c r="B465" s="15"/>
      <c r="F465" s="16"/>
      <c r="G465" s="16"/>
    </row>
    <row r="466" ht="15.75" customHeight="1">
      <c r="A466" s="21"/>
      <c r="B466" s="15"/>
      <c r="F466" s="16"/>
      <c r="G466" s="16"/>
    </row>
    <row r="467" ht="15.75" customHeight="1">
      <c r="A467" s="21"/>
      <c r="B467" s="15"/>
      <c r="F467" s="16"/>
      <c r="G467" s="16"/>
    </row>
    <row r="468" ht="15.75" customHeight="1">
      <c r="A468" s="21"/>
      <c r="B468" s="15"/>
      <c r="F468" s="16"/>
      <c r="G468" s="16"/>
    </row>
    <row r="469" ht="15.75" customHeight="1">
      <c r="A469" s="21"/>
      <c r="B469" s="15"/>
      <c r="F469" s="16"/>
      <c r="G469" s="16"/>
    </row>
    <row r="470" ht="15.75" customHeight="1">
      <c r="A470" s="21"/>
      <c r="B470" s="15"/>
      <c r="F470" s="16"/>
      <c r="G470" s="16"/>
    </row>
    <row r="471" ht="15.75" customHeight="1">
      <c r="A471" s="21"/>
      <c r="B471" s="15"/>
      <c r="F471" s="16"/>
      <c r="G471" s="16"/>
    </row>
    <row r="472" ht="15.75" customHeight="1">
      <c r="A472" s="21"/>
      <c r="B472" s="15"/>
      <c r="F472" s="16"/>
      <c r="G472" s="16"/>
    </row>
    <row r="473" ht="15.75" customHeight="1">
      <c r="A473" s="21"/>
      <c r="B473" s="15"/>
      <c r="F473" s="16"/>
      <c r="G473" s="16"/>
    </row>
    <row r="474" ht="15.75" customHeight="1">
      <c r="A474" s="21"/>
      <c r="B474" s="15"/>
      <c r="F474" s="16"/>
      <c r="G474" s="16"/>
    </row>
    <row r="475" ht="15.75" customHeight="1">
      <c r="A475" s="21"/>
      <c r="B475" s="15"/>
      <c r="F475" s="16"/>
      <c r="G475" s="16"/>
    </row>
    <row r="476" ht="15.75" customHeight="1">
      <c r="A476" s="21"/>
      <c r="B476" s="15"/>
      <c r="F476" s="16"/>
      <c r="G476" s="16"/>
    </row>
    <row r="477" ht="15.75" customHeight="1">
      <c r="A477" s="21"/>
      <c r="B477" s="15"/>
      <c r="F477" s="16"/>
      <c r="G477" s="16"/>
    </row>
    <row r="478" ht="15.75" customHeight="1">
      <c r="A478" s="21"/>
      <c r="B478" s="15"/>
      <c r="F478" s="16"/>
      <c r="G478" s="16"/>
    </row>
    <row r="479" ht="15.75" customHeight="1">
      <c r="A479" s="21"/>
      <c r="B479" s="15"/>
      <c r="F479" s="16"/>
      <c r="G479" s="16"/>
    </row>
    <row r="480" ht="15.75" customHeight="1">
      <c r="A480" s="21"/>
      <c r="B480" s="15"/>
      <c r="F480" s="16"/>
      <c r="G480" s="16"/>
    </row>
    <row r="481" ht="15.75" customHeight="1">
      <c r="A481" s="21"/>
      <c r="B481" s="15"/>
      <c r="F481" s="16"/>
      <c r="G481" s="16"/>
    </row>
    <row r="482" ht="15.75" customHeight="1">
      <c r="A482" s="21"/>
      <c r="B482" s="15"/>
      <c r="F482" s="16"/>
      <c r="G482" s="16"/>
    </row>
    <row r="483" ht="15.75" customHeight="1">
      <c r="A483" s="21"/>
      <c r="B483" s="15"/>
      <c r="F483" s="16"/>
      <c r="G483" s="16"/>
    </row>
    <row r="484" ht="15.75" customHeight="1">
      <c r="A484" s="21"/>
      <c r="B484" s="15"/>
      <c r="F484" s="16"/>
      <c r="G484" s="16"/>
    </row>
    <row r="485" ht="15.75" customHeight="1">
      <c r="A485" s="21"/>
      <c r="B485" s="15"/>
      <c r="F485" s="16"/>
      <c r="G485" s="16"/>
    </row>
    <row r="486" ht="15.75" customHeight="1">
      <c r="A486" s="21"/>
      <c r="B486" s="15"/>
      <c r="F486" s="16"/>
      <c r="G486" s="16"/>
    </row>
    <row r="487" ht="15.75" customHeight="1">
      <c r="A487" s="21"/>
      <c r="B487" s="15"/>
      <c r="F487" s="16"/>
      <c r="G487" s="16"/>
    </row>
    <row r="488" ht="15.75" customHeight="1">
      <c r="A488" s="21"/>
      <c r="B488" s="15"/>
      <c r="F488" s="16"/>
      <c r="G488" s="16"/>
    </row>
    <row r="489" ht="15.75" customHeight="1">
      <c r="A489" s="21"/>
      <c r="B489" s="15"/>
      <c r="F489" s="16"/>
      <c r="G489" s="16"/>
    </row>
    <row r="490" ht="15.75" customHeight="1">
      <c r="A490" s="21"/>
      <c r="B490" s="15"/>
      <c r="F490" s="16"/>
      <c r="G490" s="16"/>
    </row>
    <row r="491" ht="15.75" customHeight="1">
      <c r="A491" s="21"/>
      <c r="B491" s="15"/>
      <c r="F491" s="16"/>
      <c r="G491" s="16"/>
    </row>
    <row r="492" ht="15.75" customHeight="1">
      <c r="A492" s="21"/>
      <c r="B492" s="15"/>
      <c r="F492" s="16"/>
      <c r="G492" s="16"/>
    </row>
    <row r="493" ht="15.75" customHeight="1">
      <c r="A493" s="21"/>
      <c r="B493" s="15"/>
      <c r="F493" s="16"/>
      <c r="G493" s="16"/>
    </row>
    <row r="494" ht="15.75" customHeight="1">
      <c r="A494" s="21"/>
      <c r="B494" s="15"/>
      <c r="F494" s="16"/>
      <c r="G494" s="16"/>
    </row>
    <row r="495" ht="15.75" customHeight="1">
      <c r="A495" s="21"/>
      <c r="B495" s="15"/>
      <c r="F495" s="16"/>
      <c r="G495" s="16"/>
    </row>
    <row r="496" ht="15.75" customHeight="1">
      <c r="A496" s="21"/>
      <c r="B496" s="15"/>
      <c r="F496" s="16"/>
      <c r="G496" s="16"/>
    </row>
    <row r="497" ht="15.75" customHeight="1">
      <c r="A497" s="21"/>
      <c r="B497" s="15"/>
      <c r="F497" s="16"/>
      <c r="G497" s="16"/>
    </row>
    <row r="498" ht="15.75" customHeight="1">
      <c r="A498" s="21"/>
      <c r="B498" s="15"/>
      <c r="F498" s="16"/>
      <c r="G498" s="16"/>
    </row>
    <row r="499" ht="15.75" customHeight="1">
      <c r="A499" s="21"/>
      <c r="B499" s="15"/>
      <c r="F499" s="16"/>
      <c r="G499" s="16"/>
    </row>
    <row r="500" ht="15.75" customHeight="1">
      <c r="A500" s="21"/>
      <c r="B500" s="15"/>
      <c r="F500" s="16"/>
      <c r="G500" s="16"/>
    </row>
    <row r="501" ht="15.75" customHeight="1">
      <c r="A501" s="21"/>
      <c r="B501" s="15"/>
    </row>
    <row r="502" ht="15.75" customHeight="1">
      <c r="A502" s="21"/>
      <c r="B502" s="15"/>
    </row>
    <row r="503" ht="15.75" customHeight="1">
      <c r="A503" s="21"/>
      <c r="B503" s="15"/>
    </row>
    <row r="504" ht="15.75" customHeight="1">
      <c r="A504" s="21"/>
      <c r="B504" s="15"/>
    </row>
    <row r="505" ht="15.75" customHeight="1">
      <c r="A505" s="21"/>
      <c r="B505" s="15"/>
    </row>
    <row r="506" ht="15.75" customHeight="1">
      <c r="A506" s="21"/>
      <c r="B506" s="15"/>
    </row>
    <row r="507" ht="15.75" customHeight="1">
      <c r="A507" s="21"/>
      <c r="B507" s="15"/>
    </row>
    <row r="508" ht="15.75" customHeight="1">
      <c r="A508" s="21"/>
      <c r="B508" s="15"/>
    </row>
    <row r="509" ht="15.75" customHeight="1">
      <c r="A509" s="21"/>
      <c r="B509" s="15"/>
    </row>
    <row r="510" ht="15.75" customHeight="1">
      <c r="A510" s="21"/>
      <c r="B510" s="15"/>
    </row>
    <row r="511" ht="15.75" customHeight="1">
      <c r="A511" s="21"/>
      <c r="B511" s="15"/>
    </row>
    <row r="512" ht="15.75" customHeight="1">
      <c r="A512" s="21"/>
      <c r="B512" s="15"/>
    </row>
    <row r="513" ht="15.75" customHeight="1">
      <c r="A513" s="21"/>
      <c r="B513" s="15"/>
    </row>
    <row r="514" ht="15.75" customHeight="1">
      <c r="A514" s="21"/>
      <c r="B514" s="15"/>
    </row>
    <row r="515" ht="15.75" customHeight="1">
      <c r="A515" s="21"/>
      <c r="B515" s="15"/>
    </row>
    <row r="516" ht="15.75" customHeight="1">
      <c r="A516" s="21"/>
      <c r="B516" s="15"/>
    </row>
    <row r="517" ht="15.75" customHeight="1">
      <c r="A517" s="21"/>
      <c r="B517" s="15"/>
    </row>
    <row r="518" ht="15.75" customHeight="1">
      <c r="A518" s="21"/>
      <c r="B518" s="15"/>
    </row>
    <row r="519" ht="15.75" customHeight="1">
      <c r="A519" s="21"/>
      <c r="B519" s="15"/>
    </row>
    <row r="520" ht="15.75" customHeight="1">
      <c r="A520" s="21"/>
      <c r="B520" s="15"/>
    </row>
    <row r="521" ht="15.75" customHeight="1">
      <c r="A521" s="21"/>
      <c r="B521" s="15"/>
    </row>
    <row r="522" ht="15.75" customHeight="1">
      <c r="A522" s="21"/>
      <c r="B522" s="15"/>
    </row>
    <row r="523" ht="15.75" customHeight="1">
      <c r="A523" s="21"/>
      <c r="B523" s="15"/>
    </row>
    <row r="524" ht="15.75" customHeight="1">
      <c r="A524" s="21"/>
      <c r="B524" s="15"/>
    </row>
    <row r="525" ht="15.75" customHeight="1">
      <c r="A525" s="21"/>
      <c r="B525" s="15"/>
    </row>
    <row r="526" ht="15.75" customHeight="1">
      <c r="A526" s="21"/>
      <c r="B526" s="15"/>
    </row>
    <row r="527" ht="15.75" customHeight="1">
      <c r="A527" s="21"/>
      <c r="B527" s="15"/>
    </row>
    <row r="528" ht="15.75" customHeight="1">
      <c r="A528" s="21"/>
      <c r="B528" s="15"/>
    </row>
    <row r="529" ht="15.75" customHeight="1">
      <c r="A529" s="21"/>
      <c r="B529" s="15"/>
    </row>
    <row r="530" ht="15.75" customHeight="1">
      <c r="A530" s="21"/>
      <c r="B530" s="15"/>
    </row>
    <row r="531" ht="15.75" customHeight="1">
      <c r="A531" s="21"/>
      <c r="B531" s="15"/>
    </row>
    <row r="532" ht="15.75" customHeight="1">
      <c r="A532" s="21"/>
      <c r="B532" s="15"/>
    </row>
    <row r="533" ht="15.75" customHeight="1">
      <c r="A533" s="21"/>
      <c r="B533" s="15"/>
    </row>
    <row r="534" ht="15.75" customHeight="1">
      <c r="A534" s="21"/>
      <c r="B534" s="15"/>
    </row>
    <row r="535" ht="15.75" customHeight="1">
      <c r="A535" s="21"/>
      <c r="B535" s="15"/>
    </row>
    <row r="536" ht="15.75" customHeight="1">
      <c r="A536" s="21"/>
      <c r="B536" s="15"/>
    </row>
    <row r="537" ht="15.75" customHeight="1">
      <c r="A537" s="21"/>
      <c r="B537" s="15"/>
    </row>
    <row r="538" ht="15.75" customHeight="1">
      <c r="A538" s="21"/>
      <c r="B538" s="15"/>
    </row>
    <row r="539" ht="15.75" customHeight="1">
      <c r="A539" s="21"/>
      <c r="B539" s="15"/>
    </row>
    <row r="540" ht="15.75" customHeight="1">
      <c r="A540" s="21"/>
      <c r="B540" s="15"/>
    </row>
    <row r="541" ht="15.75" customHeight="1">
      <c r="A541" s="21"/>
      <c r="B541" s="15"/>
    </row>
    <row r="542" ht="15.75" customHeight="1">
      <c r="A542" s="21"/>
      <c r="B542" s="15"/>
    </row>
    <row r="543" ht="15.75" customHeight="1">
      <c r="A543" s="21"/>
      <c r="B543" s="15"/>
    </row>
    <row r="544" ht="15.75" customHeight="1">
      <c r="A544" s="21"/>
      <c r="B544" s="15"/>
    </row>
    <row r="545" ht="15.75" customHeight="1">
      <c r="A545" s="21"/>
      <c r="B545" s="15"/>
    </row>
    <row r="546" ht="15.75" customHeight="1">
      <c r="A546" s="21"/>
      <c r="B546" s="15"/>
    </row>
    <row r="547" ht="15.75" customHeight="1">
      <c r="A547" s="21"/>
      <c r="B547" s="15"/>
    </row>
    <row r="548" ht="15.75" customHeight="1">
      <c r="A548" s="21"/>
      <c r="B548" s="15"/>
    </row>
    <row r="549" ht="15.75" customHeight="1">
      <c r="A549" s="21"/>
      <c r="B549" s="15"/>
    </row>
    <row r="550" ht="15.75" customHeight="1">
      <c r="A550" s="21"/>
      <c r="B550" s="15"/>
    </row>
    <row r="551" ht="15.75" customHeight="1">
      <c r="A551" s="21"/>
      <c r="B551" s="15"/>
    </row>
    <row r="552" ht="15.75" customHeight="1">
      <c r="A552" s="21"/>
      <c r="B552" s="15"/>
    </row>
    <row r="553" ht="15.75" customHeight="1">
      <c r="A553" s="21"/>
      <c r="B553" s="15"/>
    </row>
    <row r="554" ht="15.75" customHeight="1">
      <c r="A554" s="21"/>
      <c r="B554" s="15"/>
    </row>
    <row r="555" ht="15.75" customHeight="1">
      <c r="A555" s="21"/>
      <c r="B555" s="15"/>
    </row>
    <row r="556" ht="15.75" customHeight="1">
      <c r="A556" s="21"/>
      <c r="B556" s="15"/>
    </row>
    <row r="557" ht="15.75" customHeight="1">
      <c r="A557" s="21"/>
      <c r="B557" s="15"/>
    </row>
    <row r="558" ht="15.75" customHeight="1">
      <c r="A558" s="21"/>
      <c r="B558" s="15"/>
    </row>
    <row r="559" ht="15.75" customHeight="1">
      <c r="A559" s="21"/>
      <c r="B559" s="15"/>
    </row>
    <row r="560" ht="15.75" customHeight="1">
      <c r="A560" s="21"/>
      <c r="B560" s="15"/>
    </row>
    <row r="561" ht="15.75" customHeight="1">
      <c r="A561" s="21"/>
      <c r="B561" s="15"/>
    </row>
    <row r="562" ht="15.75" customHeight="1">
      <c r="A562" s="21"/>
      <c r="B562" s="15"/>
    </row>
    <row r="563" ht="15.75" customHeight="1">
      <c r="A563" s="21"/>
      <c r="B563" s="15"/>
    </row>
    <row r="564" ht="15.75" customHeight="1">
      <c r="A564" s="21"/>
      <c r="B564" s="15"/>
    </row>
    <row r="565" ht="15.75" customHeight="1">
      <c r="A565" s="21"/>
      <c r="B565" s="15"/>
    </row>
    <row r="566" ht="15.75" customHeight="1">
      <c r="A566" s="21"/>
      <c r="B566" s="15"/>
    </row>
    <row r="567" ht="15.75" customHeight="1">
      <c r="A567" s="21"/>
      <c r="B567" s="15"/>
    </row>
    <row r="568" ht="15.75" customHeight="1">
      <c r="A568" s="21"/>
      <c r="B568" s="15"/>
    </row>
    <row r="569" ht="15.75" customHeight="1">
      <c r="A569" s="21"/>
      <c r="B569" s="15"/>
    </row>
    <row r="570" ht="15.75" customHeight="1">
      <c r="A570" s="21"/>
      <c r="B570" s="15"/>
    </row>
    <row r="571" ht="15.75" customHeight="1">
      <c r="A571" s="21"/>
      <c r="B571" s="15"/>
    </row>
    <row r="572" ht="15.75" customHeight="1">
      <c r="A572" s="21"/>
      <c r="B572" s="15"/>
    </row>
    <row r="573" ht="15.75" customHeight="1">
      <c r="A573" s="21"/>
      <c r="B573" s="15"/>
    </row>
    <row r="574" ht="15.75" customHeight="1">
      <c r="A574" s="21"/>
      <c r="B574" s="15"/>
    </row>
    <row r="575" ht="15.75" customHeight="1">
      <c r="A575" s="21"/>
      <c r="B575" s="15"/>
    </row>
    <row r="576" ht="15.75" customHeight="1">
      <c r="A576" s="21"/>
      <c r="B576" s="15"/>
    </row>
    <row r="577" ht="15.75" customHeight="1">
      <c r="A577" s="21"/>
      <c r="B577" s="15"/>
    </row>
    <row r="578" ht="15.75" customHeight="1">
      <c r="A578" s="21"/>
      <c r="B578" s="15"/>
    </row>
    <row r="579" ht="15.75" customHeight="1">
      <c r="A579" s="21"/>
      <c r="B579" s="15"/>
    </row>
    <row r="580" ht="15.75" customHeight="1">
      <c r="A580" s="21"/>
      <c r="B580" s="15"/>
    </row>
    <row r="581" ht="15.75" customHeight="1">
      <c r="A581" s="21"/>
      <c r="B581" s="15"/>
    </row>
    <row r="582" ht="15.75" customHeight="1">
      <c r="A582" s="21"/>
      <c r="B582" s="15"/>
    </row>
    <row r="583" ht="15.75" customHeight="1">
      <c r="A583" s="21"/>
      <c r="B583" s="15"/>
    </row>
    <row r="584" ht="15.75" customHeight="1">
      <c r="A584" s="21"/>
      <c r="B584" s="15"/>
    </row>
    <row r="585" ht="15.75" customHeight="1">
      <c r="A585" s="21"/>
      <c r="B585" s="15"/>
    </row>
    <row r="586" ht="15.75" customHeight="1">
      <c r="A586" s="21"/>
      <c r="B586" s="15"/>
    </row>
    <row r="587" ht="15.75" customHeight="1">
      <c r="A587" s="21"/>
      <c r="B587" s="15"/>
    </row>
    <row r="588" ht="15.75" customHeight="1">
      <c r="A588" s="21"/>
      <c r="B588" s="15"/>
    </row>
    <row r="589" ht="15.75" customHeight="1">
      <c r="A589" s="21"/>
      <c r="B589" s="15"/>
    </row>
    <row r="590" ht="15.75" customHeight="1">
      <c r="A590" s="21"/>
      <c r="B590" s="15"/>
    </row>
    <row r="591" ht="15.75" customHeight="1">
      <c r="A591" s="21"/>
      <c r="B591" s="15"/>
    </row>
    <row r="592" ht="15.75" customHeight="1">
      <c r="A592" s="21"/>
      <c r="B592" s="15"/>
    </row>
    <row r="593" ht="15.75" customHeight="1">
      <c r="A593" s="21"/>
      <c r="B593" s="15"/>
    </row>
    <row r="594" ht="15.75" customHeight="1">
      <c r="A594" s="21"/>
      <c r="B594" s="15"/>
    </row>
    <row r="595" ht="15.75" customHeight="1">
      <c r="A595" s="21"/>
      <c r="B595" s="15"/>
    </row>
    <row r="596" ht="15.75" customHeight="1">
      <c r="A596" s="21"/>
      <c r="B596" s="15"/>
    </row>
    <row r="597" ht="15.75" customHeight="1">
      <c r="A597" s="21"/>
      <c r="B597" s="15"/>
    </row>
    <row r="598" ht="15.75" customHeight="1">
      <c r="A598" s="21"/>
      <c r="B598" s="15"/>
    </row>
    <row r="599" ht="15.75" customHeight="1">
      <c r="A599" s="21"/>
      <c r="B599" s="15"/>
    </row>
    <row r="600" ht="15.75" customHeight="1">
      <c r="A600" s="21"/>
      <c r="B600" s="15"/>
    </row>
    <row r="601" ht="15.75" customHeight="1">
      <c r="A601" s="21"/>
      <c r="B601" s="15"/>
    </row>
    <row r="602" ht="15.75" customHeight="1">
      <c r="A602" s="21"/>
      <c r="B602" s="15"/>
    </row>
    <row r="603" ht="15.75" customHeight="1">
      <c r="A603" s="21"/>
      <c r="B603" s="15"/>
    </row>
    <row r="604" ht="15.75" customHeight="1">
      <c r="A604" s="21"/>
      <c r="B604" s="15"/>
    </row>
    <row r="605" ht="15.75" customHeight="1">
      <c r="A605" s="21"/>
      <c r="B605" s="15"/>
    </row>
    <row r="606" ht="15.75" customHeight="1">
      <c r="A606" s="21"/>
      <c r="B606" s="15"/>
    </row>
    <row r="607" ht="15.75" customHeight="1">
      <c r="A607" s="21"/>
      <c r="B607" s="15"/>
    </row>
    <row r="608" ht="15.75" customHeight="1">
      <c r="A608" s="21"/>
      <c r="B608" s="15"/>
    </row>
    <row r="609" ht="15.75" customHeight="1">
      <c r="A609" s="21"/>
      <c r="B609" s="15"/>
    </row>
    <row r="610" ht="15.75" customHeight="1">
      <c r="A610" s="21"/>
      <c r="B610" s="15"/>
    </row>
    <row r="611" ht="15.75" customHeight="1">
      <c r="A611" s="21"/>
      <c r="B611" s="15"/>
    </row>
    <row r="612" ht="15.75" customHeight="1">
      <c r="A612" s="21"/>
      <c r="B612" s="15"/>
    </row>
    <row r="613" ht="15.75" customHeight="1">
      <c r="A613" s="21"/>
      <c r="B613" s="15"/>
    </row>
    <row r="614" ht="15.75" customHeight="1">
      <c r="A614" s="21"/>
      <c r="B614" s="15"/>
    </row>
    <row r="615" ht="15.75" customHeight="1">
      <c r="A615" s="21"/>
      <c r="B615" s="15"/>
    </row>
    <row r="616" ht="15.75" customHeight="1">
      <c r="A616" s="21"/>
      <c r="B616" s="15"/>
    </row>
    <row r="617" ht="15.75" customHeight="1">
      <c r="A617" s="21"/>
      <c r="B617" s="15"/>
    </row>
    <row r="618" ht="15.75" customHeight="1">
      <c r="A618" s="21"/>
      <c r="B618" s="15"/>
    </row>
    <row r="619" ht="15.75" customHeight="1">
      <c r="A619" s="21"/>
      <c r="B619" s="15"/>
    </row>
    <row r="620" ht="15.75" customHeight="1">
      <c r="A620" s="21"/>
      <c r="B620" s="15"/>
    </row>
    <row r="621" ht="15.75" customHeight="1">
      <c r="A621" s="21"/>
      <c r="B621" s="15"/>
    </row>
    <row r="622" ht="15.75" customHeight="1">
      <c r="A622" s="21"/>
      <c r="B622" s="15"/>
    </row>
    <row r="623" ht="15.75" customHeight="1">
      <c r="A623" s="21"/>
      <c r="B623" s="15"/>
    </row>
    <row r="624" ht="15.75" customHeight="1">
      <c r="A624" s="21"/>
      <c r="B624" s="15"/>
    </row>
    <row r="625" ht="15.75" customHeight="1">
      <c r="A625" s="21"/>
      <c r="B625" s="15"/>
    </row>
    <row r="626" ht="15.75" customHeight="1">
      <c r="A626" s="21"/>
      <c r="B626" s="15"/>
    </row>
    <row r="627" ht="15.75" customHeight="1">
      <c r="A627" s="21"/>
      <c r="B627" s="15"/>
    </row>
    <row r="628" ht="15.75" customHeight="1">
      <c r="A628" s="21"/>
      <c r="B628" s="15"/>
    </row>
    <row r="629" ht="15.75" customHeight="1">
      <c r="A629" s="21"/>
      <c r="B629" s="15"/>
    </row>
    <row r="630" ht="15.75" customHeight="1">
      <c r="A630" s="21"/>
      <c r="B630" s="15"/>
    </row>
    <row r="631" ht="15.75" customHeight="1">
      <c r="A631" s="21"/>
      <c r="B631" s="15"/>
    </row>
    <row r="632" ht="15.75" customHeight="1">
      <c r="A632" s="21"/>
      <c r="B632" s="15"/>
    </row>
    <row r="633" ht="15.75" customHeight="1">
      <c r="A633" s="21"/>
      <c r="B633" s="15"/>
    </row>
    <row r="634" ht="15.75" customHeight="1">
      <c r="A634" s="21"/>
      <c r="B634" s="15"/>
    </row>
    <row r="635" ht="15.75" customHeight="1">
      <c r="A635" s="21"/>
      <c r="B635" s="15"/>
    </row>
    <row r="636" ht="15.75" customHeight="1">
      <c r="A636" s="21"/>
      <c r="B636" s="15"/>
    </row>
    <row r="637" ht="15.75" customHeight="1">
      <c r="A637" s="21"/>
      <c r="B637" s="15"/>
    </row>
    <row r="638" ht="15.75" customHeight="1">
      <c r="A638" s="21"/>
      <c r="B638" s="15"/>
    </row>
    <row r="639" ht="15.75" customHeight="1">
      <c r="A639" s="21"/>
      <c r="B639" s="15"/>
    </row>
    <row r="640" ht="15.75" customHeight="1">
      <c r="A640" s="21"/>
      <c r="B640" s="15"/>
    </row>
    <row r="641" ht="15.75" customHeight="1">
      <c r="A641" s="21"/>
      <c r="B641" s="15"/>
    </row>
    <row r="642" ht="15.75" customHeight="1">
      <c r="A642" s="21"/>
      <c r="B642" s="15"/>
    </row>
    <row r="643" ht="15.75" customHeight="1">
      <c r="A643" s="21"/>
      <c r="B643" s="15"/>
    </row>
    <row r="644" ht="15.75" customHeight="1">
      <c r="A644" s="21"/>
      <c r="B644" s="15"/>
    </row>
    <row r="645" ht="15.75" customHeight="1">
      <c r="A645" s="21"/>
      <c r="B645" s="15"/>
    </row>
    <row r="646" ht="15.75" customHeight="1">
      <c r="A646" s="21"/>
      <c r="B646" s="15"/>
    </row>
    <row r="647" ht="15.75" customHeight="1">
      <c r="A647" s="21"/>
      <c r="B647" s="15"/>
    </row>
    <row r="648" ht="15.75" customHeight="1">
      <c r="A648" s="21"/>
      <c r="B648" s="15"/>
    </row>
    <row r="649" ht="15.75" customHeight="1">
      <c r="A649" s="21"/>
      <c r="B649" s="15"/>
    </row>
    <row r="650" ht="15.75" customHeight="1">
      <c r="A650" s="21"/>
      <c r="B650" s="15"/>
    </row>
    <row r="651" ht="15.75" customHeight="1">
      <c r="A651" s="21"/>
      <c r="B651" s="15"/>
    </row>
    <row r="652" ht="15.75" customHeight="1">
      <c r="A652" s="21"/>
      <c r="B652" s="15"/>
    </row>
    <row r="653" ht="15.75" customHeight="1">
      <c r="A653" s="21"/>
      <c r="B653" s="15"/>
    </row>
    <row r="654" ht="15.75" customHeight="1">
      <c r="A654" s="21"/>
      <c r="B654" s="15"/>
    </row>
    <row r="655" ht="15.75" customHeight="1">
      <c r="A655" s="21"/>
      <c r="B655" s="15"/>
    </row>
    <row r="656" ht="15.75" customHeight="1">
      <c r="A656" s="21"/>
      <c r="B656" s="15"/>
    </row>
    <row r="657" ht="15.75" customHeight="1">
      <c r="A657" s="21"/>
      <c r="B657" s="15"/>
    </row>
    <row r="658" ht="15.75" customHeight="1">
      <c r="A658" s="21"/>
      <c r="B658" s="15"/>
    </row>
    <row r="659" ht="15.75" customHeight="1">
      <c r="A659" s="21"/>
      <c r="B659" s="15"/>
    </row>
    <row r="660" ht="15.75" customHeight="1">
      <c r="A660" s="21"/>
      <c r="B660" s="15"/>
    </row>
    <row r="661" ht="15.75" customHeight="1">
      <c r="A661" s="21"/>
      <c r="B661" s="15"/>
    </row>
    <row r="662" ht="15.75" customHeight="1">
      <c r="A662" s="21"/>
      <c r="B662" s="15"/>
    </row>
    <row r="663" ht="15.75" customHeight="1">
      <c r="A663" s="21"/>
      <c r="B663" s="15"/>
    </row>
    <row r="664" ht="15.75" customHeight="1">
      <c r="A664" s="21"/>
      <c r="B664" s="15"/>
    </row>
    <row r="665" ht="15.75" customHeight="1">
      <c r="A665" s="21"/>
      <c r="B665" s="15"/>
    </row>
    <row r="666" ht="15.75" customHeight="1">
      <c r="A666" s="21"/>
      <c r="B666" s="15"/>
    </row>
    <row r="667" ht="15.75" customHeight="1">
      <c r="A667" s="21"/>
      <c r="B667" s="15"/>
    </row>
    <row r="668" ht="15.75" customHeight="1">
      <c r="A668" s="21"/>
      <c r="B668" s="15"/>
    </row>
    <row r="669" ht="15.75" customHeight="1">
      <c r="A669" s="21"/>
      <c r="B669" s="15"/>
    </row>
    <row r="670" ht="15.75" customHeight="1">
      <c r="A670" s="21"/>
      <c r="B670" s="15"/>
    </row>
    <row r="671" ht="15.75" customHeight="1">
      <c r="A671" s="21"/>
      <c r="B671" s="15"/>
    </row>
    <row r="672" ht="15.75" customHeight="1">
      <c r="A672" s="21"/>
      <c r="B672" s="15"/>
    </row>
    <row r="673" ht="15.75" customHeight="1">
      <c r="A673" s="21"/>
      <c r="B673" s="15"/>
    </row>
    <row r="674" ht="15.75" customHeight="1">
      <c r="A674" s="21"/>
      <c r="B674" s="15"/>
    </row>
    <row r="675" ht="15.75" customHeight="1">
      <c r="A675" s="21"/>
      <c r="B675" s="15"/>
    </row>
    <row r="676" ht="15.75" customHeight="1">
      <c r="A676" s="21"/>
      <c r="B676" s="15"/>
    </row>
    <row r="677" ht="15.75" customHeight="1">
      <c r="A677" s="21"/>
      <c r="B677" s="15"/>
    </row>
    <row r="678" ht="15.75" customHeight="1">
      <c r="A678" s="21"/>
      <c r="B678" s="15"/>
    </row>
    <row r="679" ht="15.75" customHeight="1">
      <c r="A679" s="21"/>
      <c r="B679" s="15"/>
    </row>
    <row r="680" ht="15.75" customHeight="1">
      <c r="A680" s="21"/>
      <c r="B680" s="15"/>
    </row>
    <row r="681" ht="15.75" customHeight="1">
      <c r="A681" s="21"/>
      <c r="B681" s="15"/>
    </row>
    <row r="682" ht="15.75" customHeight="1">
      <c r="A682" s="21"/>
      <c r="B682" s="15"/>
    </row>
    <row r="683" ht="15.75" customHeight="1">
      <c r="A683" s="21"/>
      <c r="B683" s="15"/>
    </row>
    <row r="684" ht="15.75" customHeight="1">
      <c r="A684" s="21"/>
      <c r="B684" s="15"/>
    </row>
    <row r="685" ht="15.75" customHeight="1">
      <c r="A685" s="21"/>
      <c r="B685" s="15"/>
    </row>
    <row r="686" ht="15.75" customHeight="1">
      <c r="A686" s="21"/>
      <c r="B686" s="15"/>
    </row>
    <row r="687" ht="15.75" customHeight="1">
      <c r="A687" s="21"/>
      <c r="B687" s="15"/>
    </row>
    <row r="688" ht="15.75" customHeight="1">
      <c r="A688" s="21"/>
      <c r="B688" s="15"/>
    </row>
    <row r="689" ht="15.75" customHeight="1">
      <c r="A689" s="21"/>
      <c r="B689" s="15"/>
    </row>
    <row r="690" ht="15.75" customHeight="1">
      <c r="A690" s="21"/>
      <c r="B690" s="15"/>
    </row>
    <row r="691" ht="15.75" customHeight="1">
      <c r="A691" s="21"/>
      <c r="B691" s="15"/>
    </row>
    <row r="692" ht="15.75" customHeight="1">
      <c r="A692" s="21"/>
      <c r="B692" s="15"/>
    </row>
    <row r="693" ht="15.75" customHeight="1">
      <c r="A693" s="21"/>
      <c r="B693" s="15"/>
    </row>
    <row r="694" ht="15.75" customHeight="1">
      <c r="A694" s="21"/>
      <c r="B694" s="15"/>
    </row>
    <row r="695" ht="15.75" customHeight="1">
      <c r="A695" s="21"/>
      <c r="B695" s="15"/>
    </row>
    <row r="696" ht="15.75" customHeight="1">
      <c r="A696" s="21"/>
      <c r="B696" s="15"/>
    </row>
    <row r="697" ht="15.75" customHeight="1">
      <c r="A697" s="21"/>
      <c r="B697" s="15"/>
    </row>
    <row r="698" ht="15.75" customHeight="1">
      <c r="A698" s="21"/>
      <c r="B698" s="15"/>
    </row>
    <row r="699" ht="15.75" customHeight="1">
      <c r="A699" s="21"/>
      <c r="B699" s="15"/>
    </row>
    <row r="700" ht="15.75" customHeight="1">
      <c r="A700" s="21"/>
      <c r="B700" s="15"/>
    </row>
    <row r="701" ht="15.75" customHeight="1">
      <c r="A701" s="21"/>
      <c r="B701" s="15"/>
    </row>
    <row r="702" ht="15.75" customHeight="1">
      <c r="A702" s="21"/>
      <c r="B702" s="15"/>
    </row>
    <row r="703" ht="15.75" customHeight="1">
      <c r="A703" s="21"/>
      <c r="B703" s="15"/>
    </row>
    <row r="704" ht="15.75" customHeight="1">
      <c r="A704" s="21"/>
      <c r="B704" s="15"/>
    </row>
    <row r="705" ht="15.75" customHeight="1">
      <c r="A705" s="21"/>
      <c r="B705" s="15"/>
    </row>
    <row r="706" ht="15.75" customHeight="1">
      <c r="A706" s="21"/>
      <c r="B706" s="15"/>
    </row>
    <row r="707" ht="15.75" customHeight="1">
      <c r="A707" s="21"/>
      <c r="B707" s="15"/>
    </row>
    <row r="708" ht="15.75" customHeight="1">
      <c r="A708" s="21"/>
      <c r="B708" s="15"/>
    </row>
    <row r="709" ht="15.75" customHeight="1">
      <c r="A709" s="21"/>
      <c r="B709" s="15"/>
    </row>
    <row r="710" ht="15.75" customHeight="1">
      <c r="A710" s="21"/>
      <c r="B710" s="15"/>
    </row>
    <row r="711" ht="15.75" customHeight="1">
      <c r="A711" s="21"/>
      <c r="B711" s="15"/>
    </row>
    <row r="712" ht="15.75" customHeight="1">
      <c r="A712" s="21"/>
      <c r="B712" s="15"/>
    </row>
    <row r="713" ht="15.75" customHeight="1">
      <c r="A713" s="21"/>
      <c r="B713" s="15"/>
    </row>
    <row r="714" ht="15.75" customHeight="1">
      <c r="A714" s="21"/>
      <c r="B714" s="15"/>
    </row>
    <row r="715" ht="15.75" customHeight="1">
      <c r="A715" s="21"/>
      <c r="B715" s="15"/>
    </row>
    <row r="716" ht="15.75" customHeight="1">
      <c r="A716" s="21"/>
      <c r="B716" s="15"/>
    </row>
    <row r="717" ht="15.75" customHeight="1">
      <c r="A717" s="21"/>
      <c r="B717" s="15"/>
    </row>
    <row r="718" ht="15.75" customHeight="1">
      <c r="A718" s="21"/>
      <c r="B718" s="15"/>
    </row>
    <row r="719" ht="15.75" customHeight="1">
      <c r="A719" s="21"/>
      <c r="B719" s="15"/>
    </row>
    <row r="720" ht="15.75" customHeight="1">
      <c r="A720" s="21"/>
      <c r="B720" s="15"/>
    </row>
    <row r="721" ht="15.75" customHeight="1">
      <c r="A721" s="21"/>
      <c r="B721" s="15"/>
    </row>
    <row r="722" ht="15.75" customHeight="1">
      <c r="A722" s="21"/>
      <c r="B722" s="15"/>
    </row>
    <row r="723" ht="15.75" customHeight="1">
      <c r="A723" s="21"/>
      <c r="B723" s="15"/>
    </row>
    <row r="724" ht="15.75" customHeight="1">
      <c r="A724" s="21"/>
      <c r="B724" s="15"/>
    </row>
    <row r="725" ht="15.75" customHeight="1">
      <c r="A725" s="21"/>
      <c r="B725" s="15"/>
    </row>
    <row r="726" ht="15.75" customHeight="1">
      <c r="A726" s="21"/>
      <c r="B726" s="15"/>
    </row>
    <row r="727" ht="15.75" customHeight="1">
      <c r="A727" s="21"/>
      <c r="B727" s="15"/>
    </row>
    <row r="728" ht="15.75" customHeight="1">
      <c r="A728" s="21"/>
      <c r="B728" s="15"/>
    </row>
    <row r="729" ht="15.75" customHeight="1">
      <c r="A729" s="21"/>
      <c r="B729" s="15"/>
    </row>
    <row r="730" ht="15.75" customHeight="1">
      <c r="A730" s="21"/>
      <c r="B730" s="15"/>
    </row>
    <row r="731" ht="15.75" customHeight="1">
      <c r="A731" s="21"/>
      <c r="B731" s="15"/>
    </row>
    <row r="732" ht="15.75" customHeight="1">
      <c r="A732" s="21"/>
      <c r="B732" s="15"/>
    </row>
    <row r="733" ht="15.75" customHeight="1">
      <c r="A733" s="21"/>
      <c r="B733" s="15"/>
    </row>
    <row r="734" ht="15.75" customHeight="1">
      <c r="A734" s="21"/>
      <c r="B734" s="15"/>
    </row>
    <row r="735" ht="15.75" customHeight="1">
      <c r="A735" s="21"/>
      <c r="B735" s="15"/>
    </row>
    <row r="736" ht="15.75" customHeight="1">
      <c r="A736" s="21"/>
      <c r="B736" s="15"/>
    </row>
    <row r="737" ht="15.75" customHeight="1">
      <c r="A737" s="21"/>
      <c r="B737" s="15"/>
    </row>
    <row r="738" ht="15.75" customHeight="1">
      <c r="A738" s="21"/>
      <c r="B738" s="15"/>
    </row>
    <row r="739" ht="15.75" customHeight="1">
      <c r="A739" s="21"/>
      <c r="B739" s="15"/>
    </row>
    <row r="740" ht="15.75" customHeight="1">
      <c r="A740" s="21"/>
      <c r="B740" s="15"/>
    </row>
    <row r="741" ht="15.75" customHeight="1">
      <c r="A741" s="21"/>
      <c r="B741" s="15"/>
    </row>
    <row r="742" ht="15.75" customHeight="1">
      <c r="A742" s="21"/>
      <c r="B742" s="15"/>
    </row>
    <row r="743" ht="15.75" customHeight="1">
      <c r="A743" s="21"/>
      <c r="B743" s="15"/>
    </row>
    <row r="744" ht="15.75" customHeight="1">
      <c r="A744" s="21"/>
      <c r="B744" s="15"/>
    </row>
    <row r="745" ht="15.75" customHeight="1">
      <c r="A745" s="21"/>
      <c r="B745" s="15"/>
    </row>
    <row r="746" ht="15.75" customHeight="1">
      <c r="A746" s="21"/>
      <c r="B746" s="15"/>
    </row>
    <row r="747" ht="15.75" customHeight="1">
      <c r="A747" s="21"/>
      <c r="B747" s="15"/>
    </row>
    <row r="748" ht="15.75" customHeight="1">
      <c r="A748" s="21"/>
      <c r="B748" s="15"/>
    </row>
    <row r="749" ht="15.75" customHeight="1">
      <c r="A749" s="21"/>
      <c r="B749" s="15"/>
    </row>
    <row r="750" ht="15.75" customHeight="1">
      <c r="A750" s="21"/>
      <c r="B750" s="15"/>
    </row>
    <row r="751" ht="15.75" customHeight="1">
      <c r="A751" s="21"/>
      <c r="B751" s="15"/>
    </row>
    <row r="752" ht="15.75" customHeight="1">
      <c r="A752" s="21"/>
      <c r="B752" s="15"/>
    </row>
    <row r="753" ht="15.75" customHeight="1">
      <c r="A753" s="21"/>
      <c r="B753" s="15"/>
    </row>
    <row r="754" ht="15.75" customHeight="1">
      <c r="A754" s="21"/>
      <c r="B754" s="15"/>
    </row>
    <row r="755" ht="15.75" customHeight="1">
      <c r="A755" s="21"/>
      <c r="B755" s="15"/>
    </row>
    <row r="756" ht="15.75" customHeight="1">
      <c r="A756" s="21"/>
      <c r="B756" s="15"/>
    </row>
    <row r="757" ht="15.75" customHeight="1">
      <c r="A757" s="21"/>
      <c r="B757" s="15"/>
    </row>
    <row r="758" ht="15.75" customHeight="1">
      <c r="A758" s="21"/>
      <c r="B758" s="15"/>
    </row>
    <row r="759" ht="15.75" customHeight="1">
      <c r="A759" s="21"/>
      <c r="B759" s="15"/>
    </row>
    <row r="760" ht="15.75" customHeight="1">
      <c r="A760" s="21"/>
      <c r="B760" s="15"/>
    </row>
    <row r="761" ht="15.75" customHeight="1">
      <c r="A761" s="21"/>
      <c r="B761" s="15"/>
    </row>
    <row r="762" ht="15.75" customHeight="1">
      <c r="A762" s="21"/>
      <c r="B762" s="15"/>
    </row>
    <row r="763" ht="15.75" customHeight="1">
      <c r="A763" s="21"/>
      <c r="B763" s="15"/>
    </row>
    <row r="764" ht="15.75" customHeight="1">
      <c r="A764" s="21"/>
      <c r="B764" s="15"/>
    </row>
    <row r="765" ht="15.75" customHeight="1">
      <c r="A765" s="21"/>
      <c r="B765" s="15"/>
    </row>
    <row r="766" ht="15.75" customHeight="1">
      <c r="A766" s="21"/>
      <c r="B766" s="15"/>
    </row>
    <row r="767" ht="15.75" customHeight="1">
      <c r="A767" s="21"/>
      <c r="B767" s="15"/>
    </row>
    <row r="768" ht="15.75" customHeight="1">
      <c r="A768" s="21"/>
      <c r="B768" s="15"/>
    </row>
    <row r="769" ht="15.75" customHeight="1">
      <c r="A769" s="21"/>
      <c r="B769" s="15"/>
    </row>
    <row r="770" ht="15.75" customHeight="1">
      <c r="A770" s="21"/>
      <c r="B770" s="15"/>
    </row>
    <row r="771" ht="15.75" customHeight="1">
      <c r="A771" s="21"/>
      <c r="B771" s="15"/>
    </row>
    <row r="772" ht="15.75" customHeight="1">
      <c r="A772" s="21"/>
      <c r="B772" s="15"/>
    </row>
    <row r="773" ht="15.75" customHeight="1">
      <c r="A773" s="21"/>
      <c r="B773" s="15"/>
    </row>
    <row r="774" ht="15.75" customHeight="1">
      <c r="A774" s="21"/>
      <c r="B774" s="15"/>
    </row>
    <row r="775" ht="15.75" customHeight="1">
      <c r="A775" s="21"/>
      <c r="B775" s="15"/>
    </row>
    <row r="776" ht="15.75" customHeight="1">
      <c r="A776" s="21"/>
      <c r="B776" s="15"/>
    </row>
    <row r="777" ht="15.75" customHeight="1">
      <c r="A777" s="21"/>
      <c r="B777" s="15"/>
    </row>
    <row r="778" ht="15.75" customHeight="1">
      <c r="A778" s="21"/>
      <c r="B778" s="15"/>
    </row>
    <row r="779" ht="15.75" customHeight="1">
      <c r="A779" s="21"/>
      <c r="B779" s="15"/>
    </row>
    <row r="780" ht="15.75" customHeight="1">
      <c r="A780" s="21"/>
      <c r="B780" s="15"/>
    </row>
    <row r="781" ht="15.75" customHeight="1">
      <c r="A781" s="21"/>
      <c r="B781" s="15"/>
    </row>
    <row r="782" ht="15.75" customHeight="1">
      <c r="A782" s="21"/>
      <c r="B782" s="15"/>
    </row>
    <row r="783" ht="15.75" customHeight="1">
      <c r="A783" s="21"/>
      <c r="B783" s="15"/>
    </row>
    <row r="784" ht="15.75" customHeight="1">
      <c r="A784" s="21"/>
      <c r="B784" s="15"/>
    </row>
    <row r="785" ht="15.75" customHeight="1">
      <c r="A785" s="21"/>
      <c r="B785" s="15"/>
    </row>
    <row r="786" ht="15.75" customHeight="1">
      <c r="A786" s="21"/>
      <c r="B786" s="15"/>
    </row>
    <row r="787" ht="15.75" customHeight="1">
      <c r="A787" s="21"/>
      <c r="B787" s="15"/>
    </row>
    <row r="788" ht="15.75" customHeight="1">
      <c r="A788" s="21"/>
      <c r="B788" s="15"/>
    </row>
    <row r="789" ht="15.75" customHeight="1">
      <c r="A789" s="21"/>
      <c r="B789" s="15"/>
    </row>
    <row r="790" ht="15.75" customHeight="1">
      <c r="A790" s="21"/>
      <c r="B790" s="15"/>
    </row>
    <row r="791" ht="15.75" customHeight="1">
      <c r="A791" s="21"/>
      <c r="B791" s="15"/>
    </row>
    <row r="792" ht="15.75" customHeight="1">
      <c r="A792" s="21"/>
      <c r="B792" s="15"/>
    </row>
    <row r="793" ht="15.75" customHeight="1">
      <c r="A793" s="21"/>
      <c r="B793" s="15"/>
    </row>
    <row r="794" ht="15.75" customHeight="1">
      <c r="A794" s="21"/>
      <c r="B794" s="15"/>
    </row>
    <row r="795" ht="15.75" customHeight="1">
      <c r="A795" s="21"/>
      <c r="B795" s="15"/>
    </row>
    <row r="796" ht="15.75" customHeight="1">
      <c r="A796" s="21"/>
      <c r="B796" s="15"/>
    </row>
    <row r="797" ht="15.75" customHeight="1">
      <c r="A797" s="21"/>
      <c r="B797" s="15"/>
    </row>
    <row r="798" ht="15.75" customHeight="1">
      <c r="A798" s="21"/>
      <c r="B798" s="15"/>
    </row>
    <row r="799" ht="15.75" customHeight="1">
      <c r="A799" s="21"/>
      <c r="B799" s="15"/>
    </row>
    <row r="800" ht="15.75" customHeight="1">
      <c r="A800" s="21"/>
      <c r="B800" s="15"/>
    </row>
    <row r="801" ht="15.75" customHeight="1">
      <c r="A801" s="21"/>
      <c r="B801" s="15"/>
    </row>
    <row r="802" ht="15.75" customHeight="1">
      <c r="A802" s="21"/>
      <c r="B802" s="15"/>
    </row>
    <row r="803" ht="15.75" customHeight="1">
      <c r="A803" s="21"/>
      <c r="B803" s="15"/>
    </row>
    <row r="804" ht="15.75" customHeight="1">
      <c r="A804" s="21"/>
      <c r="B804" s="15"/>
    </row>
    <row r="805" ht="15.75" customHeight="1">
      <c r="A805" s="21"/>
      <c r="B805" s="15"/>
    </row>
    <row r="806" ht="15.75" customHeight="1">
      <c r="A806" s="21"/>
      <c r="B806" s="15"/>
    </row>
    <row r="807" ht="15.75" customHeight="1">
      <c r="A807" s="21"/>
      <c r="B807" s="15"/>
    </row>
    <row r="808" ht="15.75" customHeight="1">
      <c r="A808" s="21"/>
      <c r="B808" s="15"/>
    </row>
    <row r="809" ht="15.75" customHeight="1">
      <c r="A809" s="21"/>
      <c r="B809" s="15"/>
    </row>
    <row r="810" ht="15.75" customHeight="1">
      <c r="A810" s="21"/>
      <c r="B810" s="15"/>
    </row>
    <row r="811" ht="15.75" customHeight="1">
      <c r="A811" s="21"/>
      <c r="B811" s="15"/>
    </row>
    <row r="812" ht="15.75" customHeight="1">
      <c r="A812" s="21"/>
      <c r="B812" s="15"/>
    </row>
    <row r="813" ht="15.75" customHeight="1">
      <c r="A813" s="21"/>
      <c r="B813" s="15"/>
    </row>
    <row r="814" ht="15.75" customHeight="1">
      <c r="A814" s="21"/>
      <c r="B814" s="15"/>
    </row>
    <row r="815" ht="15.75" customHeight="1">
      <c r="A815" s="21"/>
      <c r="B815" s="15"/>
    </row>
    <row r="816" ht="15.75" customHeight="1">
      <c r="A816" s="21"/>
      <c r="B816" s="15"/>
    </row>
    <row r="817" ht="15.75" customHeight="1">
      <c r="A817" s="21"/>
      <c r="B817" s="15"/>
    </row>
    <row r="818" ht="15.75" customHeight="1">
      <c r="A818" s="21"/>
      <c r="B818" s="15"/>
    </row>
    <row r="819" ht="15.75" customHeight="1">
      <c r="A819" s="21"/>
      <c r="B819" s="15"/>
    </row>
    <row r="820" ht="15.75" customHeight="1">
      <c r="A820" s="21"/>
      <c r="B820" s="15"/>
    </row>
    <row r="821" ht="15.75" customHeight="1">
      <c r="A821" s="21"/>
      <c r="B821" s="15"/>
    </row>
    <row r="822" ht="15.75" customHeight="1">
      <c r="A822" s="21"/>
      <c r="B822" s="15"/>
    </row>
    <row r="823" ht="15.75" customHeight="1">
      <c r="A823" s="21"/>
      <c r="B823" s="15"/>
    </row>
    <row r="824" ht="15.75" customHeight="1">
      <c r="A824" s="21"/>
      <c r="B824" s="15"/>
    </row>
    <row r="825" ht="15.75" customHeight="1">
      <c r="A825" s="21"/>
      <c r="B825" s="15"/>
    </row>
    <row r="826" ht="15.75" customHeight="1">
      <c r="A826" s="21"/>
      <c r="B826" s="15"/>
    </row>
    <row r="827" ht="15.75" customHeight="1">
      <c r="A827" s="21"/>
      <c r="B827" s="15"/>
    </row>
    <row r="828" ht="15.75" customHeight="1">
      <c r="A828" s="21"/>
      <c r="B828" s="15"/>
    </row>
    <row r="829" ht="15.75" customHeight="1">
      <c r="A829" s="21"/>
      <c r="B829" s="15"/>
    </row>
    <row r="830" ht="15.75" customHeight="1">
      <c r="A830" s="21"/>
      <c r="B830" s="15"/>
    </row>
    <row r="831" ht="15.75" customHeight="1">
      <c r="A831" s="21"/>
      <c r="B831" s="15"/>
    </row>
    <row r="832" ht="15.75" customHeight="1">
      <c r="A832" s="21"/>
      <c r="B832" s="15"/>
    </row>
    <row r="833" ht="15.75" customHeight="1">
      <c r="A833" s="21"/>
      <c r="B833" s="15"/>
    </row>
    <row r="834" ht="15.75" customHeight="1">
      <c r="A834" s="21"/>
      <c r="B834" s="15"/>
    </row>
    <row r="835" ht="15.75" customHeight="1">
      <c r="A835" s="21"/>
      <c r="B835" s="15"/>
    </row>
    <row r="836" ht="15.75" customHeight="1">
      <c r="A836" s="21"/>
      <c r="B836" s="15"/>
    </row>
    <row r="837" ht="15.75" customHeight="1">
      <c r="A837" s="21"/>
      <c r="B837" s="15"/>
    </row>
    <row r="838" ht="15.75" customHeight="1">
      <c r="A838" s="21"/>
      <c r="B838" s="15"/>
    </row>
    <row r="839" ht="15.75" customHeight="1">
      <c r="A839" s="21"/>
      <c r="B839" s="15"/>
    </row>
    <row r="840" ht="15.75" customHeight="1">
      <c r="A840" s="21"/>
      <c r="B840" s="15"/>
    </row>
    <row r="841" ht="15.75" customHeight="1">
      <c r="A841" s="21"/>
      <c r="B841" s="15"/>
    </row>
    <row r="842" ht="15.75" customHeight="1">
      <c r="A842" s="21"/>
      <c r="B842" s="15"/>
    </row>
    <row r="843" ht="15.75" customHeight="1">
      <c r="A843" s="21"/>
      <c r="B843" s="15"/>
    </row>
    <row r="844" ht="15.75" customHeight="1">
      <c r="A844" s="21"/>
      <c r="B844" s="15"/>
    </row>
    <row r="845" ht="15.75" customHeight="1">
      <c r="A845" s="21"/>
      <c r="B845" s="15"/>
    </row>
    <row r="846" ht="15.75" customHeight="1">
      <c r="A846" s="21"/>
      <c r="B846" s="15"/>
    </row>
    <row r="847" ht="15.75" customHeight="1">
      <c r="A847" s="21"/>
      <c r="B847" s="15"/>
    </row>
    <row r="848" ht="15.75" customHeight="1">
      <c r="A848" s="21"/>
      <c r="B848" s="15"/>
    </row>
    <row r="849" ht="15.75" customHeight="1">
      <c r="A849" s="21"/>
      <c r="B849" s="15"/>
    </row>
    <row r="850" ht="15.75" customHeight="1">
      <c r="A850" s="21"/>
      <c r="B850" s="15"/>
    </row>
    <row r="851" ht="15.75" customHeight="1">
      <c r="A851" s="21"/>
      <c r="B851" s="15"/>
    </row>
    <row r="852" ht="15.75" customHeight="1">
      <c r="A852" s="21"/>
      <c r="B852" s="15"/>
    </row>
    <row r="853" ht="15.75" customHeight="1">
      <c r="A853" s="21"/>
      <c r="B853" s="15"/>
    </row>
    <row r="854" ht="15.75" customHeight="1">
      <c r="A854" s="21"/>
      <c r="B854" s="15"/>
    </row>
    <row r="855" ht="15.75" customHeight="1">
      <c r="A855" s="21"/>
      <c r="B855" s="15"/>
    </row>
    <row r="856" ht="15.75" customHeight="1">
      <c r="A856" s="21"/>
      <c r="B856" s="15"/>
    </row>
    <row r="857" ht="15.75" customHeight="1">
      <c r="A857" s="21"/>
      <c r="B857" s="15"/>
    </row>
    <row r="858" ht="15.75" customHeight="1">
      <c r="A858" s="21"/>
      <c r="B858" s="15"/>
    </row>
    <row r="859" ht="15.75" customHeight="1">
      <c r="A859" s="21"/>
      <c r="B859" s="15"/>
    </row>
    <row r="860" ht="15.75" customHeight="1">
      <c r="A860" s="21"/>
      <c r="B860" s="15"/>
    </row>
    <row r="861" ht="15.75" customHeight="1">
      <c r="A861" s="21"/>
      <c r="B861" s="15"/>
    </row>
    <row r="862" ht="15.75" customHeight="1">
      <c r="A862" s="21"/>
      <c r="B862" s="15"/>
    </row>
    <row r="863" ht="15.75" customHeight="1">
      <c r="A863" s="21"/>
      <c r="B863" s="15"/>
    </row>
    <row r="864" ht="15.75" customHeight="1">
      <c r="A864" s="21"/>
      <c r="B864" s="15"/>
    </row>
    <row r="865" ht="15.75" customHeight="1">
      <c r="A865" s="21"/>
      <c r="B865" s="15"/>
    </row>
    <row r="866" ht="15.75" customHeight="1">
      <c r="A866" s="21"/>
      <c r="B866" s="15"/>
    </row>
    <row r="867" ht="15.75" customHeight="1">
      <c r="A867" s="21"/>
      <c r="B867" s="15"/>
    </row>
    <row r="868" ht="15.75" customHeight="1">
      <c r="A868" s="21"/>
      <c r="B868" s="15"/>
    </row>
    <row r="869" ht="15.75" customHeight="1">
      <c r="A869" s="21"/>
      <c r="B869" s="15"/>
    </row>
    <row r="870" ht="15.75" customHeight="1">
      <c r="A870" s="21"/>
      <c r="B870" s="15"/>
    </row>
    <row r="871" ht="15.75" customHeight="1">
      <c r="A871" s="21"/>
      <c r="B871" s="15"/>
    </row>
    <row r="872" ht="15.75" customHeight="1">
      <c r="A872" s="21"/>
      <c r="B872" s="15"/>
    </row>
    <row r="873" ht="15.75" customHeight="1">
      <c r="A873" s="21"/>
      <c r="B873" s="15"/>
    </row>
    <row r="874" ht="15.75" customHeight="1">
      <c r="A874" s="21"/>
      <c r="B874" s="15"/>
    </row>
    <row r="875" ht="15.75" customHeight="1">
      <c r="A875" s="21"/>
      <c r="B875" s="15"/>
    </row>
    <row r="876" ht="15.75" customHeight="1">
      <c r="A876" s="21"/>
      <c r="B876" s="15"/>
    </row>
    <row r="877" ht="15.75" customHeight="1">
      <c r="A877" s="21"/>
      <c r="B877" s="15"/>
    </row>
    <row r="878" ht="15.75" customHeight="1">
      <c r="A878" s="21"/>
      <c r="B878" s="15"/>
    </row>
    <row r="879" ht="15.75" customHeight="1">
      <c r="A879" s="21"/>
      <c r="B879" s="15"/>
    </row>
    <row r="880" ht="15.75" customHeight="1">
      <c r="A880" s="21"/>
      <c r="B880" s="15"/>
    </row>
    <row r="881" ht="15.75" customHeight="1">
      <c r="A881" s="21"/>
      <c r="B881" s="15"/>
    </row>
    <row r="882" ht="15.75" customHeight="1">
      <c r="A882" s="21"/>
      <c r="B882" s="15"/>
    </row>
    <row r="883" ht="15.75" customHeight="1">
      <c r="A883" s="21"/>
      <c r="B883" s="15"/>
    </row>
    <row r="884" ht="15.75" customHeight="1">
      <c r="A884" s="21"/>
      <c r="B884" s="15"/>
    </row>
    <row r="885" ht="15.75" customHeight="1">
      <c r="A885" s="21"/>
      <c r="B885" s="15"/>
    </row>
    <row r="886" ht="15.75" customHeight="1">
      <c r="A886" s="21"/>
      <c r="B886" s="15"/>
    </row>
    <row r="887" ht="15.75" customHeight="1">
      <c r="A887" s="21"/>
      <c r="B887" s="15"/>
    </row>
    <row r="888" ht="15.75" customHeight="1">
      <c r="A888" s="21"/>
      <c r="B888" s="15"/>
    </row>
    <row r="889" ht="15.75" customHeight="1">
      <c r="A889" s="21"/>
      <c r="B889" s="15"/>
    </row>
    <row r="890" ht="15.75" customHeight="1">
      <c r="A890" s="21"/>
      <c r="B890" s="15"/>
    </row>
    <row r="891" ht="15.75" customHeight="1">
      <c r="A891" s="21"/>
      <c r="B891" s="15"/>
    </row>
    <row r="892" ht="15.75" customHeight="1">
      <c r="A892" s="21"/>
      <c r="B892" s="15"/>
    </row>
    <row r="893" ht="15.75" customHeight="1">
      <c r="A893" s="21"/>
      <c r="B893" s="15"/>
    </row>
    <row r="894" ht="15.75" customHeight="1">
      <c r="A894" s="21"/>
      <c r="B894" s="15"/>
    </row>
    <row r="895" ht="15.75" customHeight="1">
      <c r="A895" s="21"/>
      <c r="B895" s="15"/>
    </row>
    <row r="896" ht="15.75" customHeight="1">
      <c r="A896" s="21"/>
      <c r="B896" s="15"/>
    </row>
    <row r="897" ht="15.75" customHeight="1">
      <c r="A897" s="21"/>
      <c r="B897" s="15"/>
    </row>
    <row r="898" ht="15.75" customHeight="1">
      <c r="A898" s="21"/>
      <c r="B898" s="15"/>
    </row>
    <row r="899" ht="15.75" customHeight="1">
      <c r="A899" s="21"/>
      <c r="B899" s="15"/>
    </row>
    <row r="900" ht="15.75" customHeight="1">
      <c r="A900" s="21"/>
      <c r="B900" s="15"/>
    </row>
    <row r="901" ht="15.75" customHeight="1">
      <c r="A901" s="21"/>
      <c r="B901" s="15"/>
    </row>
    <row r="902" ht="15.75" customHeight="1">
      <c r="A902" s="21"/>
      <c r="B902" s="15"/>
    </row>
    <row r="903" ht="15.75" customHeight="1">
      <c r="A903" s="21"/>
      <c r="B903" s="15"/>
    </row>
    <row r="904" ht="15.75" customHeight="1">
      <c r="A904" s="21"/>
      <c r="B904" s="15"/>
    </row>
    <row r="905" ht="15.75" customHeight="1">
      <c r="A905" s="21"/>
      <c r="B905" s="15"/>
    </row>
    <row r="906" ht="15.75" customHeight="1">
      <c r="A906" s="21"/>
      <c r="B906" s="15"/>
    </row>
    <row r="907" ht="15.75" customHeight="1">
      <c r="A907" s="21"/>
      <c r="B907" s="15"/>
    </row>
    <row r="908" ht="15.75" customHeight="1">
      <c r="A908" s="21"/>
      <c r="B908" s="15"/>
    </row>
    <row r="909" ht="15.75" customHeight="1">
      <c r="A909" s="21"/>
      <c r="B909" s="15"/>
    </row>
    <row r="910" ht="15.75" customHeight="1">
      <c r="A910" s="21"/>
      <c r="B910" s="15"/>
    </row>
    <row r="911" ht="15.75" customHeight="1">
      <c r="A911" s="21"/>
      <c r="B911" s="15"/>
    </row>
    <row r="912" ht="15.75" customHeight="1">
      <c r="A912" s="21"/>
      <c r="B912" s="15"/>
    </row>
    <row r="913" ht="15.75" customHeight="1">
      <c r="A913" s="21"/>
      <c r="B913" s="15"/>
    </row>
    <row r="914" ht="15.75" customHeight="1">
      <c r="A914" s="21"/>
      <c r="B914" s="15"/>
    </row>
    <row r="915" ht="15.75" customHeight="1">
      <c r="A915" s="21"/>
      <c r="B915" s="15"/>
    </row>
    <row r="916" ht="15.75" customHeight="1">
      <c r="A916" s="21"/>
      <c r="B916" s="15"/>
    </row>
    <row r="917" ht="15.75" customHeight="1">
      <c r="A917" s="21"/>
      <c r="B917" s="15"/>
    </row>
    <row r="918" ht="15.75" customHeight="1">
      <c r="A918" s="21"/>
      <c r="B918" s="15"/>
    </row>
    <row r="919" ht="15.75" customHeight="1">
      <c r="A919" s="21"/>
      <c r="B919" s="15"/>
    </row>
    <row r="920" ht="15.75" customHeight="1">
      <c r="A920" s="21"/>
      <c r="B920" s="15"/>
    </row>
    <row r="921" ht="15.75" customHeight="1">
      <c r="A921" s="21"/>
      <c r="B921" s="15"/>
    </row>
    <row r="922" ht="15.75" customHeight="1">
      <c r="A922" s="21"/>
      <c r="B922" s="15"/>
    </row>
    <row r="923" ht="15.75" customHeight="1">
      <c r="A923" s="21"/>
      <c r="B923" s="15"/>
    </row>
    <row r="924" ht="15.75" customHeight="1">
      <c r="A924" s="21"/>
      <c r="B924" s="15"/>
    </row>
    <row r="925" ht="15.75" customHeight="1">
      <c r="A925" s="21"/>
      <c r="B925" s="15"/>
    </row>
    <row r="926" ht="15.75" customHeight="1">
      <c r="A926" s="21"/>
      <c r="B926" s="15"/>
    </row>
    <row r="927" ht="15.75" customHeight="1">
      <c r="A927" s="21"/>
      <c r="B927" s="15"/>
    </row>
    <row r="928" ht="15.75" customHeight="1">
      <c r="A928" s="21"/>
      <c r="B928" s="15"/>
    </row>
    <row r="929" ht="15.75" customHeight="1">
      <c r="A929" s="21"/>
      <c r="B929" s="15"/>
    </row>
    <row r="930" ht="15.75" customHeight="1">
      <c r="A930" s="21"/>
      <c r="B930" s="15"/>
    </row>
    <row r="931" ht="15.75" customHeight="1">
      <c r="A931" s="21"/>
      <c r="B931" s="15"/>
    </row>
    <row r="932" ht="15.75" customHeight="1">
      <c r="A932" s="21"/>
      <c r="B932" s="15"/>
    </row>
    <row r="933" ht="15.75" customHeight="1">
      <c r="A933" s="21"/>
      <c r="B933" s="15"/>
    </row>
    <row r="934" ht="15.75" customHeight="1">
      <c r="A934" s="21"/>
      <c r="B934" s="15"/>
    </row>
    <row r="935" ht="15.75" customHeight="1">
      <c r="A935" s="21"/>
      <c r="B935" s="15"/>
    </row>
    <row r="936" ht="15.75" customHeight="1">
      <c r="A936" s="21"/>
      <c r="B936" s="15"/>
    </row>
    <row r="937" ht="15.75" customHeight="1">
      <c r="A937" s="21"/>
      <c r="B937" s="15"/>
    </row>
    <row r="938" ht="15.75" customHeight="1">
      <c r="A938" s="21"/>
      <c r="B938" s="15"/>
    </row>
    <row r="939" ht="15.75" customHeight="1">
      <c r="A939" s="21"/>
      <c r="B939" s="15"/>
    </row>
    <row r="940" ht="15.75" customHeight="1">
      <c r="A940" s="21"/>
      <c r="B940" s="15"/>
    </row>
    <row r="941" ht="15.75" customHeight="1">
      <c r="A941" s="21"/>
      <c r="B941" s="15"/>
    </row>
    <row r="942" ht="15.75" customHeight="1">
      <c r="A942" s="21"/>
      <c r="B942" s="15"/>
    </row>
    <row r="943" ht="15.75" customHeight="1">
      <c r="A943" s="21"/>
      <c r="B943" s="15"/>
    </row>
    <row r="944" ht="15.75" customHeight="1">
      <c r="A944" s="21"/>
      <c r="B944" s="15"/>
    </row>
    <row r="945" ht="15.75" customHeight="1">
      <c r="A945" s="21"/>
      <c r="B945" s="15"/>
    </row>
    <row r="946" ht="15.75" customHeight="1">
      <c r="A946" s="21"/>
      <c r="B946" s="15"/>
    </row>
    <row r="947" ht="15.75" customHeight="1">
      <c r="A947" s="21"/>
      <c r="B947" s="15"/>
    </row>
    <row r="948" ht="15.75" customHeight="1">
      <c r="A948" s="21"/>
      <c r="B948" s="15"/>
    </row>
    <row r="949" ht="15.75" customHeight="1">
      <c r="A949" s="21"/>
      <c r="B949" s="15"/>
    </row>
    <row r="950" ht="15.75" customHeight="1">
      <c r="A950" s="21"/>
      <c r="B950" s="15"/>
    </row>
    <row r="951" ht="15.75" customHeight="1">
      <c r="A951" s="21"/>
      <c r="B951" s="15"/>
    </row>
    <row r="952" ht="15.75" customHeight="1">
      <c r="A952" s="21"/>
      <c r="B952" s="15"/>
    </row>
    <row r="953" ht="15.75" customHeight="1">
      <c r="A953" s="21"/>
      <c r="B953" s="15"/>
    </row>
    <row r="954" ht="15.75" customHeight="1">
      <c r="A954" s="21"/>
      <c r="B954" s="15"/>
    </row>
    <row r="955" ht="15.75" customHeight="1">
      <c r="A955" s="21"/>
      <c r="B955" s="15"/>
    </row>
    <row r="956" ht="15.75" customHeight="1">
      <c r="A956" s="21"/>
      <c r="B956" s="15"/>
    </row>
    <row r="957" ht="15.75" customHeight="1">
      <c r="A957" s="21"/>
      <c r="B957" s="15"/>
    </row>
    <row r="958" ht="15.75" customHeight="1">
      <c r="A958" s="21"/>
      <c r="B958" s="15"/>
    </row>
    <row r="959" ht="15.75" customHeight="1">
      <c r="A959" s="21"/>
      <c r="B959" s="15"/>
    </row>
    <row r="960" ht="15.75" customHeight="1">
      <c r="A960" s="21"/>
      <c r="B960" s="15"/>
    </row>
    <row r="961" ht="15.75" customHeight="1">
      <c r="A961" s="21"/>
      <c r="B961" s="15"/>
    </row>
    <row r="962" ht="15.75" customHeight="1">
      <c r="A962" s="21"/>
      <c r="B962" s="15"/>
    </row>
    <row r="963" ht="15.75" customHeight="1">
      <c r="A963" s="21"/>
      <c r="B963" s="15"/>
    </row>
    <row r="964" ht="15.75" customHeight="1">
      <c r="A964" s="21"/>
      <c r="B964" s="15"/>
    </row>
    <row r="965" ht="15.75" customHeight="1">
      <c r="A965" s="21"/>
      <c r="B965" s="15"/>
    </row>
    <row r="966" ht="15.75" customHeight="1">
      <c r="A966" s="21"/>
      <c r="B966" s="15"/>
    </row>
    <row r="967" ht="15.75" customHeight="1">
      <c r="A967" s="21"/>
      <c r="B967" s="15"/>
    </row>
    <row r="968" ht="15.75" customHeight="1">
      <c r="A968" s="21"/>
      <c r="B968" s="15"/>
    </row>
    <row r="969" ht="15.75" customHeight="1">
      <c r="A969" s="21"/>
      <c r="B969" s="15"/>
    </row>
    <row r="970" ht="15.75" customHeight="1">
      <c r="A970" s="21"/>
      <c r="B970" s="15"/>
    </row>
    <row r="971" ht="15.75" customHeight="1">
      <c r="A971" s="21"/>
      <c r="B971" s="15"/>
    </row>
    <row r="972" ht="15.75" customHeight="1">
      <c r="A972" s="21"/>
      <c r="B972" s="15"/>
    </row>
    <row r="973" ht="15.75" customHeight="1">
      <c r="A973" s="21"/>
      <c r="B973" s="15"/>
    </row>
    <row r="974" ht="15.75" customHeight="1">
      <c r="A974" s="21"/>
      <c r="B974" s="15"/>
    </row>
    <row r="975" ht="15.75" customHeight="1">
      <c r="A975" s="21"/>
      <c r="B975" s="15"/>
    </row>
    <row r="976" ht="15.75" customHeight="1">
      <c r="A976" s="21"/>
      <c r="B976" s="15"/>
    </row>
    <row r="977" ht="15.75" customHeight="1">
      <c r="A977" s="21"/>
      <c r="B977" s="15"/>
    </row>
    <row r="978" ht="15.75" customHeight="1">
      <c r="A978" s="21"/>
      <c r="B978" s="15"/>
    </row>
    <row r="979" ht="15.75" customHeight="1">
      <c r="A979" s="21"/>
      <c r="B979" s="15"/>
    </row>
    <row r="980" ht="15.75" customHeight="1">
      <c r="A980" s="21"/>
      <c r="B980" s="15"/>
    </row>
    <row r="981" ht="15.75" customHeight="1">
      <c r="A981" s="21"/>
      <c r="B981" s="15"/>
    </row>
    <row r="982" ht="15.75" customHeight="1">
      <c r="A982" s="21"/>
      <c r="B982" s="15"/>
    </row>
    <row r="983" ht="15.75" customHeight="1">
      <c r="A983" s="21"/>
      <c r="B983" s="15"/>
    </row>
    <row r="984" ht="15.75" customHeight="1">
      <c r="A984" s="21"/>
      <c r="B984" s="15"/>
    </row>
    <row r="985" ht="15.75" customHeight="1">
      <c r="A985" s="21"/>
      <c r="B985" s="15"/>
    </row>
    <row r="986" ht="15.75" customHeight="1">
      <c r="A986" s="21"/>
      <c r="B986" s="15"/>
    </row>
    <row r="987" ht="15.75" customHeight="1">
      <c r="A987" s="21"/>
      <c r="B987" s="15"/>
    </row>
    <row r="988" ht="15.75" customHeight="1">
      <c r="A988" s="21"/>
      <c r="B988" s="15"/>
    </row>
    <row r="989" ht="15.75" customHeight="1">
      <c r="A989" s="21"/>
      <c r="B989" s="15"/>
    </row>
    <row r="990" ht="15.75" customHeight="1">
      <c r="A990" s="21"/>
      <c r="B990" s="15"/>
    </row>
    <row r="991" ht="15.75" customHeight="1">
      <c r="A991" s="21"/>
      <c r="B991" s="15"/>
    </row>
    <row r="992" ht="15.75" customHeight="1">
      <c r="A992" s="21"/>
      <c r="B992" s="15"/>
    </row>
    <row r="993" ht="15.75" customHeight="1">
      <c r="A993" s="21"/>
      <c r="B993" s="15"/>
    </row>
    <row r="994" ht="15.75" customHeight="1">
      <c r="A994" s="21"/>
      <c r="B994" s="15"/>
    </row>
    <row r="995" ht="15.75" customHeight="1">
      <c r="A995" s="21"/>
      <c r="B995" s="15"/>
    </row>
    <row r="996" ht="15.75" customHeight="1">
      <c r="A996" s="21"/>
      <c r="B996" s="15"/>
    </row>
    <row r="997" ht="15.75" customHeight="1">
      <c r="A997" s="21"/>
      <c r="B997" s="15"/>
    </row>
    <row r="998" ht="15.75" customHeight="1">
      <c r="A998" s="21"/>
      <c r="B998" s="15"/>
    </row>
    <row r="999" ht="15.75" customHeight="1">
      <c r="A999" s="21"/>
      <c r="B999" s="15"/>
    </row>
    <row r="1000" ht="15.75" customHeight="1">
      <c r="A1000" s="21"/>
      <c r="B1000" s="15"/>
    </row>
  </sheetData>
  <dataValidations>
    <dataValidation type="list" allowBlank="1" sqref="G2:G500">
      <formula1>"OK,BP no coincide,Correo no coincide,Usuario inactivo,Usuario no registrado"</formula1>
    </dataValidation>
    <dataValidation type="list" allowBlank="1" sqref="F2:F500">
      <formula1>"Ingreso,Salida,Intento fallido"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8.0"/>
    <col customWidth="1" min="3" max="3" width="15.0"/>
    <col customWidth="1" min="4" max="4" width="16.0"/>
    <col customWidth="1" min="5" max="5" width="20.0"/>
    <col customWidth="1" min="6" max="6" width="22.0"/>
    <col customWidth="1" min="7" max="7" width="16.0"/>
    <col customWidth="1" min="8" max="8" width="18.0"/>
    <col customWidth="1" min="9" max="26" width="8.71"/>
  </cols>
  <sheetData>
    <row r="1" ht="31.5" customHeight="1">
      <c r="A1" s="11" t="s">
        <v>31</v>
      </c>
      <c r="B1" s="11" t="s">
        <v>32</v>
      </c>
      <c r="C1" s="11" t="s">
        <v>3</v>
      </c>
      <c r="D1" s="11" t="s">
        <v>255</v>
      </c>
      <c r="E1" s="11" t="s">
        <v>256</v>
      </c>
      <c r="F1" s="11" t="s">
        <v>257</v>
      </c>
      <c r="G1" s="11" t="s">
        <v>258</v>
      </c>
      <c r="H1" s="11" t="s">
        <v>259</v>
      </c>
    </row>
    <row r="2">
      <c r="A2" s="12" t="str">
        <f>IF(Usuarios!$A2="","",Usuarios!$A2)</f>
        <v>2713993</v>
      </c>
      <c r="B2" s="13" t="str">
        <f>IF($A2="","",Usuarios!$B2)</f>
        <v>Fiorella Ruiz</v>
      </c>
      <c r="C2" s="13" t="str">
        <f>IF($A2="","",Usuarios!$E2)</f>
        <v>Instructor</v>
      </c>
      <c r="D2" s="13">
        <f>IF($A2="","",COUNTIFS(Registro!$B:$B,$A2,Registro!$F:$F,"Ingreso"))</f>
        <v>0</v>
      </c>
      <c r="E2" s="22" t="str">
        <f>IF($A2="","",IF($D2=0,"",MAXIFS(Registro!$A:$A,Registro!$B:$B,$A2,Registro!$F:$F,"Ingreso")))</f>
        <v/>
      </c>
      <c r="F2" s="22" t="str">
        <f>IF($A2="","",IF(COUNTIFS(Registro!$B:$B,$A2,Registro!$F:$F,"Salida")=0,"",MAXIFS(Registro!$A:$A,Registro!$B:$B,$A2,Registro!$F:$F,"Salida")))</f>
        <v/>
      </c>
      <c r="G2" s="13">
        <f>IF($A2="","",COUNTIFS(Registro!$B:$B,$A2,Registro!$F:$F,"Intento fallido"))</f>
        <v>0</v>
      </c>
      <c r="H2" s="23" t="str">
        <f t="shared" ref="H2:H41" si="1">IF($E2="","",TODAY()-INT($E2))</f>
        <v/>
      </c>
    </row>
    <row r="3">
      <c r="A3" s="12" t="str">
        <f>IF(Usuarios!$A3="","",Usuarios!$A3)</f>
        <v>2396710</v>
      </c>
      <c r="B3" s="13" t="str">
        <f>IF($A3="","",Usuarios!$B3)</f>
        <v>Sebastian Correa</v>
      </c>
      <c r="C3" s="13" t="str">
        <f>IF($A3="","",Usuarios!$E3)</f>
        <v>Instructor</v>
      </c>
      <c r="D3" s="13">
        <f>IF($A3="","",COUNTIFS(Registro!$B:$B,$A3,Registro!$F:$F,"Ingreso"))</f>
        <v>0</v>
      </c>
      <c r="E3" s="22" t="str">
        <f>IF($A3="","",IF($D3=0,"",MAXIFS(Registro!$A:$A,Registro!$B:$B,$A3,Registro!$F:$F,"Ingreso")))</f>
        <v/>
      </c>
      <c r="F3" s="22" t="str">
        <f>IF($A3="","",IF(COUNTIFS(Registro!$B:$B,$A3,Registro!$F:$F,"Salida")=0,"",MAXIFS(Registro!$A:$A,Registro!$B:$B,$A3,Registro!$F:$F,"Salida")))</f>
        <v/>
      </c>
      <c r="G3" s="13">
        <f>IF($A3="","",COUNTIFS(Registro!$B:$B,$A3,Registro!$F:$F,"Intento fallido"))</f>
        <v>0</v>
      </c>
      <c r="H3" s="23" t="str">
        <f t="shared" si="1"/>
        <v/>
      </c>
    </row>
    <row r="4">
      <c r="A4" s="12" t="str">
        <f>IF(Usuarios!$A4="","",Usuarios!$A4)</f>
        <v>1271571</v>
      </c>
      <c r="B4" s="13" t="str">
        <f>IF($A4="","",Usuarios!$B4)</f>
        <v>Christian Rondon</v>
      </c>
      <c r="C4" s="13" t="str">
        <f>IF($A4="","",Usuarios!$E4)</f>
        <v>Instructor</v>
      </c>
      <c r="D4" s="13">
        <f>IF($A4="","",COUNTIFS(Registro!$B:$B,$A4,Registro!$F:$F,"Ingreso"))</f>
        <v>0</v>
      </c>
      <c r="E4" s="22" t="str">
        <f>IF($A4="","",IF($D4=0,"",MAXIFS(Registro!$A:$A,Registro!$B:$B,$A4,Registro!$F:$F,"Ingreso")))</f>
        <v/>
      </c>
      <c r="F4" s="22" t="str">
        <f>IF($A4="","",IF(COUNTIFS(Registro!$B:$B,$A4,Registro!$F:$F,"Salida")=0,"",MAXIFS(Registro!$A:$A,Registro!$B:$B,$A4,Registro!$F:$F,"Salida")))</f>
        <v/>
      </c>
      <c r="G4" s="13">
        <f>IF($A4="","",COUNTIFS(Registro!$B:$B,$A4,Registro!$F:$F,"Intento fallido"))</f>
        <v>0</v>
      </c>
      <c r="H4" s="23" t="str">
        <f t="shared" si="1"/>
        <v/>
      </c>
    </row>
    <row r="5">
      <c r="A5" s="12" t="str">
        <f>IF(Usuarios!$A5="","",Usuarios!$A5)</f>
        <v>2843319</v>
      </c>
      <c r="B5" s="13" t="str">
        <f>IF($A5="","",Usuarios!$B5)</f>
        <v>Karen Santa Cruz</v>
      </c>
      <c r="C5" s="13" t="str">
        <f>IF($A5="","",Usuarios!$E5)</f>
        <v>Instructor</v>
      </c>
      <c r="D5" s="13">
        <f>IF($A5="","",COUNTIFS(Registro!$B:$B,$A5,Registro!$F:$F,"Ingreso"))</f>
        <v>0</v>
      </c>
      <c r="E5" s="22" t="str">
        <f>IF($A5="","",IF($D5=0,"",MAXIFS(Registro!$A:$A,Registro!$B:$B,$A5,Registro!$F:$F,"Ingreso")))</f>
        <v/>
      </c>
      <c r="F5" s="22" t="str">
        <f>IF($A5="","",IF(COUNTIFS(Registro!$B:$B,$A5,Registro!$F:$F,"Salida")=0,"",MAXIFS(Registro!$A:$A,Registro!$B:$B,$A5,Registro!$F:$F,"Salida")))</f>
        <v/>
      </c>
      <c r="G5" s="13">
        <f>IF($A5="","",COUNTIFS(Registro!$B:$B,$A5,Registro!$F:$F,"Intento fallido"))</f>
        <v>0</v>
      </c>
      <c r="H5" s="23" t="str">
        <f t="shared" si="1"/>
        <v/>
      </c>
    </row>
    <row r="6">
      <c r="A6" s="12" t="str">
        <f>IF(Usuarios!$A6="","",Usuarios!$A6)</f>
        <v>3779550</v>
      </c>
      <c r="B6" s="13" t="str">
        <f>IF($A6="","",Usuarios!$B6)</f>
        <v>Jennifert Acurio</v>
      </c>
      <c r="C6" s="13" t="str">
        <f>IF($A6="","",Usuarios!$E6)</f>
        <v>Instructor</v>
      </c>
      <c r="D6" s="13">
        <f>IF($A6="","",COUNTIFS(Registro!$B:$B,$A6,Registro!$F:$F,"Ingreso"))</f>
        <v>0</v>
      </c>
      <c r="E6" s="22" t="str">
        <f>IF($A6="","",IF($D6=0,"",MAXIFS(Registro!$A:$A,Registro!$B:$B,$A6,Registro!$F:$F,"Ingreso")))</f>
        <v/>
      </c>
      <c r="F6" s="22" t="str">
        <f>IF($A6="","",IF(COUNTIFS(Registro!$B:$B,$A6,Registro!$F:$F,"Salida")=0,"",MAXIFS(Registro!$A:$A,Registro!$B:$B,$A6,Registro!$F:$F,"Salida")))</f>
        <v/>
      </c>
      <c r="G6" s="13">
        <f>IF($A6="","",COUNTIFS(Registro!$B:$B,$A6,Registro!$F:$F,"Intento fallido"))</f>
        <v>0</v>
      </c>
      <c r="H6" s="23" t="str">
        <f t="shared" si="1"/>
        <v/>
      </c>
    </row>
    <row r="7">
      <c r="A7" s="12" t="str">
        <f>IF(Usuarios!$A7="","",Usuarios!$A7)</f>
        <v>29530</v>
      </c>
      <c r="B7" s="13" t="str">
        <f>IF($A7="","",Usuarios!$B7)</f>
        <v>Jazmin Guerra</v>
      </c>
      <c r="C7" s="13" t="str">
        <f>IF($A7="","",Usuarios!$E7)</f>
        <v>Instructor</v>
      </c>
      <c r="D7" s="13">
        <f>IF($A7="","",COUNTIFS(Registro!$B:$B,$A7,Registro!$F:$F,"Ingreso"))</f>
        <v>0</v>
      </c>
      <c r="E7" s="22" t="str">
        <f>IF($A7="","",IF($D7=0,"",MAXIFS(Registro!$A:$A,Registro!$B:$B,$A7,Registro!$F:$F,"Ingreso")))</f>
        <v/>
      </c>
      <c r="F7" s="22" t="str">
        <f>IF($A7="","",IF(COUNTIFS(Registro!$B:$B,$A7,Registro!$F:$F,"Salida")=0,"",MAXIFS(Registro!$A:$A,Registro!$B:$B,$A7,Registro!$F:$F,"Salida")))</f>
        <v/>
      </c>
      <c r="G7" s="13">
        <f>IF($A7="","",COUNTIFS(Registro!$B:$B,$A7,Registro!$F:$F,"Intento fallido"))</f>
        <v>0</v>
      </c>
      <c r="H7" s="23" t="str">
        <f t="shared" si="1"/>
        <v/>
      </c>
    </row>
    <row r="8">
      <c r="A8" s="12" t="str">
        <f>IF(Usuarios!$A8="","",Usuarios!$A8)</f>
        <v>3217561</v>
      </c>
      <c r="B8" s="13" t="str">
        <f>IF($A8="","",Usuarios!$B8)</f>
        <v>Claudia Flores</v>
      </c>
      <c r="C8" s="13" t="str">
        <f>IF($A8="","",Usuarios!$E8)</f>
        <v>Instructor</v>
      </c>
      <c r="D8" s="13">
        <f>IF($A8="","",COUNTIFS(Registro!$B:$B,$A8,Registro!$F:$F,"Ingreso"))</f>
        <v>0</v>
      </c>
      <c r="E8" s="22" t="str">
        <f>IF($A8="","",IF($D8=0,"",MAXIFS(Registro!$A:$A,Registro!$B:$B,$A8,Registro!$F:$F,"Ingreso")))</f>
        <v/>
      </c>
      <c r="F8" s="22" t="str">
        <f>IF($A8="","",IF(COUNTIFS(Registro!$B:$B,$A8,Registro!$F:$F,"Salida")=0,"",MAXIFS(Registro!$A:$A,Registro!$B:$B,$A8,Registro!$F:$F,"Salida")))</f>
        <v/>
      </c>
      <c r="G8" s="13">
        <f>IF($A8="","",COUNTIFS(Registro!$B:$B,$A8,Registro!$F:$F,"Intento fallido"))</f>
        <v>0</v>
      </c>
      <c r="H8" s="23" t="str">
        <f t="shared" si="1"/>
        <v/>
      </c>
    </row>
    <row r="9">
      <c r="A9" s="12" t="str">
        <f>IF(Usuarios!$A9="","",Usuarios!$A9)</f>
        <v>71348</v>
      </c>
      <c r="B9" s="13" t="str">
        <f>IF($A9="","",Usuarios!$B9)</f>
        <v>Karla Moz</v>
      </c>
      <c r="C9" s="13" t="str">
        <f>IF($A9="","",Usuarios!$E9)</f>
        <v>Instructor</v>
      </c>
      <c r="D9" s="13">
        <f>IF($A9="","",COUNTIFS(Registro!$B:$B,$A9,Registro!$F:$F,"Ingreso"))</f>
        <v>0</v>
      </c>
      <c r="E9" s="22" t="str">
        <f>IF($A9="","",IF($D9=0,"",MAXIFS(Registro!$A:$A,Registro!$B:$B,$A9,Registro!$F:$F,"Ingreso")))</f>
        <v/>
      </c>
      <c r="F9" s="22" t="str">
        <f>IF($A9="","",IF(COUNTIFS(Registro!$B:$B,$A9,Registro!$F:$F,"Salida")=0,"",MAXIFS(Registro!$A:$A,Registro!$B:$B,$A9,Registro!$F:$F,"Salida")))</f>
        <v/>
      </c>
      <c r="G9" s="13">
        <f>IF($A9="","",COUNTIFS(Registro!$B:$B,$A9,Registro!$F:$F,"Intento fallido"))</f>
        <v>0</v>
      </c>
      <c r="H9" s="23" t="str">
        <f t="shared" si="1"/>
        <v/>
      </c>
    </row>
    <row r="10">
      <c r="A10" s="12" t="str">
        <f>IF(Usuarios!$A10="","",Usuarios!$A10)</f>
        <v>967092</v>
      </c>
      <c r="B10" s="13" t="str">
        <f>IF($A10="","",Usuarios!$B10)</f>
        <v>Erika Dávila</v>
      </c>
      <c r="C10" s="13" t="str">
        <f>IF($A10="","",Usuarios!$E10)</f>
        <v>Instructor</v>
      </c>
      <c r="D10" s="13">
        <f>IF($A10="","",COUNTIFS(Registro!$B:$B,$A10,Registro!$F:$F,"Ingreso"))</f>
        <v>0</v>
      </c>
      <c r="E10" s="22" t="str">
        <f>IF($A10="","",IF($D10=0,"",MAXIFS(Registro!$A:$A,Registro!$B:$B,$A10,Registro!$F:$F,"Ingreso")))</f>
        <v/>
      </c>
      <c r="F10" s="22" t="str">
        <f>IF($A10="","",IF(COUNTIFS(Registro!$B:$B,$A10,Registro!$F:$F,"Salida")=0,"",MAXIFS(Registro!$A:$A,Registro!$B:$B,$A10,Registro!$F:$F,"Salida")))</f>
        <v/>
      </c>
      <c r="G10" s="13">
        <f>IF($A10="","",COUNTIFS(Registro!$B:$B,$A10,Registro!$F:$F,"Intento fallido"))</f>
        <v>0</v>
      </c>
      <c r="H10" s="23" t="str">
        <f t="shared" si="1"/>
        <v/>
      </c>
    </row>
    <row r="11">
      <c r="A11" s="12" t="str">
        <f>IF(Usuarios!$A11="","",Usuarios!$A11)</f>
        <v>2369641</v>
      </c>
      <c r="B11" s="13" t="str">
        <f>IF($A11="","",Usuarios!$B11)</f>
        <v>Elizabeth Torres</v>
      </c>
      <c r="C11" s="13" t="str">
        <f>IF($A11="","",Usuarios!$E11)</f>
        <v>Instructor</v>
      </c>
      <c r="D11" s="13">
        <f>IF($A11="","",COUNTIFS(Registro!$B:$B,$A11,Registro!$F:$F,"Ingreso"))</f>
        <v>0</v>
      </c>
      <c r="E11" s="22" t="str">
        <f>IF($A11="","",IF($D11=0,"",MAXIFS(Registro!$A:$A,Registro!$B:$B,$A11,Registro!$F:$F,"Ingreso")))</f>
        <v/>
      </c>
      <c r="F11" s="22" t="str">
        <f>IF($A11="","",IF(COUNTIFS(Registro!$B:$B,$A11,Registro!$F:$F,"Salida")=0,"",MAXIFS(Registro!$A:$A,Registro!$B:$B,$A11,Registro!$F:$F,"Salida")))</f>
        <v/>
      </c>
      <c r="G11" s="13">
        <f>IF($A11="","",COUNTIFS(Registro!$B:$B,$A11,Registro!$F:$F,"Intento fallido"))</f>
        <v>0</v>
      </c>
      <c r="H11" s="23" t="str">
        <f t="shared" si="1"/>
        <v/>
      </c>
    </row>
    <row r="12">
      <c r="A12" s="12" t="str">
        <f>IF(Usuarios!$A12="","",Usuarios!$A12)</f>
        <v>2369624</v>
      </c>
      <c r="B12" s="13" t="str">
        <f>IF($A12="","",Usuarios!$B12)</f>
        <v>Patricia Najar</v>
      </c>
      <c r="C12" s="13" t="str">
        <f>IF($A12="","",Usuarios!$E12)</f>
        <v>Instructor</v>
      </c>
      <c r="D12" s="13">
        <f>IF($A12="","",COUNTIFS(Registro!$B:$B,$A12,Registro!$F:$F,"Ingreso"))</f>
        <v>0</v>
      </c>
      <c r="E12" s="22" t="str">
        <f>IF($A12="","",IF($D12=0,"",MAXIFS(Registro!$A:$A,Registro!$B:$B,$A12,Registro!$F:$F,"Ingreso")))</f>
        <v/>
      </c>
      <c r="F12" s="22" t="str">
        <f>IF($A12="","",IF(COUNTIFS(Registro!$B:$B,$A12,Registro!$F:$F,"Salida")=0,"",MAXIFS(Registro!$A:$A,Registro!$B:$B,$A12,Registro!$F:$F,"Salida")))</f>
        <v/>
      </c>
      <c r="G12" s="13">
        <f>IF($A12="","",COUNTIFS(Registro!$B:$B,$A12,Registro!$F:$F,"Intento fallido"))</f>
        <v>0</v>
      </c>
      <c r="H12" s="23" t="str">
        <f t="shared" si="1"/>
        <v/>
      </c>
    </row>
    <row r="13">
      <c r="A13" s="12" t="str">
        <f>IF(Usuarios!$A13="","",Usuarios!$A13)</f>
        <v>3134911</v>
      </c>
      <c r="B13" s="13" t="str">
        <f>IF($A13="","",Usuarios!$B13)</f>
        <v>Javier Zapata</v>
      </c>
      <c r="C13" s="13" t="str">
        <f>IF($A13="","",Usuarios!$E13)</f>
        <v>Instructor</v>
      </c>
      <c r="D13" s="13">
        <f>IF($A13="","",COUNTIFS(Registro!$B:$B,$A13,Registro!$F:$F,"Ingreso"))</f>
        <v>0</v>
      </c>
      <c r="E13" s="22" t="str">
        <f>IF($A13="","",IF($D13=0,"",MAXIFS(Registro!$A:$A,Registro!$B:$B,$A13,Registro!$F:$F,"Ingreso")))</f>
        <v/>
      </c>
      <c r="F13" s="22" t="str">
        <f>IF($A13="","",IF(COUNTIFS(Registro!$B:$B,$A13,Registro!$F:$F,"Salida")=0,"",MAXIFS(Registro!$A:$A,Registro!$B:$B,$A13,Registro!$F:$F,"Salida")))</f>
        <v/>
      </c>
      <c r="G13" s="13">
        <f>IF($A13="","",COUNTIFS(Registro!$B:$B,$A13,Registro!$F:$F,"Intento fallido"))</f>
        <v>0</v>
      </c>
      <c r="H13" s="23" t="str">
        <f t="shared" si="1"/>
        <v/>
      </c>
    </row>
    <row r="14">
      <c r="A14" s="12" t="str">
        <f>IF(Usuarios!$A14="","",Usuarios!$A14)</f>
        <v>3750335</v>
      </c>
      <c r="B14" s="13" t="str">
        <f>IF($A14="","",Usuarios!$B14)</f>
        <v>Jefferson Mendez</v>
      </c>
      <c r="C14" s="13" t="str">
        <f>IF($A14="","",Usuarios!$E14)</f>
        <v>Instructor</v>
      </c>
      <c r="D14" s="13">
        <f>IF($A14="","",COUNTIFS(Registro!$B:$B,$A14,Registro!$F:$F,"Ingreso"))</f>
        <v>0</v>
      </c>
      <c r="E14" s="22" t="str">
        <f>IF($A14="","",IF($D14=0,"",MAXIFS(Registro!$A:$A,Registro!$B:$B,$A14,Registro!$F:$F,"Ingreso")))</f>
        <v/>
      </c>
      <c r="F14" s="22" t="str">
        <f>IF($A14="","",IF(COUNTIFS(Registro!$B:$B,$A14,Registro!$F:$F,"Salida")=0,"",MAXIFS(Registro!$A:$A,Registro!$B:$B,$A14,Registro!$F:$F,"Salida")))</f>
        <v/>
      </c>
      <c r="G14" s="13">
        <f>IF($A14="","",COUNTIFS(Registro!$B:$B,$A14,Registro!$F:$F,"Intento fallido"))</f>
        <v>0</v>
      </c>
      <c r="H14" s="23" t="str">
        <f t="shared" si="1"/>
        <v/>
      </c>
    </row>
    <row r="15">
      <c r="A15" s="12" t="str">
        <f>IF(Usuarios!$A15="","",Usuarios!$A15)</f>
        <v>3852423</v>
      </c>
      <c r="B15" s="13" t="str">
        <f>IF($A15="","",Usuarios!$B15)</f>
        <v>Gabriela Ungaro</v>
      </c>
      <c r="C15" s="13" t="str">
        <f>IF($A15="","",Usuarios!$E15)</f>
        <v>Instructor</v>
      </c>
      <c r="D15" s="13">
        <f>IF($A15="","",COUNTIFS(Registro!$B:$B,$A15,Registro!$F:$F,"Ingreso"))</f>
        <v>0</v>
      </c>
      <c r="E15" s="22" t="str">
        <f>IF($A15="","",IF($D15=0,"",MAXIFS(Registro!$A:$A,Registro!$B:$B,$A15,Registro!$F:$F,"Ingreso")))</f>
        <v/>
      </c>
      <c r="F15" s="22" t="str">
        <f>IF($A15="","",IF(COUNTIFS(Registro!$B:$B,$A15,Registro!$F:$F,"Salida")=0,"",MAXIFS(Registro!$A:$A,Registro!$B:$B,$A15,Registro!$F:$F,"Salida")))</f>
        <v/>
      </c>
      <c r="G15" s="13">
        <f>IF($A15="","",COUNTIFS(Registro!$B:$B,$A15,Registro!$F:$F,"Intento fallido"))</f>
        <v>0</v>
      </c>
      <c r="H15" s="23" t="str">
        <f t="shared" si="1"/>
        <v/>
      </c>
    </row>
    <row r="16">
      <c r="A16" s="12" t="str">
        <f>IF(Usuarios!$A16="","",Usuarios!$A16)</f>
        <v>2604360</v>
      </c>
      <c r="B16" s="13" t="str">
        <f>IF($A16="","",Usuarios!$B16)</f>
        <v>Mariella Carrasco</v>
      </c>
      <c r="C16" s="13" t="str">
        <f>IF($A16="","",Usuarios!$E16)</f>
        <v>Instructor</v>
      </c>
      <c r="D16" s="13">
        <f>IF($A16="","",COUNTIFS(Registro!$B:$B,$A16,Registro!$F:$F,"Ingreso"))</f>
        <v>0</v>
      </c>
      <c r="E16" s="22" t="str">
        <f>IF($A16="","",IF($D16=0,"",MAXIFS(Registro!$A:$A,Registro!$B:$B,$A16,Registro!$F:$F,"Ingreso")))</f>
        <v/>
      </c>
      <c r="F16" s="22" t="str">
        <f>IF($A16="","",IF(COUNTIFS(Registro!$B:$B,$A16,Registro!$F:$F,"Salida")=0,"",MAXIFS(Registro!$A:$A,Registro!$B:$B,$A16,Registro!$F:$F,"Salida")))</f>
        <v/>
      </c>
      <c r="G16" s="13">
        <f>IF($A16="","",COUNTIFS(Registro!$B:$B,$A16,Registro!$F:$F,"Intento fallido"))</f>
        <v>0</v>
      </c>
      <c r="H16" s="23" t="str">
        <f t="shared" si="1"/>
        <v/>
      </c>
    </row>
    <row r="17">
      <c r="A17" s="12" t="str">
        <f>IF(Usuarios!$A17="","",Usuarios!$A17)</f>
        <v>2823133</v>
      </c>
      <c r="B17" s="13" t="str">
        <f>IF($A17="","",Usuarios!$B17)</f>
        <v>Cesar Campos</v>
      </c>
      <c r="C17" s="13" t="str">
        <f>IF($A17="","",Usuarios!$E17)</f>
        <v>Instructor</v>
      </c>
      <c r="D17" s="13">
        <f>IF($A17="","",COUNTIFS(Registro!$B:$B,$A17,Registro!$F:$F,"Ingreso"))</f>
        <v>0</v>
      </c>
      <c r="E17" s="22" t="str">
        <f>IF($A17="","",IF($D17=0,"",MAXIFS(Registro!$A:$A,Registro!$B:$B,$A17,Registro!$F:$F,"Ingreso")))</f>
        <v/>
      </c>
      <c r="F17" s="22" t="str">
        <f>IF($A17="","",IF(COUNTIFS(Registro!$B:$B,$A17,Registro!$F:$F,"Salida")=0,"",MAXIFS(Registro!$A:$A,Registro!$B:$B,$A17,Registro!$F:$F,"Salida")))</f>
        <v/>
      </c>
      <c r="G17" s="13">
        <f>IF($A17="","",COUNTIFS(Registro!$B:$B,$A17,Registro!$F:$F,"Intento fallido"))</f>
        <v>0</v>
      </c>
      <c r="H17" s="23" t="str">
        <f t="shared" si="1"/>
        <v/>
      </c>
    </row>
    <row r="18">
      <c r="A18" s="12" t="str">
        <f>IF(Usuarios!$A18="","",Usuarios!$A18)</f>
        <v>3189967</v>
      </c>
      <c r="B18" s="13" t="str">
        <f>IF($A18="","",Usuarios!$B18)</f>
        <v>Kevin Segovia</v>
      </c>
      <c r="C18" s="13" t="str">
        <f>IF($A18="","",Usuarios!$E18)</f>
        <v>Instructor</v>
      </c>
      <c r="D18" s="13">
        <f>IF($A18="","",COUNTIFS(Registro!$B:$B,$A18,Registro!$F:$F,"Ingreso"))</f>
        <v>0</v>
      </c>
      <c r="E18" s="22" t="str">
        <f>IF($A18="","",IF($D18=0,"",MAXIFS(Registro!$A:$A,Registro!$B:$B,$A18,Registro!$F:$F,"Ingreso")))</f>
        <v/>
      </c>
      <c r="F18" s="22" t="str">
        <f>IF($A18="","",IF(COUNTIFS(Registro!$B:$B,$A18,Registro!$F:$F,"Salida")=0,"",MAXIFS(Registro!$A:$A,Registro!$B:$B,$A18,Registro!$F:$F,"Salida")))</f>
        <v/>
      </c>
      <c r="G18" s="13">
        <f>IF($A18="","",COUNTIFS(Registro!$B:$B,$A18,Registro!$F:$F,"Intento fallido"))</f>
        <v>0</v>
      </c>
      <c r="H18" s="23" t="str">
        <f t="shared" si="1"/>
        <v/>
      </c>
    </row>
    <row r="19">
      <c r="A19" s="12" t="str">
        <f>IF(Usuarios!$A19="","",Usuarios!$A19)</f>
        <v>2415373</v>
      </c>
      <c r="B19" s="13" t="str">
        <f>IF($A19="","",Usuarios!$B19)</f>
        <v>Milagros Salas</v>
      </c>
      <c r="C19" s="13" t="str">
        <f>IF($A19="","",Usuarios!$E19)</f>
        <v>Instructor</v>
      </c>
      <c r="D19" s="13">
        <f>IF($A19="","",COUNTIFS(Registro!$B:$B,$A19,Registro!$F:$F,"Ingreso"))</f>
        <v>0</v>
      </c>
      <c r="E19" s="22" t="str">
        <f>IF($A19="","",IF($D19=0,"",MAXIFS(Registro!$A:$A,Registro!$B:$B,$A19,Registro!$F:$F,"Ingreso")))</f>
        <v/>
      </c>
      <c r="F19" s="22" t="str">
        <f>IF($A19="","",IF(COUNTIFS(Registro!$B:$B,$A19,Registro!$F:$F,"Salida")=0,"",MAXIFS(Registro!$A:$A,Registro!$B:$B,$A19,Registro!$F:$F,"Salida")))</f>
        <v/>
      </c>
      <c r="G19" s="13">
        <f>IF($A19="","",COUNTIFS(Registro!$B:$B,$A19,Registro!$F:$F,"Intento fallido"))</f>
        <v>0</v>
      </c>
      <c r="H19" s="23" t="str">
        <f t="shared" si="1"/>
        <v/>
      </c>
    </row>
    <row r="20">
      <c r="A20" s="12" t="str">
        <f>IF(Usuarios!$A20="","",Usuarios!$A20)</f>
        <v>2440915</v>
      </c>
      <c r="B20" s="13" t="str">
        <f>IF($A20="","",Usuarios!$B20)</f>
        <v>Judith Fernandez</v>
      </c>
      <c r="C20" s="13" t="str">
        <f>IF($A20="","",Usuarios!$E20)</f>
        <v>Instructor</v>
      </c>
      <c r="D20" s="13">
        <f>IF($A20="","",COUNTIFS(Registro!$B:$B,$A20,Registro!$F:$F,"Ingreso"))</f>
        <v>0</v>
      </c>
      <c r="E20" s="22" t="str">
        <f>IF($A20="","",IF($D20=0,"",MAXIFS(Registro!$A:$A,Registro!$B:$B,$A20,Registro!$F:$F,"Ingreso")))</f>
        <v/>
      </c>
      <c r="F20" s="22" t="str">
        <f>IF($A20="","",IF(COUNTIFS(Registro!$B:$B,$A20,Registro!$F:$F,"Salida")=0,"",MAXIFS(Registro!$A:$A,Registro!$B:$B,$A20,Registro!$F:$F,"Salida")))</f>
        <v/>
      </c>
      <c r="G20" s="13">
        <f>IF($A20="","",COUNTIFS(Registro!$B:$B,$A20,Registro!$F:$F,"Intento fallido"))</f>
        <v>0</v>
      </c>
      <c r="H20" s="23" t="str">
        <f t="shared" si="1"/>
        <v/>
      </c>
    </row>
    <row r="21" ht="15.75" customHeight="1">
      <c r="A21" s="12" t="str">
        <f>IF(Usuarios!$A21="","",Usuarios!$A21)</f>
        <v>3796947</v>
      </c>
      <c r="B21" s="13" t="str">
        <f>IF($A21="","",Usuarios!$B21)</f>
        <v>Rafael Nieto</v>
      </c>
      <c r="C21" s="13" t="str">
        <f>IF($A21="","",Usuarios!$E21)</f>
        <v>Instructor</v>
      </c>
      <c r="D21" s="13">
        <f>IF($A21="","",COUNTIFS(Registro!$B:$B,$A21,Registro!$F:$F,"Ingreso"))</f>
        <v>0</v>
      </c>
      <c r="E21" s="22" t="str">
        <f>IF($A21="","",IF($D21=0,"",MAXIFS(Registro!$A:$A,Registro!$B:$B,$A21,Registro!$F:$F,"Ingreso")))</f>
        <v/>
      </c>
      <c r="F21" s="22" t="str">
        <f>IF($A21="","",IF(COUNTIFS(Registro!$B:$B,$A21,Registro!$F:$F,"Salida")=0,"",MAXIFS(Registro!$A:$A,Registro!$B:$B,$A21,Registro!$F:$F,"Salida")))</f>
        <v/>
      </c>
      <c r="G21" s="13">
        <f>IF($A21="","",COUNTIFS(Registro!$B:$B,$A21,Registro!$F:$F,"Intento fallido"))</f>
        <v>0</v>
      </c>
      <c r="H21" s="23" t="str">
        <f t="shared" si="1"/>
        <v/>
      </c>
    </row>
    <row r="22" ht="15.75" customHeight="1">
      <c r="A22" s="12" t="str">
        <f>IF(Usuarios!$A22="","",Usuarios!$A22)</f>
        <v>3841387</v>
      </c>
      <c r="B22" s="13" t="str">
        <f>IF($A22="","",Usuarios!$B22)</f>
        <v>Gianfranco Celiz</v>
      </c>
      <c r="C22" s="13" t="str">
        <f>IF($A22="","",Usuarios!$E22)</f>
        <v>Instructor</v>
      </c>
      <c r="D22" s="13">
        <f>IF($A22="","",COUNTIFS(Registro!$B:$B,$A22,Registro!$F:$F,"Ingreso"))</f>
        <v>0</v>
      </c>
      <c r="E22" s="22" t="str">
        <f>IF($A22="","",IF($D22=0,"",MAXIFS(Registro!$A:$A,Registro!$B:$B,$A22,Registro!$F:$F,"Ingreso")))</f>
        <v/>
      </c>
      <c r="F22" s="22" t="str">
        <f>IF($A22="","",IF(COUNTIFS(Registro!$B:$B,$A22,Registro!$F:$F,"Salida")=0,"",MAXIFS(Registro!$A:$A,Registro!$B:$B,$A22,Registro!$F:$F,"Salida")))</f>
        <v/>
      </c>
      <c r="G22" s="13">
        <f>IF($A22="","",COUNTIFS(Registro!$B:$B,$A22,Registro!$F:$F,"Intento fallido"))</f>
        <v>0</v>
      </c>
      <c r="H22" s="23" t="str">
        <f t="shared" si="1"/>
        <v/>
      </c>
    </row>
    <row r="23" ht="15.75" customHeight="1">
      <c r="A23" s="12" t="str">
        <f>IF(Usuarios!$A23="","",Usuarios!$A23)</f>
        <v>6019028</v>
      </c>
      <c r="B23" s="13" t="str">
        <f>IF($A23="","",Usuarios!$B23)</f>
        <v>Fernando Celadita</v>
      </c>
      <c r="C23" s="13" t="str">
        <f>IF($A23="","",Usuarios!$E23)</f>
        <v>Administrador</v>
      </c>
      <c r="D23" s="13">
        <f>IF($A23="","",COUNTIFS(Registro!$B:$B,$A23,Registro!$F:$F,"Ingreso"))</f>
        <v>7</v>
      </c>
      <c r="E23" s="22">
        <f>IF($A23="","",IF($D23=0,"",MAXIFS(Registro!$A:$A,Registro!$B:$B,$A23,Registro!$F:$F,"Ingreso")))</f>
        <v>46307.43235</v>
      </c>
      <c r="F23" s="22">
        <f>IF($A23="","",IF(COUNTIFS(Registro!$B:$B,$A23,Registro!$F:$F,"Salida")=0,"",MAXIFS(Registro!$A:$A,Registro!$B:$B,$A23,Registro!$F:$F,"Salida")))</f>
        <v>46307.39304</v>
      </c>
      <c r="G23" s="13">
        <f>IF($A23="","",COUNTIFS(Registro!$B:$B,$A23,Registro!$F:$F,"Intento fallido"))</f>
        <v>2</v>
      </c>
      <c r="H23" s="23">
        <f t="shared" si="1"/>
        <v>0</v>
      </c>
    </row>
    <row r="24" ht="15.75" customHeight="1">
      <c r="A24" s="12" t="str">
        <f>IF(Usuarios!$A24="","",Usuarios!$A24)</f>
        <v>6014982</v>
      </c>
      <c r="B24" s="13" t="str">
        <f>IF($A24="","",Usuarios!$B24)</f>
        <v>Mario Fernandez</v>
      </c>
      <c r="C24" s="13" t="str">
        <f>IF($A24="","",Usuarios!$E24)</f>
        <v>Administrador</v>
      </c>
      <c r="D24" s="13">
        <f>IF($A24="","",COUNTIFS(Registro!$B:$B,$A24,Registro!$F:$F,"Ingreso"))</f>
        <v>1</v>
      </c>
      <c r="E24" s="22">
        <f>IF($A24="","",IF($D24=0,"",MAXIFS(Registro!$A:$A,Registro!$B:$B,$A24,Registro!$F:$F,"Ingreso")))</f>
        <v>46304.30501</v>
      </c>
      <c r="F24" s="22" t="str">
        <f>IF($A24="","",IF(COUNTIFS(Registro!$B:$B,$A24,Registro!$F:$F,"Salida")=0,"",MAXIFS(Registro!$A:$A,Registro!$B:$B,$A24,Registro!$F:$F,"Salida")))</f>
        <v/>
      </c>
      <c r="G24" s="13">
        <f>IF($A24="","",COUNTIFS(Registro!$B:$B,$A24,Registro!$F:$F,"Intento fallido"))</f>
        <v>1</v>
      </c>
      <c r="H24" s="23">
        <f t="shared" si="1"/>
        <v>3</v>
      </c>
    </row>
    <row r="25" ht="15.75" customHeight="1">
      <c r="A25" s="13" t="str">
        <f>IF(Usuarios!$A25="","",Usuarios!$A25)</f>
        <v/>
      </c>
      <c r="B25" s="13" t="str">
        <f>IF($A25="","",Usuarios!$B25)</f>
        <v/>
      </c>
      <c r="C25" s="13" t="str">
        <f>IF($A25="","",Usuarios!$E25)</f>
        <v/>
      </c>
      <c r="D25" s="13" t="str">
        <f>IF($A25="","",COUNTIFS(Registro!$B:$B,$A25,Registro!$F:$F,"Ingreso"))</f>
        <v/>
      </c>
      <c r="E25" s="22" t="str">
        <f>IF($A25="","",IF($D25=0,"",MAXIFS(Registro!$A:$A,Registro!$B:$B,$A25,Registro!$F:$F,"Ingreso")))</f>
        <v/>
      </c>
      <c r="F25" s="22" t="str">
        <f>IF($A25="","",IF(COUNTIFS(Registro!$B:$B,$A25,Registro!$F:$F,"Salida")=0,"",MAXIFS(Registro!$A:$A,Registro!$B:$B,$A25,Registro!$F:$F,"Salida")))</f>
        <v/>
      </c>
      <c r="G25" s="13" t="str">
        <f>IF($A25="","",COUNTIFS(Registro!$B:$B,$A25,Registro!$F:$F,"Intento fallido"))</f>
        <v/>
      </c>
      <c r="H25" s="23" t="str">
        <f t="shared" si="1"/>
        <v/>
      </c>
    </row>
    <row r="26" ht="15.75" customHeight="1">
      <c r="A26" s="13" t="str">
        <f>IF(Usuarios!$A26="","",Usuarios!$A26)</f>
        <v/>
      </c>
      <c r="B26" s="13" t="str">
        <f>IF($A26="","",Usuarios!$B26)</f>
        <v/>
      </c>
      <c r="C26" s="13" t="str">
        <f>IF($A26="","",Usuarios!$E26)</f>
        <v/>
      </c>
      <c r="D26" s="13" t="str">
        <f>IF($A26="","",COUNTIFS(Registro!$B:$B,$A26,Registro!$F:$F,"Ingreso"))</f>
        <v/>
      </c>
      <c r="E26" s="22" t="str">
        <f>IF($A26="","",IF($D26=0,"",MAXIFS(Registro!$A:$A,Registro!$B:$B,$A26,Registro!$F:$F,"Ingreso")))</f>
        <v/>
      </c>
      <c r="F26" s="22" t="str">
        <f>IF($A26="","",IF(COUNTIFS(Registro!$B:$B,$A26,Registro!$F:$F,"Salida")=0,"",MAXIFS(Registro!$A:$A,Registro!$B:$B,$A26,Registro!$F:$F,"Salida")))</f>
        <v/>
      </c>
      <c r="G26" s="13" t="str">
        <f>IF($A26="","",COUNTIFS(Registro!$B:$B,$A26,Registro!$F:$F,"Intento fallido"))</f>
        <v/>
      </c>
      <c r="H26" s="23" t="str">
        <f t="shared" si="1"/>
        <v/>
      </c>
    </row>
    <row r="27" ht="15.75" customHeight="1">
      <c r="A27" s="13" t="str">
        <f>IF(Usuarios!$A27="","",Usuarios!$A27)</f>
        <v/>
      </c>
      <c r="B27" s="13" t="str">
        <f>IF($A27="","",Usuarios!$B27)</f>
        <v/>
      </c>
      <c r="C27" s="13" t="str">
        <f>IF($A27="","",Usuarios!$E27)</f>
        <v/>
      </c>
      <c r="D27" s="13" t="str">
        <f>IF($A27="","",COUNTIFS(Registro!$B:$B,$A27,Registro!$F:$F,"Ingreso"))</f>
        <v/>
      </c>
      <c r="E27" s="22" t="str">
        <f>IF($A27="","",IF($D27=0,"",MAXIFS(Registro!$A:$A,Registro!$B:$B,$A27,Registro!$F:$F,"Ingreso")))</f>
        <v/>
      </c>
      <c r="F27" s="22" t="str">
        <f>IF($A27="","",IF(COUNTIFS(Registro!$B:$B,$A27,Registro!$F:$F,"Salida")=0,"",MAXIFS(Registro!$A:$A,Registro!$B:$B,$A27,Registro!$F:$F,"Salida")))</f>
        <v/>
      </c>
      <c r="G27" s="13" t="str">
        <f>IF($A27="","",COUNTIFS(Registro!$B:$B,$A27,Registro!$F:$F,"Intento fallido"))</f>
        <v/>
      </c>
      <c r="H27" s="23" t="str">
        <f t="shared" si="1"/>
        <v/>
      </c>
    </row>
    <row r="28" ht="15.75" customHeight="1">
      <c r="A28" s="13" t="str">
        <f>IF(Usuarios!$A28="","",Usuarios!$A28)</f>
        <v/>
      </c>
      <c r="B28" s="13" t="str">
        <f>IF($A28="","",Usuarios!$B28)</f>
        <v/>
      </c>
      <c r="C28" s="13" t="str">
        <f>IF($A28="","",Usuarios!$E28)</f>
        <v/>
      </c>
      <c r="D28" s="13" t="str">
        <f>IF($A28="","",COUNTIFS(Registro!$B:$B,$A28,Registro!$F:$F,"Ingreso"))</f>
        <v/>
      </c>
      <c r="E28" s="22" t="str">
        <f>IF($A28="","",IF($D28=0,"",MAXIFS(Registro!$A:$A,Registro!$B:$B,$A28,Registro!$F:$F,"Ingreso")))</f>
        <v/>
      </c>
      <c r="F28" s="22" t="str">
        <f>IF($A28="","",IF(COUNTIFS(Registro!$B:$B,$A28,Registro!$F:$F,"Salida")=0,"",MAXIFS(Registro!$A:$A,Registro!$B:$B,$A28,Registro!$F:$F,"Salida")))</f>
        <v/>
      </c>
      <c r="G28" s="13" t="str">
        <f>IF($A28="","",COUNTIFS(Registro!$B:$B,$A28,Registro!$F:$F,"Intento fallido"))</f>
        <v/>
      </c>
      <c r="H28" s="23" t="str">
        <f t="shared" si="1"/>
        <v/>
      </c>
    </row>
    <row r="29" ht="15.75" customHeight="1">
      <c r="A29" s="13" t="str">
        <f>IF(Usuarios!$A29="","",Usuarios!$A29)</f>
        <v/>
      </c>
      <c r="B29" s="13" t="str">
        <f>IF($A29="","",Usuarios!$B29)</f>
        <v/>
      </c>
      <c r="C29" s="13" t="str">
        <f>IF($A29="","",Usuarios!$E29)</f>
        <v/>
      </c>
      <c r="D29" s="13" t="str">
        <f>IF($A29="","",COUNTIFS(Registro!$B:$B,$A29,Registro!$F:$F,"Ingreso"))</f>
        <v/>
      </c>
      <c r="E29" s="22" t="str">
        <f>IF($A29="","",IF($D29=0,"",MAXIFS(Registro!$A:$A,Registro!$B:$B,$A29,Registro!$F:$F,"Ingreso")))</f>
        <v/>
      </c>
      <c r="F29" s="22" t="str">
        <f>IF($A29="","",IF(COUNTIFS(Registro!$B:$B,$A29,Registro!$F:$F,"Salida")=0,"",MAXIFS(Registro!$A:$A,Registro!$B:$B,$A29,Registro!$F:$F,"Salida")))</f>
        <v/>
      </c>
      <c r="G29" s="13" t="str">
        <f>IF($A29="","",COUNTIFS(Registro!$B:$B,$A29,Registro!$F:$F,"Intento fallido"))</f>
        <v/>
      </c>
      <c r="H29" s="23" t="str">
        <f t="shared" si="1"/>
        <v/>
      </c>
    </row>
    <row r="30" ht="15.75" customHeight="1">
      <c r="A30" s="13" t="str">
        <f>IF(Usuarios!$A30="","",Usuarios!$A30)</f>
        <v/>
      </c>
      <c r="B30" s="13" t="str">
        <f>IF($A30="","",Usuarios!$B30)</f>
        <v/>
      </c>
      <c r="C30" s="13" t="str">
        <f>IF($A30="","",Usuarios!$E30)</f>
        <v/>
      </c>
      <c r="D30" s="13" t="str">
        <f>IF($A30="","",COUNTIFS(Registro!$B:$B,$A30,Registro!$F:$F,"Ingreso"))</f>
        <v/>
      </c>
      <c r="E30" s="22" t="str">
        <f>IF($A30="","",IF($D30=0,"",MAXIFS(Registro!$A:$A,Registro!$B:$B,$A30,Registro!$F:$F,"Ingreso")))</f>
        <v/>
      </c>
      <c r="F30" s="22" t="str">
        <f>IF($A30="","",IF(COUNTIFS(Registro!$B:$B,$A30,Registro!$F:$F,"Salida")=0,"",MAXIFS(Registro!$A:$A,Registro!$B:$B,$A30,Registro!$F:$F,"Salida")))</f>
        <v/>
      </c>
      <c r="G30" s="13" t="str">
        <f>IF($A30="","",COUNTIFS(Registro!$B:$B,$A30,Registro!$F:$F,"Intento fallido"))</f>
        <v/>
      </c>
      <c r="H30" s="23" t="str">
        <f t="shared" si="1"/>
        <v/>
      </c>
    </row>
    <row r="31" ht="15.75" customHeight="1">
      <c r="A31" s="13" t="str">
        <f>IF(Usuarios!$A31="","",Usuarios!$A31)</f>
        <v/>
      </c>
      <c r="B31" s="13" t="str">
        <f>IF($A31="","",Usuarios!$B31)</f>
        <v/>
      </c>
      <c r="C31" s="13" t="str">
        <f>IF($A31="","",Usuarios!$E31)</f>
        <v/>
      </c>
      <c r="D31" s="13" t="str">
        <f>IF($A31="","",COUNTIFS(Registro!$B:$B,$A31,Registro!$F:$F,"Ingreso"))</f>
        <v/>
      </c>
      <c r="E31" s="22" t="str">
        <f>IF($A31="","",IF($D31=0,"",MAXIFS(Registro!$A:$A,Registro!$B:$B,$A31,Registro!$F:$F,"Ingreso")))</f>
        <v/>
      </c>
      <c r="F31" s="22" t="str">
        <f>IF($A31="","",IF(COUNTIFS(Registro!$B:$B,$A31,Registro!$F:$F,"Salida")=0,"",MAXIFS(Registro!$A:$A,Registro!$B:$B,$A31,Registro!$F:$F,"Salida")))</f>
        <v/>
      </c>
      <c r="G31" s="13" t="str">
        <f>IF($A31="","",COUNTIFS(Registro!$B:$B,$A31,Registro!$F:$F,"Intento fallido"))</f>
        <v/>
      </c>
      <c r="H31" s="23" t="str">
        <f t="shared" si="1"/>
        <v/>
      </c>
    </row>
    <row r="32" ht="15.75" customHeight="1">
      <c r="A32" s="13" t="str">
        <f>IF(Usuarios!$A32="","",Usuarios!$A32)</f>
        <v/>
      </c>
      <c r="B32" s="13" t="str">
        <f>IF($A32="","",Usuarios!$B32)</f>
        <v/>
      </c>
      <c r="C32" s="13" t="str">
        <f>IF($A32="","",Usuarios!$E32)</f>
        <v/>
      </c>
      <c r="D32" s="13" t="str">
        <f>IF($A32="","",COUNTIFS(Registro!$B:$B,$A32,Registro!$F:$F,"Ingreso"))</f>
        <v/>
      </c>
      <c r="E32" s="22" t="str">
        <f>IF($A32="","",IF($D32=0,"",MAXIFS(Registro!$A:$A,Registro!$B:$B,$A32,Registro!$F:$F,"Ingreso")))</f>
        <v/>
      </c>
      <c r="F32" s="22" t="str">
        <f>IF($A32="","",IF(COUNTIFS(Registro!$B:$B,$A32,Registro!$F:$F,"Salida")=0,"",MAXIFS(Registro!$A:$A,Registro!$B:$B,$A32,Registro!$F:$F,"Salida")))</f>
        <v/>
      </c>
      <c r="G32" s="13" t="str">
        <f>IF($A32="","",COUNTIFS(Registro!$B:$B,$A32,Registro!$F:$F,"Intento fallido"))</f>
        <v/>
      </c>
      <c r="H32" s="23" t="str">
        <f t="shared" si="1"/>
        <v/>
      </c>
    </row>
    <row r="33" ht="15.75" customHeight="1">
      <c r="A33" s="13" t="str">
        <f>IF(Usuarios!$A33="","",Usuarios!$A33)</f>
        <v/>
      </c>
      <c r="B33" s="13" t="str">
        <f>IF($A33="","",Usuarios!$B33)</f>
        <v/>
      </c>
      <c r="C33" s="13" t="str">
        <f>IF($A33="","",Usuarios!$E33)</f>
        <v/>
      </c>
      <c r="D33" s="13" t="str">
        <f>IF($A33="","",COUNTIFS(Registro!$B:$B,$A33,Registro!$F:$F,"Ingreso"))</f>
        <v/>
      </c>
      <c r="E33" s="22" t="str">
        <f>IF($A33="","",IF($D33=0,"",MAXIFS(Registro!$A:$A,Registro!$B:$B,$A33,Registro!$F:$F,"Ingreso")))</f>
        <v/>
      </c>
      <c r="F33" s="22" t="str">
        <f>IF($A33="","",IF(COUNTIFS(Registro!$B:$B,$A33,Registro!$F:$F,"Salida")=0,"",MAXIFS(Registro!$A:$A,Registro!$B:$B,$A33,Registro!$F:$F,"Salida")))</f>
        <v/>
      </c>
      <c r="G33" s="13" t="str">
        <f>IF($A33="","",COUNTIFS(Registro!$B:$B,$A33,Registro!$F:$F,"Intento fallido"))</f>
        <v/>
      </c>
      <c r="H33" s="23" t="str">
        <f t="shared" si="1"/>
        <v/>
      </c>
    </row>
    <row r="34" ht="15.75" customHeight="1">
      <c r="A34" s="13" t="str">
        <f>IF(Usuarios!$A34="","",Usuarios!$A34)</f>
        <v/>
      </c>
      <c r="B34" s="13" t="str">
        <f>IF($A34="","",Usuarios!$B34)</f>
        <v/>
      </c>
      <c r="C34" s="13" t="str">
        <f>IF($A34="","",Usuarios!$E34)</f>
        <v/>
      </c>
      <c r="D34" s="13" t="str">
        <f>IF($A34="","",COUNTIFS(Registro!$B:$B,$A34,Registro!$F:$F,"Ingreso"))</f>
        <v/>
      </c>
      <c r="E34" s="22" t="str">
        <f>IF($A34="","",IF($D34=0,"",MAXIFS(Registro!$A:$A,Registro!$B:$B,$A34,Registro!$F:$F,"Ingreso")))</f>
        <v/>
      </c>
      <c r="F34" s="22" t="str">
        <f>IF($A34="","",IF(COUNTIFS(Registro!$B:$B,$A34,Registro!$F:$F,"Salida")=0,"",MAXIFS(Registro!$A:$A,Registro!$B:$B,$A34,Registro!$F:$F,"Salida")))</f>
        <v/>
      </c>
      <c r="G34" s="13" t="str">
        <f>IF($A34="","",COUNTIFS(Registro!$B:$B,$A34,Registro!$F:$F,"Intento fallido"))</f>
        <v/>
      </c>
      <c r="H34" s="23" t="str">
        <f t="shared" si="1"/>
        <v/>
      </c>
    </row>
    <row r="35" ht="15.75" customHeight="1">
      <c r="A35" s="13" t="str">
        <f>IF(Usuarios!$A35="","",Usuarios!$A35)</f>
        <v/>
      </c>
      <c r="B35" s="13" t="str">
        <f>IF($A35="","",Usuarios!$B35)</f>
        <v/>
      </c>
      <c r="C35" s="13" t="str">
        <f>IF($A35="","",Usuarios!$E35)</f>
        <v/>
      </c>
      <c r="D35" s="13" t="str">
        <f>IF($A35="","",COUNTIFS(Registro!$B:$B,$A35,Registro!$F:$F,"Ingreso"))</f>
        <v/>
      </c>
      <c r="E35" s="22" t="str">
        <f>IF($A35="","",IF($D35=0,"",MAXIFS(Registro!$A:$A,Registro!$B:$B,$A35,Registro!$F:$F,"Ingreso")))</f>
        <v/>
      </c>
      <c r="F35" s="22" t="str">
        <f>IF($A35="","",IF(COUNTIFS(Registro!$B:$B,$A35,Registro!$F:$F,"Salida")=0,"",MAXIFS(Registro!$A:$A,Registro!$B:$B,$A35,Registro!$F:$F,"Salida")))</f>
        <v/>
      </c>
      <c r="G35" s="13" t="str">
        <f>IF($A35="","",COUNTIFS(Registro!$B:$B,$A35,Registro!$F:$F,"Intento fallido"))</f>
        <v/>
      </c>
      <c r="H35" s="23" t="str">
        <f t="shared" si="1"/>
        <v/>
      </c>
    </row>
    <row r="36" ht="15.75" customHeight="1">
      <c r="A36" s="13" t="str">
        <f>IF(Usuarios!$A36="","",Usuarios!$A36)</f>
        <v/>
      </c>
      <c r="B36" s="13" t="str">
        <f>IF($A36="","",Usuarios!$B36)</f>
        <v/>
      </c>
      <c r="C36" s="13" t="str">
        <f>IF($A36="","",Usuarios!$E36)</f>
        <v/>
      </c>
      <c r="D36" s="13" t="str">
        <f>IF($A36="","",COUNTIFS(Registro!$B:$B,$A36,Registro!$F:$F,"Ingreso"))</f>
        <v/>
      </c>
      <c r="E36" s="22" t="str">
        <f>IF($A36="","",IF($D36=0,"",MAXIFS(Registro!$A:$A,Registro!$B:$B,$A36,Registro!$F:$F,"Ingreso")))</f>
        <v/>
      </c>
      <c r="F36" s="22" t="str">
        <f>IF($A36="","",IF(COUNTIFS(Registro!$B:$B,$A36,Registro!$F:$F,"Salida")=0,"",MAXIFS(Registro!$A:$A,Registro!$B:$B,$A36,Registro!$F:$F,"Salida")))</f>
        <v/>
      </c>
      <c r="G36" s="13" t="str">
        <f>IF($A36="","",COUNTIFS(Registro!$B:$B,$A36,Registro!$F:$F,"Intento fallido"))</f>
        <v/>
      </c>
      <c r="H36" s="23" t="str">
        <f t="shared" si="1"/>
        <v/>
      </c>
    </row>
    <row r="37" ht="15.75" customHeight="1">
      <c r="A37" s="13" t="str">
        <f>IF(Usuarios!$A37="","",Usuarios!$A37)</f>
        <v/>
      </c>
      <c r="B37" s="13" t="str">
        <f>IF($A37="","",Usuarios!$B37)</f>
        <v/>
      </c>
      <c r="C37" s="13" t="str">
        <f>IF($A37="","",Usuarios!$E37)</f>
        <v/>
      </c>
      <c r="D37" s="13" t="str">
        <f>IF($A37="","",COUNTIFS(Registro!$B:$B,$A37,Registro!$F:$F,"Ingreso"))</f>
        <v/>
      </c>
      <c r="E37" s="22" t="str">
        <f>IF($A37="","",IF($D37=0,"",MAXIFS(Registro!$A:$A,Registro!$B:$B,$A37,Registro!$F:$F,"Ingreso")))</f>
        <v/>
      </c>
      <c r="F37" s="22" t="str">
        <f>IF($A37="","",IF(COUNTIFS(Registro!$B:$B,$A37,Registro!$F:$F,"Salida")=0,"",MAXIFS(Registro!$A:$A,Registro!$B:$B,$A37,Registro!$F:$F,"Salida")))</f>
        <v/>
      </c>
      <c r="G37" s="13" t="str">
        <f>IF($A37="","",COUNTIFS(Registro!$B:$B,$A37,Registro!$F:$F,"Intento fallido"))</f>
        <v/>
      </c>
      <c r="H37" s="23" t="str">
        <f t="shared" si="1"/>
        <v/>
      </c>
    </row>
    <row r="38" ht="15.75" customHeight="1">
      <c r="A38" s="13" t="str">
        <f>IF(Usuarios!$A38="","",Usuarios!$A38)</f>
        <v/>
      </c>
      <c r="B38" s="13" t="str">
        <f>IF($A38="","",Usuarios!$B38)</f>
        <v/>
      </c>
      <c r="C38" s="13" t="str">
        <f>IF($A38="","",Usuarios!$E38)</f>
        <v/>
      </c>
      <c r="D38" s="13" t="str">
        <f>IF($A38="","",COUNTIFS(Registro!$B:$B,$A38,Registro!$F:$F,"Ingreso"))</f>
        <v/>
      </c>
      <c r="E38" s="22" t="str">
        <f>IF($A38="","",IF($D38=0,"",MAXIFS(Registro!$A:$A,Registro!$B:$B,$A38,Registro!$F:$F,"Ingreso")))</f>
        <v/>
      </c>
      <c r="F38" s="22" t="str">
        <f>IF($A38="","",IF(COUNTIFS(Registro!$B:$B,$A38,Registro!$F:$F,"Salida")=0,"",MAXIFS(Registro!$A:$A,Registro!$B:$B,$A38,Registro!$F:$F,"Salida")))</f>
        <v/>
      </c>
      <c r="G38" s="13" t="str">
        <f>IF($A38="","",COUNTIFS(Registro!$B:$B,$A38,Registro!$F:$F,"Intento fallido"))</f>
        <v/>
      </c>
      <c r="H38" s="23" t="str">
        <f t="shared" si="1"/>
        <v/>
      </c>
    </row>
    <row r="39" ht="15.75" customHeight="1">
      <c r="A39" s="13" t="str">
        <f>IF(Usuarios!$A39="","",Usuarios!$A39)</f>
        <v/>
      </c>
      <c r="B39" s="13" t="str">
        <f>IF($A39="","",Usuarios!$B39)</f>
        <v/>
      </c>
      <c r="C39" s="13" t="str">
        <f>IF($A39="","",Usuarios!$E39)</f>
        <v/>
      </c>
      <c r="D39" s="13" t="str">
        <f>IF($A39="","",COUNTIFS(Registro!$B:$B,$A39,Registro!$F:$F,"Ingreso"))</f>
        <v/>
      </c>
      <c r="E39" s="22" t="str">
        <f>IF($A39="","",IF($D39=0,"",MAXIFS(Registro!$A:$A,Registro!$B:$B,$A39,Registro!$F:$F,"Ingreso")))</f>
        <v/>
      </c>
      <c r="F39" s="22" t="str">
        <f>IF($A39="","",IF(COUNTIFS(Registro!$B:$B,$A39,Registro!$F:$F,"Salida")=0,"",MAXIFS(Registro!$A:$A,Registro!$B:$B,$A39,Registro!$F:$F,"Salida")))</f>
        <v/>
      </c>
      <c r="G39" s="13" t="str">
        <f>IF($A39="","",COUNTIFS(Registro!$B:$B,$A39,Registro!$F:$F,"Intento fallido"))</f>
        <v/>
      </c>
      <c r="H39" s="23" t="str">
        <f t="shared" si="1"/>
        <v/>
      </c>
    </row>
    <row r="40" ht="15.75" customHeight="1">
      <c r="A40" s="13" t="str">
        <f>IF(Usuarios!$A40="","",Usuarios!$A40)</f>
        <v/>
      </c>
      <c r="B40" s="13" t="str">
        <f>IF($A40="","",Usuarios!$B40)</f>
        <v/>
      </c>
      <c r="C40" s="13" t="str">
        <f>IF($A40="","",Usuarios!$E40)</f>
        <v/>
      </c>
      <c r="D40" s="13" t="str">
        <f>IF($A40="","",COUNTIFS(Registro!$B:$B,$A40,Registro!$F:$F,"Ingreso"))</f>
        <v/>
      </c>
      <c r="E40" s="22" t="str">
        <f>IF($A40="","",IF($D40=0,"",MAXIFS(Registro!$A:$A,Registro!$B:$B,$A40,Registro!$F:$F,"Ingreso")))</f>
        <v/>
      </c>
      <c r="F40" s="22" t="str">
        <f>IF($A40="","",IF(COUNTIFS(Registro!$B:$B,$A40,Registro!$F:$F,"Salida")=0,"",MAXIFS(Registro!$A:$A,Registro!$B:$B,$A40,Registro!$F:$F,"Salida")))</f>
        <v/>
      </c>
      <c r="G40" s="13" t="str">
        <f>IF($A40="","",COUNTIFS(Registro!$B:$B,$A40,Registro!$F:$F,"Intento fallido"))</f>
        <v/>
      </c>
      <c r="H40" s="23" t="str">
        <f t="shared" si="1"/>
        <v/>
      </c>
    </row>
    <row r="41" ht="15.75" customHeight="1">
      <c r="A41" s="13" t="str">
        <f>IF(Usuarios!$A41="","",Usuarios!$A41)</f>
        <v/>
      </c>
      <c r="B41" s="13" t="str">
        <f>IF($A41="","",Usuarios!$B41)</f>
        <v/>
      </c>
      <c r="C41" s="13" t="str">
        <f>IF($A41="","",Usuarios!$E41)</f>
        <v/>
      </c>
      <c r="D41" s="13" t="str">
        <f>IF($A41="","",COUNTIFS(Registro!$B:$B,$A41,Registro!$F:$F,"Ingreso"))</f>
        <v/>
      </c>
      <c r="E41" s="22" t="str">
        <f>IF($A41="","",IF($D41=0,"",MAXIFS(Registro!$A:$A,Registro!$B:$B,$A41,Registro!$F:$F,"Ingreso")))</f>
        <v/>
      </c>
      <c r="F41" s="22" t="str">
        <f>IF($A41="","",IF(COUNTIFS(Registro!$B:$B,$A41,Registro!$F:$F,"Salida")=0,"",MAXIFS(Registro!$A:$A,Registro!$B:$B,$A41,Registro!$F:$F,"Salida")))</f>
        <v/>
      </c>
      <c r="G41" s="13" t="str">
        <f>IF($A41="","",COUNTIFS(Registro!$B:$B,$A41,Registro!$F:$F,"Intento fallido"))</f>
        <v/>
      </c>
      <c r="H41" s="23" t="str">
        <f t="shared" si="1"/>
        <v/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15.0"/>
    <col customWidth="1" min="4" max="4" width="60.0"/>
    <col customWidth="1" min="5" max="26" width="8.71"/>
  </cols>
  <sheetData>
    <row r="1" ht="31.5" customHeight="1">
      <c r="A1" s="11" t="s">
        <v>260</v>
      </c>
      <c r="B1" s="11" t="s">
        <v>130</v>
      </c>
      <c r="C1" s="11" t="s">
        <v>190</v>
      </c>
      <c r="D1" s="11" t="s">
        <v>261</v>
      </c>
    </row>
    <row r="2">
      <c r="A2" s="24" t="s">
        <v>262</v>
      </c>
      <c r="B2" s="24" t="s">
        <v>134</v>
      </c>
      <c r="C2" s="24" t="s">
        <v>134</v>
      </c>
      <c r="D2" s="24" t="s">
        <v>263</v>
      </c>
    </row>
    <row r="3">
      <c r="A3" s="24" t="s">
        <v>264</v>
      </c>
      <c r="B3" s="24" t="s">
        <v>265</v>
      </c>
      <c r="C3" s="24" t="s">
        <v>134</v>
      </c>
      <c r="D3" s="24" t="s">
        <v>266</v>
      </c>
    </row>
    <row r="4">
      <c r="A4" s="24" t="s">
        <v>267</v>
      </c>
      <c r="B4" s="25" t="s">
        <v>265</v>
      </c>
      <c r="C4" s="24" t="s">
        <v>134</v>
      </c>
      <c r="D4" s="24" t="s">
        <v>268</v>
      </c>
    </row>
    <row r="5">
      <c r="A5" s="24" t="s">
        <v>269</v>
      </c>
      <c r="B5" s="25" t="s">
        <v>134</v>
      </c>
      <c r="C5" s="24" t="s">
        <v>134</v>
      </c>
      <c r="D5" s="24" t="s">
        <v>270</v>
      </c>
    </row>
    <row r="6">
      <c r="A6" s="24" t="s">
        <v>271</v>
      </c>
      <c r="B6" s="25" t="s">
        <v>134</v>
      </c>
      <c r="C6" s="24" t="s">
        <v>134</v>
      </c>
      <c r="D6" s="24" t="s">
        <v>272</v>
      </c>
    </row>
    <row r="7">
      <c r="A7" s="24" t="s">
        <v>273</v>
      </c>
      <c r="B7" s="24" t="s">
        <v>265</v>
      </c>
      <c r="C7" s="24" t="s">
        <v>134</v>
      </c>
      <c r="D7" s="24" t="s">
        <v>274</v>
      </c>
    </row>
    <row r="8">
      <c r="A8" s="4" t="s">
        <v>275</v>
      </c>
      <c r="B8" s="4" t="s">
        <v>265</v>
      </c>
      <c r="C8" s="4" t="s">
        <v>134</v>
      </c>
      <c r="D8" s="4" t="s">
        <v>276</v>
      </c>
    </row>
    <row r="9">
      <c r="A9" s="4" t="s">
        <v>25</v>
      </c>
      <c r="B9" s="4" t="s">
        <v>265</v>
      </c>
      <c r="C9" s="4" t="s">
        <v>134</v>
      </c>
      <c r="D9" s="4" t="s">
        <v>277</v>
      </c>
    </row>
    <row r="10">
      <c r="B10" s="16"/>
      <c r="C10" s="16"/>
    </row>
    <row r="11">
      <c r="B11" s="16"/>
      <c r="C11" s="16"/>
    </row>
    <row r="12">
      <c r="B12" s="16"/>
      <c r="C12" s="16"/>
    </row>
    <row r="13">
      <c r="B13" s="16"/>
      <c r="C13" s="16"/>
    </row>
    <row r="14">
      <c r="B14" s="16"/>
      <c r="C14" s="16"/>
    </row>
    <row r="15">
      <c r="B15" s="16"/>
      <c r="C15" s="16"/>
    </row>
    <row r="16">
      <c r="B16" s="16"/>
      <c r="C16" s="16"/>
    </row>
    <row r="17">
      <c r="B17" s="16"/>
      <c r="C17" s="16"/>
    </row>
    <row r="18">
      <c r="B18" s="16"/>
      <c r="C18" s="16"/>
    </row>
    <row r="19">
      <c r="B19" s="16"/>
      <c r="C19" s="16"/>
    </row>
    <row r="20">
      <c r="B20" s="16"/>
      <c r="C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C20">
      <formula1>"SI,NO"</formula1>
    </dataValidation>
  </dataValidations>
  <printOptions/>
  <pageMargins bottom="1.0" footer="0.0" header="0.0" left="0.75" right="0.75" top="1.0"/>
  <pageSetup paperSize="9" orientation="portrait"/>
  <drawing r:id="rId1"/>
</worksheet>
</file>